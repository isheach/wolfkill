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externalLinks/externalLink1.xml" ContentType="application/vnd.openxmlformats-officedocument.spreadsheetml.externalLink+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vmlDrawing2.vml" ContentType="application/vnd.openxmlformats-officedocument.vmlDrawing"/>
  <Override PartName="/xl/comments2.xml" ContentType="application/vnd.openxmlformats-officedocument.spreadsheetml.comments+xml"/>
  <Override PartName="/xl/worksheets/sheet3.xml" ContentType="application/vnd.openxmlformats-officedocument.spreadsheetml.worksheet+xml"/>
  <Override PartName="/xl/drawings/vmlDrawing3.vml" ContentType="application/vnd.openxmlformats-officedocument.vmlDrawing"/>
  <Override PartName="/xl/comments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2188" windowHeight="9180" firstSheet="1" activeTab="2"/>
  </bookViews>
  <sheets>
    <sheet name="说明" sheetId="1" r:id="rId2" state="hidden"/>
    <sheet name="角色卡 " sheetId="2" r:id="rId3"/>
    <sheet name="角色經歷" sheetId="3" r:id="rId4"/>
    <sheet name="建卡用参考资源" sheetId="4" r:id="rId5" state="hidden"/>
    <sheet name="技能&amp;宝具资源库" sheetId="5" r:id="rId6" state="hidden"/>
    <sheet name="數值參考" sheetId="6" r:id="rId7" state="hidden"/>
  </sheets>
  <externalReferences>
    <externalReference r:id="rId1"/>
  </externalReferences>
  <definedNames>
    <definedName name="_xlnm.Print_Area" localSheetId="1">'角色卡 '!$B$2:$N$76</definedName>
    <definedName name="阵营">數值參考!$C$3:$C$35</definedName>
  </definedNames>
  <calcPr calcId="144525"/>
</workbook>
</file>

<file path=xl/comments2.xml><?xml version="1.0" encoding="utf-8"?>
<comments xmlns="http://schemas.openxmlformats.org/spreadsheetml/2006/main">
  <authors>
    <author>dell</author>
  </authors>
  <commentList>
    <comment ref="E3" authorId="0">
      <text>
        <r>
          <rPr>
            <sz val="9"/>
            <color indexed="81"/>
            <rFont val="宋体"/>
            <charset val="134"/>
          </rPr>
          <t xml:space="preserve">跑团时给予的外貌分析，请以客观的角度描述。GM通常会复制粘贴这里的内容用以进行角色的描写。</t>
        </r>
      </text>
    </comment>
    <comment ref="H3" authorId="0">
      <text>
        <r>
          <rPr>
            <sz val="9"/>
            <color indexed="81"/>
            <rFont val="宋体"/>
            <charset val="134"/>
          </rPr>
          <t xml:space="preserve">放置角色肖像的栏位。
请选适当的图片。
若手机没办法贴上，请在交卡时直接传一张给GM。</t>
        </r>
      </text>
    </comment>
    <comment ref="N7" authorId="0">
      <text>
        <r>
          <rPr>
            <sz val="9"/>
            <color indexed="81"/>
            <rFont val="宋体"/>
            <charset val="134"/>
          </rPr>
          <t xml:space="preserve">幻灵皆为虚造。
非特殊情况下，未来、异闻带不开放。</t>
        </r>
      </text>
    </comment>
    <comment ref="E8" authorId="0">
      <text>
        <r>
          <rPr>
            <sz val="9"/>
            <color indexed="81"/>
            <rFont val="宋体"/>
            <charset val="134"/>
          </rPr>
          <t xml:space="preserve">令咒外观的简单描述。</t>
        </r>
      </text>
    </comment>
    <comment ref="F13" authorId="0">
      <text>
        <r>
          <rPr>
            <sz val="9"/>
            <color indexed="81"/>
            <rFont val="宋体"/>
            <charset val="134"/>
          </rPr>
          <t xml:space="preserve">袖珍：0~140cm；
通常：141~220cm；
巨大：221~1000cm；
超巨大：1001~∞。</t>
        </r>
      </text>
    </comment>
  </commentList>
</comments>
</file>

<file path=xl/comments3.xml><?xml version="1.0" encoding="utf-8"?>
<comments xmlns="http://schemas.openxmlformats.org/spreadsheetml/2006/main">
  <authors>
    <author>misak</author>
  </authors>
  <commentList>
    <comment ref="E18" authorId="0">
      <text>
        <r>
          <rPr>
            <sz val="9"/>
            <color indexed="81"/>
            <rFont val="宋体"/>
            <charset val="134"/>
          </rPr>
          <t xml:space="preserve">此处由GM凭借个人主观意志进行填写。</t>
        </r>
      </text>
    </comment>
  </commentList>
</comments>
</file>

<file path=xl/sharedStrings.xml><?xml version="1.0" encoding="utf-8"?>
<sst xmlns="http://schemas.openxmlformats.org/spreadsheetml/2006/main" uniqueCount="523" count="523">
  <si>
    <t>對應規則書︰2.05</t>
  </si>
  <si>
    <t>更新记录</t>
  </si>
  <si>
    <t>自动化一部份的属性分配</t>
  </si>
  <si>
    <t>加入看上去很酷的属性图</t>
  </si>
  <si>
    <t>加入详细的圣遗物介绍</t>
  </si>
  <si>
    <t>加入特性(可选规则)用的格子</t>
  </si>
  <si>
    <t>只是加了一個職階技能的格子，方便特殊職階車卡。拜託普通職階不要填</t>
  </si>
  <si>
    <t>將特性這不會暴露，暴露後易被針對的效果移至角色卡下方，以便GM處理情報</t>
  </si>
  <si>
    <t>為特性提供了實驗性質的效果槽，是否啟用自行向GM查詢</t>
  </si>
  <si>
    <t>Berserker的基礎屬性調整，1.79以下的版本的參加者請注意</t>
  </si>
  <si>
    <t>六維圖修了修</t>
  </si>
  <si>
    <t>技能效果多加了一行，讓說明有點複雜的技能不用整天拉長行數。但是說明超長的依然要拉長行數</t>
  </si>
  <si>
    <t>其實什麼都沒動，但為了對稱所以再發一版~</t>
  </si>
  <si>
    <t>這回真的有更動!寶具/技能的名稱格子長了!</t>
  </si>
  <si>
    <t>遺物介紹的格子微調了</t>
  </si>
  <si>
    <t>特性由原來的範例，改成一些針對性的問題，寫特性時請將這些問題納入考慮</t>
  </si>
  <si>
    <t>Avenger的基礎屬性確立，2.03以下的版本注意</t>
  </si>
  <si>
    <t>雖然很丟人，但之前一直將貼圖鎖了....現在不解除保護也能貼圖了</t>
  </si>
  <si>
    <t>Lancer的基础属性调整，2.05以下的版本注意</t>
  </si>
  <si>
    <t>6.0</t>
  </si>
  <si>
    <t>角色的屬性改成橫的，方便填表時右鍵</t>
  </si>
  <si>
    <t>角色頭像可以放更大的了</t>
  </si>
  <si>
    <t>陣營的位置改放到「角色經歷」</t>
  </si>
  <si>
    <t>調整了一下排版，如無意外角卡可以用A4size印出來了</t>
  </si>
  <si>
    <t>有些排版出包了，調整完成。</t>
  </si>
  <si>
    <t>GM开团前「可」准备的事</t>
  </si>
  <si>
    <t>在数值参考页面按自己特有的村规进行基础属性、点数的调整。或加入新职阶</t>
  </si>
  <si>
    <t>本角色卡是为圣杯战争跑团准备的战斗计算表。</t>
  </si>
  <si>
    <t>该圣杯战争跑团规则大部分采用了日本现在较流行的男爵圣杯规则作为基底，进行魔改的TRPG规则，在游戏上简约了战斗部分，以实际扮演为主体的游戏方式。</t>
  </si>
  <si>
    <t>若有疑问可加群424815329查询</t>
  </si>
  <si>
    <t>阵营</t>
  </si>
  <si>
    <t>外貌描述</t>
  </si>
  <si>
    <t>肖像</t>
  </si>
  <si>
    <t>资源上限</t>
  </si>
  <si>
    <t>特攻列表</t>
  </si>
  <si>
    <t>职阶</t>
  </si>
  <si>
    <t>灵基</t>
  </si>
  <si>
    <t>剩余资源</t>
  </si>
  <si>
    <t>特性</t>
  </si>
  <si>
    <t>令咒</t>
  </si>
  <si>
    <t>时代</t>
  </si>
  <si>
    <t>未来</t>
  </si>
  <si>
    <t>花费资源</t>
  </si>
  <si>
    <t>隐属</t>
  </si>
  <si>
    <t>人</t>
  </si>
  <si>
    <t>性别</t>
  </si>
  <si>
    <t>Saber</t>
  </si>
  <si>
    <t>体型</t>
  </si>
  <si>
    <t>英灵</t>
  </si>
  <si>
    <t>扩容</t>
  </si>
  <si>
    <t>注释</t>
  </si>
  <si>
    <t>人型</t>
  </si>
  <si>
    <t>特攻列表不会也不能为其他角色所获取。</t>
  </si>
  <si>
    <t>通常</t>
  </si>
  <si>
    <t>等级</t>
  </si>
  <si>
    <t>筋力</t>
  </si>
  <si>
    <t>耐久</t>
  </si>
  <si>
    <t>敏捷</t>
  </si>
  <si>
    <t>魔力</t>
  </si>
  <si>
    <t>幸运</t>
  </si>
  <si>
    <t>宝具</t>
  </si>
  <si>
    <t>属性点数</t>
  </si>
  <si>
    <t>合计</t>
  </si>
  <si>
    <t>修正上限</t>
  </si>
  <si>
    <t>分配</t>
  </si>
  <si>
    <t>剩余点数</t>
  </si>
  <si>
    <t>基础上限</t>
  </si>
  <si>
    <t>补正</t>
  </si>
  <si>
    <t>职阶技能</t>
  </si>
  <si>
    <t>模板</t>
  </si>
  <si>
    <t>对魔力</t>
  </si>
  <si>
    <t>A</t>
  </si>
  <si>
    <t>资源</t>
  </si>
  <si>
    <t>风王结界</t>
  </si>
  <si>
    <t>C</t>
  </si>
  <si>
    <t>名称</t>
  </si>
  <si>
    <t>类型</t>
  </si>
  <si>
    <t>职介</t>
  </si>
  <si>
    <t>回转</t>
  </si>
  <si>
    <t>对军</t>
  </si>
  <si>
    <t>发动时机</t>
  </si>
  <si>
    <t>常驻</t>
  </si>
  <si>
    <t>魔力消耗</t>
  </si>
  <si>
    <t>效果</t>
  </si>
  <si>
    <t>（不论持有的职介技能数量，对于从者职介带来的职介技能，其基础等级皆为E，每提升一级都需要消耗1RP）</t>
  </si>
  <si>
    <t>（每名从者持有一个初始宝具栏，每个额外宝具栏需消耗2RP购入，写作[扩容]）</t>
  </si>
  <si>
    <t>背景</t>
  </si>
  <si>
    <t>誓约胜利之剑</t>
  </si>
  <si>
    <t>对人</t>
  </si>
  <si>
    <t>随时</t>
  </si>
  <si>
    <t>保有技能</t>
  </si>
  <si>
    <t>礼装</t>
  </si>
  <si>
    <t>魔力放出</t>
  </si>
  <si>
    <t>/</t>
  </si>
  <si>
    <t>技艺</t>
  </si>
  <si>
    <t>（建卡时，从者无法持有礼装）</t>
  </si>
  <si>
    <t>领袖气质</t>
  </si>
  <si>
    <t>天赋</t>
  </si>
  <si>
    <t>直感</t>
  </si>
  <si>
    <t>最能代表角色的一句话:</t>
  </si>
  <si>
    <t>角色之核心人設</t>
  </si>
  <si>
    <t>(玩家对扮演角色的再解读，以英雄的事迹、史料作参考，构建出有血有肉独属于玩家自己的英灵。）</t>
  </si>
  <si>
    <t>耐力</t>
  </si>
  <si>
    <t>样貌特点</t>
  </si>
  <si>
    <t>身高</t>
  </si>
  <si>
    <t>体重</t>
  </si>
  <si>
    <t>玩家</t>
  </si>
  <si>
    <t>喜好事物</t>
  </si>
  <si>
    <t>厌恶事物</t>
  </si>
  <si>
    <t>秩序·善</t>
  </si>
  <si>
    <t>图片</t>
  </si>
  <si>
    <t>圣遗物评级</t>
  </si>
  <si>
    <t>Euclid</t>
  </si>
  <si>
    <t>地域</t>
  </si>
  <si>
    <t>年代</t>
  </si>
  <si>
    <t>外观</t>
  </si>
  <si>
    <t>出产地点</t>
  </si>
  <si>
    <t>真名</t>
  </si>
  <si>
    <t>英灵愿望</t>
  </si>
  <si>
    <t>你希望拥有怎样的御主？在什么情况下你可能会违背御主的命令？</t>
  </si>
  <si>
    <t>职业</t>
  </si>
  <si>
    <t>（你扮演的角色为了什么回应圣杯？这个愿望可以被放弃吗？在绝对无法做到的情况下你的角色会做什么？）</t>
  </si>
  <si>
    <t>女</t>
  </si>
  <si>
    <t>国家</t>
  </si>
  <si>
    <t>信仰</t>
  </si>
  <si>
    <t>你在战斗中会以怎样的姿态面对你的对手？</t>
  </si>
  <si>
    <t>典出</t>
  </si>
  <si>
    <t>角色资料</t>
  </si>
  <si>
    <t>（此处可以书写百科中对你扮演的角色的介绍，请优先截取侧重点进行复制）</t>
  </si>
  <si>
    <t>你认为友谊是什么？你愿意把后背托付给怎么样的战友？</t>
  </si>
  <si>
    <t>此空白留给GM为了更好理解你扮演的角色而给出询问</t>
  </si>
  <si>
    <t>职阶适性</t>
  </si>
  <si>
    <t>（为什么你扮演的角色作为这个职介现界？）</t>
  </si>
  <si>
    <t>英灵原则</t>
  </si>
  <si>
    <t>（在圣杯战争中，你扮演的角色会遵循哪些世俗的道德原则？又或者他存在自己的原则？）</t>
  </si>
  <si>
    <t>下方的效果将严重影响角色方针，请自行填写描述，由GM决定具体效果</t>
  </si>
  <si>
    <t>特性:</t>
  </si>
  <si>
    <t>（例：无尽的强制）</t>
  </si>
  <si>
    <t>效果︰</t>
  </si>
  <si>
    <t>（例：执行[机动]的回合内作为袭击方参与战斗时将额外获得[+5%]的胜率补正）</t>
  </si>
  <si>
    <t>描述︰</t>
  </si>
  <si>
    <t>（例：你的角色无论如何都不会放弃圣杯，将会用尽一切手段攻击其他可能的阻碍者或在战斗中胜出）</t>
  </si>
  <si>
    <t>*仅包含常用资源</t>
  </si>
  <si>
    <t>基础属性</t>
  </si>
  <si>
    <t>职阶奖励与特性</t>
  </si>
  <si>
    <t>属性</t>
  </si>
  <si>
    <t>[对魔力]上升一级。</t>
  </si>
  <si>
    <t>点数</t>
  </si>
  <si>
    <t>Lancer</t>
  </si>
  <si>
    <t>需要主动释放且[类型：对人宝具]的宝具所消耗的魔力降低10点。</t>
  </si>
  <si>
    <t>Archer</t>
  </si>
  <si>
    <t>从[对魔力]或[单独行动]中，择一项上升一级。</t>
  </si>
  <si>
    <t>Rider</t>
  </si>
  <si>
    <t>从[对魔力]或[骑乘]中，择一项上升一级。</t>
  </si>
  <si>
    <t>Caster</t>
  </si>
  <si>
    <t>从[阵地制作]或[道具制作]中，择一项上升一级。</t>
  </si>
  <si>
    <t>Assassin</t>
  </si>
  <si>
    <t>[气息遮蔽]上升一级。</t>
  </si>
  <si>
    <t>Berserker</t>
  </si>
  <si>
    <t>[狂化]可选择是否上升或下降一级。</t>
  </si>
  <si>
    <t>除了 EX 级别的狂化外，B 等级以上的狂化解放宝具时，</t>
  </si>
  <si>
    <t>需额外消耗一枚令咒才能解放。(该枚令咒将视为胜率补正消耗)。</t>
  </si>
  <si>
    <t>技能资源库</t>
  </si>
  <si>
    <t>基础技能</t>
  </si>
  <si>
    <t>一般</t>
  </si>
  <si>
    <t>名称：</t>
  </si>
  <si>
    <t>枪械精通 A B C</t>
  </si>
  <si>
    <t>类别：</t>
  </si>
  <si>
    <t>使用时机：</t>
  </si>
  <si>
    <t>初始工序</t>
  </si>
  <si>
    <t>八极拳 B</t>
  </si>
  <si>
    <t>在[袭击]或[介入行动]的时候，无条件获得[+20/15/10]的胜率补正。</t>
  </si>
  <si>
    <t>选择对方战斗位上的一名御主发动，令其进行一次成功率=[自身上三维总和-目标上三维总和]的判定 在判定成功后，将会使目标强制退出战斗位，这个判定受[非精神系弱体耐性]的影响。</t>
  </si>
  <si>
    <t>备注：</t>
  </si>
  <si>
    <t>御主等级[30/20/10]可分别获得[A/B/C]等级。</t>
  </si>
  <si>
    <t>情报优势 A B C</t>
  </si>
  <si>
    <t>游戏第一天开始时</t>
  </si>
  <si>
    <t>随机获得除自己以外最多[3/2/1]名[御主]的[详细侦查资料]以及[所在根据地]。</t>
  </si>
  <si>
    <t>投毒 B</t>
  </si>
  <si>
    <t>行动阶段</t>
  </si>
  <si>
    <t>该技能在本次圣杯战争中只能使用一次，发动后选择以下其一发动。
①消耗一个行动阶段，令一个灵脉上的全部[御主]受到一次成功率=[50]的[中毒]判定。
②回合结束时发动，令自身所在灵脉除自身以外的全部[御主]直接[中毒]。</t>
  </si>
  <si>
    <t>御主等级[35/25/15]可分别获得[A/B/C]等级。</t>
  </si>
  <si>
    <t>武术（剑术） A B C</t>
  </si>
  <si>
    <t>主要工序</t>
  </si>
  <si>
    <t>给予自身[筋力 [耐久]、[敏捷]其中一项获得[+15/+10/+5]的属性补正。</t>
  </si>
  <si>
    <t>魔术</t>
  </si>
  <si>
    <t>御主上三维属性的总和[70/50/30]可分别获得[A/B/C]等级。</t>
  </si>
  <si>
    <t>宝石魔术 B</t>
  </si>
  <si>
    <t>最终工序</t>
  </si>
  <si>
    <t>消耗任意一个礼装后发动，给予对方[-20]的胜率惩罚。</t>
  </si>
  <si>
    <t>魔术 A B C</t>
  </si>
  <si>
    <t>有使用[魔力]作为战斗属性的场合，给予敌方[-20/15/10]的胜率惩罚。</t>
  </si>
  <si>
    <t>死灵魔术 B</t>
  </si>
  <si>
    <t>自身[人偶]的制作方式改变为[杀死一名御主]或[进行一次成功的魂食]，但自身的[人偶]将可以复数存在，
且自身的人偶无论数量多少，都将会在战斗时将所有人偶的属性叠加在一起并视为一个单位。</t>
  </si>
  <si>
    <t>御主的[魔]达到[35/25/15]可分别获得[A/B/C]等级。</t>
  </si>
  <si>
    <t>炼金魔术 A B C</t>
  </si>
  <si>
    <t>自身在制作礼装时，将会获得[+25/20/15]的[成功率补正]。
并且在制作礼装时，若出目数在[5]以下时，则这一次制作成功的礼装视为[2]份。</t>
  </si>
  <si>
    <t>利用[魂食]进行[人偶制作]时，在成功时将无法获取相对应的魔力。</t>
  </si>
  <si>
    <t>妨碍傀儡 A</t>
  </si>
  <si>
    <t>战斗前</t>
  </si>
  <si>
    <t>人偶制成 A B C</t>
  </si>
  <si>
    <t>选择场上由自身所控制的全部[人偶]发动，令其对场上一名任意御主进行一次成功率=[人偶数量×30]的判定，在判定成功的情况下，对方御主将无法参与进后续的战斗中。
无论判定成功与否，该技能发动后，自身的人偶都将无法参与进接下来的战斗中。</t>
  </si>
  <si>
    <t>游戏开始时，将会获得一个等级=[30/20/10]，总属性=[60/45/30]的[可命名人偶]。该[人偶]在被摧毁的情况下，可以消耗一个行动阶段来进行一次必定成功的制作。
那之后制作的人偶将会继承上一个被摧毁[人偶]的所有面板。</t>
  </si>
  <si>
    <t>魔力倾泄 A</t>
  </si>
  <si>
    <t>御主的等级[45/30/20]可分别获得[A/B/C]等级。</t>
  </si>
  <si>
    <t>给予对方[-15]的[胜率惩罚]，在发动这个技能时，可以令自身的[魔属性]受到[-10]的[常驻惩罚]来令这个技能所带来的[胜率惩罚]提高至[-30]。</t>
  </si>
  <si>
    <t>该人偶的上三维属性皆不可低于 5，且无法拥有宝属性，也无法作为协力者。</t>
  </si>
  <si>
    <t>该单位所进行的战斗，将会消耗对方从者等级所带来的魔力消耗。</t>
  </si>
  <si>
    <t>狂化咒文 A</t>
  </si>
  <si>
    <t>召唤时</t>
  </si>
  <si>
    <t>该单位持有者在执行无损撤退时，可以无条件的将其一并带走，但是若[人偶]数量为复数时，最多只能带走[1]个</t>
  </si>
  <si>
    <t>召唤时，若自身所召唤的从者职阶不为[berserker]，将可以消耗一枚令咒发动，赋予自身从者[狂化 C]。
该技能可以被[拥有抵消令咒效果]的从者主动抵消。</t>
  </si>
  <si>
    <t>支援</t>
  </si>
  <si>
    <t>狙击支援 A B C</t>
  </si>
  <si>
    <t>发动后，选择一方受到[-15/10/5]的[胜率惩罚]。</t>
  </si>
  <si>
    <t>协议破弃 C</t>
  </si>
  <si>
    <t>本次圣杯战争仅能使用一次，令与自身有关且是自身所签订的一项[契约]失效，且对方将无法察觉[契约]的失效。</t>
  </si>
  <si>
    <t>特化技能</t>
  </si>
  <si>
    <t>礼装资源库</t>
  </si>
  <si>
    <t>可制作礼装</t>
  </si>
  <si>
    <t>额外礼装</t>
  </si>
  <si>
    <t>魔水晶</t>
  </si>
  <si>
    <t>一次性礼装</t>
  </si>
  <si>
    <t>魔宝石 C</t>
  </si>
  <si>
    <t>令一名从者获得[+20]的魔力量。但是制作时，成功率将会受到[-20]的惩罚。</t>
  </si>
  <si>
    <t>该礼装将取代原规则书中的[魔水晶]，可以在任意时机回复自身[+10]的魔力量。
并且作为[宝石魔术]的消耗品时，将额外给予对方[-10]的胜率惩罚。</t>
  </si>
  <si>
    <t>魔力计</t>
  </si>
  <si>
    <t>[九键] B</t>
  </si>
  <si>
    <t>常驻礼装</t>
  </si>
  <si>
    <t>对己方行动阶段所执行的任一判定进行一次重骰。</t>
  </si>
  <si>
    <t>战斗中，无条件给予自身[+15]的胜率补正。该[胜率补正]不可与其他[九键]复数叠加。</t>
  </si>
  <si>
    <t>魔能弹</t>
  </si>
  <si>
    <t>刃无锋 B</t>
  </si>
  <si>
    <t>战斗在场时才可以使用，令战斗中的一方获得[+5]的胜率补正，同一阵营在同一场战斗中最多可使用三个。</t>
  </si>
  <si>
    <t>给予自身[+20]的[胜率补正]，但是将会令对方获得[+10]的[保底胜率]。</t>
  </si>
  <si>
    <t>使魔</t>
  </si>
  <si>
    <t>豪风魔弹 A</t>
  </si>
  <si>
    <t>己方阵营所执行的[侦查]获得[+10%]成功率。使魔是可以被任意阵营主动破坏的。
在持有使魔的情况下，每回合能不消耗行动阶段与一个阵营进行使魔交流。
但就算持有复数的使魔，也只能最多与一个阵营进行使魔交流。</t>
  </si>
  <si>
    <t>在行动阶段中，自身可以将所持有的[3]个[魔能弹]转化为[1]枚[豪风魔弹]，这个转化将视为[不消耗行动阶段且必定成功的礼装制作]。
[豪风魔弹]能在战斗的任意工序中使用，使用时将给予自身[+20]的[胜率补正]，但一场战斗中最多只能使用[1]个。</t>
  </si>
  <si>
    <t>咒符</t>
  </si>
  <si>
    <t>现代机车 B</t>
  </si>
  <si>
    <t>常驻/行动阶段</t>
  </si>
  <si>
    <t>在己方阵营所释放[负面判定]时，可以消耗该礼装令这一次判定额外获得[+10]的[成功率补正]。
该礼装一次战斗中最多只能使用一次，且同一判定中仅能使用一枚。</t>
  </si>
  <si>
    <t>自身的[敏]属性获得[+10]的[常驻补正]。 
当自身从者[人物卡]上具有空余的[宝具位]时，可以消耗一个回合令其成为从者[宝具]。
——————————————————————————————————————
宝具：（你们自己想）E 类别：常驻宝具 消耗：0
效果：自身的[敏]属性获得[+10]的[常驻补正]，且在进入战斗后，将无条件触发[骑乘]。若该宝具的持有者不具备[骑乘]，则将会赋予[骑乘 D]。</t>
  </si>
  <si>
    <t>强制卷轴</t>
  </si>
  <si>
    <t>可允许一份签订具强制效力的契约。具体效果请参照规则后续[关于双方的强制契约]。</t>
  </si>
  <si>
    <t>九头蛇短刀 B</t>
  </si>
  <si>
    <t>Azoth 剑</t>
  </si>
  <si>
    <t>回合开始/结束时</t>
  </si>
  <si>
    <t>可以在任意的时间点对一名御主进行一次成功率=[50]的投掷判定，在命中的情况下，那一名御主将会直接进入[中毒]状态，反之，如果没有命中，则对方御主将会获得这个礼装。
这个礼装的投掷判定固定为[50]，无法以任何形式改变这个成功率，也无法以任何形式提前知晓这个判定是否成功。</t>
  </si>
  <si>
    <t>对一名同灵脉的御主角色，进行成功率 0%的即死判定。若持有者与目标间有协力者契约，成功率额外+20%。
目标与持有者于同灵脉共渡的每一个回合结算，将使成功率+20%。
若被指定的角色，曾被[Azoth 剑]或同类的判定所指定，该即死判定必定失败。</t>
  </si>
  <si>
    <t>（你们自己想）A</t>
  </si>
  <si>
    <t>当持有者捅自己时，gm 可以选择这项规则——持有者捅自己时，即死基础率20%，并且 Azoth 剑享受增加即死率的效果。</t>
  </si>
  <si>
    <t>一般[无损撤退]礼装分为以下两个效果，车写的时候请选择其一进行车写。
①战败后，破弃该礼装进行一次仅限[己方]的[无损撤退]。
②破弃该礼装，令[己方]在这一场战斗所执行的[无损撤退]时，所需要的令咒数量只需要[1]。</t>
  </si>
  <si>
    <t>技能资源列表</t>
  </si>
  <si>
    <t>宝具资源列表</t>
  </si>
  <si>
    <t>时机</t>
  </si>
  <si>
    <t>魔耗</t>
  </si>
  <si>
    <t>技能发动时</t>
  </si>
  <si>
    <t>E</t>
  </si>
  <si>
    <t>[反击][支援]
当自身成为此技能等级相同或以下的[类型：魔术]技能的效果对象，或受到其效果影响时可以发动，令那个技能对自身可能生效的效果无效，且不会返还发动消耗。</t>
  </si>
  <si>
    <t>D</t>
  </si>
  <si>
    <t>B</t>
  </si>
  <si>
    <t>骑乘</t>
  </si>
  <si>
    <t>自身具有[骑乘]的技能或宝具生效时，给予自身[+10%]的胜率补正。</t>
  </si>
  <si>
    <t>自身具有[骑乘]的技能或宝具生效时，给予自身[+20%]的胜率补正。</t>
  </si>
  <si>
    <t>自身具有[骑乘]的技能或宝具生效时，给予自身[+30%]的胜率补正。</t>
  </si>
  <si>
    <t>自身具有[骑乘]的技能或宝具生效时，给予自身[+40%]的胜率补正。</t>
  </si>
  <si>
    <t>自身具有[骑乘]的技能或宝具生效时，给予自身[+50%]的胜率补正。</t>
  </si>
  <si>
    <t>单独行动</t>
  </si>
  <si>
    <t>自身进行广泛侦查时，额外获得[+10%]的最终成功率补正。
自身魔力下限改为[-200]，魔力不足惩罚改为每达到[-20]，全属性将受到[-5]的惩罚。
御主死亡或与御主解除[圣杯契约]后仍可以存活[1]天，在此期间将不结算待机耗魔，但亦无法获得来自[灵脉]或[圣杯]的供魔。
魔力不足达到下限或剩余回合数不足时将会消灭。</t>
  </si>
  <si>
    <t>自身进行广泛侦查时，额外获得[+20%]的最终成功率补正。
自身魔力下限改为[-200]，魔力不足惩罚改为每达到[-20]，全属性将受到[-5]的惩罚。
御主死亡或与御主解除[圣杯契约]后仍可以存活[2]天，在此期间将不结算待机耗魔，但亦无法获得来自[灵脉]或[圣杯]的供魔。
魔力不足达到下限或剩余回合数不足时将会消灭。</t>
  </si>
  <si>
    <t>自身进行广泛侦查时，额外获得[+30%]的最终成功率补正。
自身魔力下限改为[-200]，魔力不足惩罚改为每达到[-20]，全属性将受到[-5]的惩罚。
御主死亡或与御主解除[圣杯契约]后仍可以存活[3]天，在此期间将不结算待机耗魔，但亦无法获得来自[灵脉]或[圣杯]的供魔。
魔力不足达到下限或剩余回合数不足时将会消灭。</t>
  </si>
  <si>
    <t>自身进行广泛侦查时，额外获得[+40%]的最终成功率补正。
自身魔力下限改为[-200]，魔力不足惩罚改为每达到[-20]，全属性将受到[-5]的惩罚。
御主死亡或与御主解除[圣杯契约]后仍可以存活[4]天，在此期间将不结算待机耗魔，但亦无法获得来自[灵脉]或[圣杯]的供魔。
魔力不足达到下限或剩余回合数不足时将会消灭。</t>
  </si>
  <si>
    <t>自身进行广泛侦查时，额外获得[+50%]的最终成功率补正。
自身魔力下限改为[-200]，魔力不足惩罚改为每达到[-20]，全属性将受到[-5]的惩罚。
御主死亡或与御主解除[圣杯契约]后仍可以存活[5]天，在此期间将不结算待机耗魔，但亦无法获得来自[灵脉]或[圣杯]的供魔。
魔力不足达到下限或剩余回合数不足时将会消灭。</t>
  </si>
  <si>
    <t>阵地制作</t>
  </si>
  <si>
    <t>职介/魔术</t>
  </si>
  <si>
    <t>消耗一回合行动后发动，付与当前灵脉[阵地]。赋予灵脉[+10]的魔力量提升。
在该[阵地]上进行战斗时，将会自动触发，给予对方[-10%]的[胜率惩罚]。[阵地]不可叠加。</t>
  </si>
  <si>
    <t>消耗一回合行动后发动，付与当前灵脉[阵地]。赋予灵脉[+10]的魔力量提升。
在该[阵地]上进行战斗时，将会自动触发，给予对方[-20%]的[胜率惩罚]。[阵地]不可叠加。</t>
  </si>
  <si>
    <t>允许持有者进行[魔术工房]的建设，可以20的魔力消耗代替建造所消耗的次数。自阵营持有存在[魔术工房]的灵脉上，构造容量获得[2]的扩充。</t>
  </si>
  <si>
    <t>允许持有者进行[魔术工房]的建设，可以20的魔力消耗代替建造所消耗的次数。自阵营持有存在[魔术工房]的灵脉上，构造容量获得[4]的扩充。</t>
  </si>
  <si>
    <t>允许进行[神殿]的建设。可以消耗魔力与行动阶段，将当前灵脉上全部工房的基本构件更换为一个神殿的基本构件。</t>
  </si>
  <si>
    <t>道具制作</t>
  </si>
  <si>
    <t>允许持有者进行礼装制作。
在自身[制作礼装]时，可将成功率改为自身[基础魔力*2%]。
一场战斗中自身可以使用的礼装上限额外[+1]。</t>
  </si>
  <si>
    <t>允许持有者进行礼装制作。
在自身[制作礼装]时，可将成功率改为自身[基础魔力*2%]。
一场战斗中自身可以使用的礼装上限额外[+2]。</t>
  </si>
  <si>
    <t>允许持有者进行礼装制作。
在自身[制作礼装]时，可将成功率改为自身[基础魔力*2%]。
一场战斗中自身可以使用的礼装上限额外[+3]。</t>
  </si>
  <si>
    <t>允许持有者进行礼装制作。
在自身[制作礼装]时，可将成功率改为自身[基础魔力*2%]。
一场战斗中自身可以使用的礼装上限额外[+4]。</t>
  </si>
  <si>
    <t>允许持有者进行礼装制作。
在自身[制作礼装]时，可将成功率改为自身[基础魔力*2%]。
一场战斗中自身可以使用的礼装上限额外[+5]。</t>
  </si>
  <si>
    <t>气息遮蔽</t>
  </si>
  <si>
    <t>任意阵营进行广泛侦查时，若侦查判定结果在[25]以上，那么自身不会因此暴露所在位置。自身不会因开局获得情报的能力暴露所在位置。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若敌方主力位单位初次与自身进行战斗，且未对自身进行成功的真名猜测时，则给予己方[+10%]的胜率补正。</t>
  </si>
  <si>
    <t>任意阵营进行广泛侦查时，若侦查判定结果在[20]以上，那么自身不会因此暴露所在位置。自身不会因开局获得情报的能力暴露所在位置。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若敌方主力位单位初次与自身进行战斗，且未对自身进行成功的真名猜测时，则给予己方[+20%]的胜率补正。</t>
  </si>
  <si>
    <t>任意阵营进行广泛侦查时，若侦查判定结果在[15]以上，那么自身不会因此暴露所在位置。自身不会因开局获得情报的能力暴露所在位置。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若敌方主力位单位初次与自身进行战斗，且未对自身进行成功的真名猜测时，则给予己方[+30%]的胜率补正。</t>
  </si>
  <si>
    <t>任意阵营进行广泛侦查时，若侦查判定结果在[10]以上，那么自身不会因此暴露所在位置。自身不会因开局获得情报的能力暴露所在位置。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若敌方主力位单位初次与自身进行战斗，且未对自身进行成功的真名猜测时，则给予己方[+40%]的胜率补正。</t>
  </si>
  <si>
    <t>任意阵营进行广泛侦查时，若侦查判定结果在[5]以上，那么自身不会因此暴露所在位置。自身不会因开局获得情报的能力暴露所在位置。
只要自身与自阵营御主位于同灵脉上，那么自阵营御主也将会受到以上效果影响。
若敌方主力位单位初次与自身进行战斗，且未对自身进行成功的真名猜测时，则给予己方[+50%]的胜率补正。</t>
  </si>
  <si>
    <t>狂化</t>
  </si>
  <si>
    <t>自身拥有除[宝具]以外全属性[+10]的常驻补正。
自身每次主动解放宝具时，如御主不宣言消耗一枚令咒则无法进行解放。
自身契约御主每消耗一枚令咒时，此技能带来的常驻补正[+5]，且消耗魔力[+10]。</t>
  </si>
  <si>
    <t>自身拥有除[宝具]以外全属性[+15]的常驻补正。
自身每次主动解放宝具时，如御主不宣言消耗一枚令咒则无法进行解放。
自身契约御主每消耗一枚令咒时，此技能带来的常驻补正[+5]，且消耗魔力[+10]。</t>
  </si>
  <si>
    <t>自身拥有除[宝具]以外全属性[+20]的常驻补正。
自身每次主动解放宝具时，如御主不宣言消耗一枚令咒则无法进行解放。
自身契约御主每消耗一枚令咒时，此技能带来的常驻补正[+5]，且消耗魔力[+10]。</t>
  </si>
  <si>
    <t>自身拥有除[宝具]以外全属性[+25]的常驻补正。
自身每次主动解放宝具时，如御主不宣言消耗一枚令咒则无法进行解放。
自身契约御主每消耗一枚令咒时，此技能带来的常驻补正[+5]，且消耗魔力[+10]。</t>
  </si>
  <si>
    <t>自身拥有除[宝具]以外全属性[+30]的常驻补正。
自身每次主动解放宝具时，如御主不宣言消耗一枚令咒则无法进行解放。
自身契约御主每消耗一枚令咒时，此技能带来的常驻补正[+5]，且消耗魔力[+10]。</t>
  </si>
  <si>
    <t>EX</t>
  </si>
  <si>
    <t>自身拥有除[宝具]以外全属性[+20]的常驻补正。
建卡时必须从以下效果中选择1项：
1、在战斗中，自身无法撤退；
2、自身无法与任意其他单位共处一方战斗位上；
3、自身无法交流，无法进行语言类和心理类的角色扮演（原则上禁止脑交）；
4、自身无法经由任何办法发起袭击；
5、每天必须参与一次战斗、否则额外产生20魔耗。</t>
  </si>
  <si>
    <t>己方战斗位上存在每一体单位，将会给予自身[+10%]的胜率补正。
这个技能带来的胜率补正上限为[10%]。</t>
  </si>
  <si>
    <t>己方战斗位上存在每一体单位，将会给予自身[+10%]的胜率补正。
这个技能带来的胜率补正上限为[20%]。</t>
  </si>
  <si>
    <t>己方战斗位上存在每一体单位，将会给予自身[+10%]的胜率补正。
这个技能带来的胜率补正上限为[30%]。</t>
  </si>
  <si>
    <t>己方战斗位上存在每一体单位，将会给予自身[+10%]的胜率补正。
这个技能带来的胜率补正上限为[40%]。</t>
  </si>
  <si>
    <t>己方战斗位上存在每一体单位，将会给予自身[+10%]的胜率补正。
这个技能带来的胜率补正上限为[50%]。</t>
  </si>
  <si>
    <t>[反击][支援]
当自身成为任一与不大于此技能等级的技能或宝具目标时才可以解放，指定那个技能或宝具的发动者。
给予自身[抗性上升：15%]。
以自身为目标的每个负面判定失败时，给予自身[+5%]的胜率补正。</t>
  </si>
  <si>
    <t>心眼（伪）</t>
  </si>
  <si>
    <t>每有一项在[战斗属性表]中处于劣势的属性，都会给予自身[+15%]的胜率补正。
这个技能带来的胜率补正上限为[15%]。</t>
  </si>
  <si>
    <t>每有一项在[战斗属性表]中处于劣势的属性，都会给予自身[+15%]的胜率补正。
这个技能带来的胜率补正上限为[30%]。</t>
  </si>
  <si>
    <t>每有一项在[战斗属性表]中处于劣势的属性，都会给予自身[+15%]的胜率补正。
这个技能带来的胜率补正上限为[45%]。</t>
  </si>
  <si>
    <t>勇猛</t>
  </si>
  <si>
    <t>战术为[强击]或[破袭]，且未失效的场合，给予自身[+15%]的胜率补正。</t>
  </si>
  <si>
    <t>战术为[强击]或[破袭]，且未失效的场合，给予自身[+20%]的胜率补正。</t>
  </si>
  <si>
    <t>战术为[强击]或[破袭]，且未失效的场合，给予自身[+25%]的胜率补正。</t>
  </si>
  <si>
    <t>战术为[强击]或[破袭]，且未失效的场合，给予自身[+30%]的胜率补正。</t>
  </si>
  <si>
    <t>战术为[强击]或[破袭]，且未失效的场合，给予自身[+35%]的胜率补正。</t>
  </si>
  <si>
    <t>怪力</t>
  </si>
  <si>
    <t>自身的[筋力]获得[+20]的基础补正。</t>
  </si>
  <si>
    <t>自身的[筋力]获得[+25]的基础补正。</t>
  </si>
  <si>
    <t>自身的[筋力]获得[+30]的基础补正。</t>
  </si>
  <si>
    <t>千里眼</t>
  </si>
  <si>
    <t>自身不必处于战斗发生灵脉上，也能知悉未被隐藏的战斗之[战斗计算表]上的内容。
当自身在进行[侦查]相关的行动指令时，将会获得[+10%]的基础成功率补正。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</si>
  <si>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当自身在进行[侦查]相关的行动指令时，将会获得[+20%]的基础成功率补正。
当自身保有的[类型：魔术]技能发动时，若需进行发动判定，则判定出目默认为[1]。</t>
  </si>
  <si>
    <t>自身不必处于战斗发生灵脉上，也能知悉未被隐藏的战斗之[战斗计算表]上的内容。
当自身在进行[侦查]相关的行动指令时，将会获得[+30%]的基础成功率补正。
当自身保有的[类型：魔术]技能发动时，若需进行发动判定，则判定出目默认为[1]。</t>
  </si>
  <si>
    <t>石化之魔眼</t>
  </si>
  <si>
    <t>回合开始或发生干涉时，对当前灵脉上除自身以外所有单位进行一次成功率为[10%]的[石化]判定。成功的场合下，给予目标[石化]。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</si>
  <si>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回合开始或发生干涉时，对当前灵脉上除自身以外所有单位进行一次成功率为[25%]的[石化]判定。成功的场合下，给予目标[石化]。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</si>
  <si>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回合开始或发生干涉时，对当前灵脉上除自身以外所有单位进行一次成功率为[40%]的[石化]判定。成功的场合下，给予目标[石化]。
该技能类型同时视为[魔术]。
若自身持有任一包含[封印]的技能或宝具，可以通过支付那个技能或宝具之一半的发动消耗，该技能永久变为与该技能同等级的[石化之魔眼（封印）]。
此技能在一回合中对于同一单位仅会生效一次。</t>
  </si>
  <si>
    <t>藏知的司书</t>
  </si>
  <si>
    <t>进行一次成功率=[20%]的判定，成功的场合下，获得除自身与同阵营单位外随机单位的位置信息；若已知其位置信息，且对方为御主，则获得其详细侦查信息。</t>
  </si>
  <si>
    <t>进行一次成功率=[40%]的判定，成功的场合下，获得除自身与同阵营单位外随机单位的位置信息；若已知其位置信息，且对方为御主，则获得其详细侦查信息。</t>
  </si>
  <si>
    <t>进行一次成功率=[60%]的判定，成功的场合下，获得除自身与同阵营单位外随机单位的位置信息；若已知其位置信息，且对方为御主，则获得其详细侦查信息。</t>
  </si>
  <si>
    <t>进行一次成功率=[80%]的判定，成功的场合下，获得除自身与同阵营单位外随机单位的位置信息；若已知其位置信息，且对方为御主，则获得其详细侦查信息。</t>
  </si>
  <si>
    <t>给予自身的[筋力][耐久][敏捷]当中的任一项属性[+5]的常驻补正与[+10%]的胜率补正。
这个技能带来的常驻补正将会在回合结束时失去。</t>
  </si>
  <si>
    <t>给予自身的[筋力][耐久][敏捷]当中的任一项属性[+10]的常驻补正与[+10%]的胜率补正。
这个技能带来的常驻补正将会在回合结束时失去。</t>
  </si>
  <si>
    <t>给予自身的[筋力][耐久][敏捷]当中的任一项属性[+15]的常驻补正与[+10%]的胜率补正。
这个技能带来的常驻补正将会在回合结束时失去。</t>
  </si>
  <si>
    <t>军略</t>
  </si>
  <si>
    <t>[主力位]
自身[战术]未被克制时才能生效。
我方发动[对军宝具]时，给予自身[+5%]的胜率补正。
自身[战术]克制敌方，且在敌方发动[对军宝具]时，给予自身[+5%]的胜率补正。</t>
  </si>
  <si>
    <t>[主力位]
自身[战术]未被克制时才能生效。
我方发动[对军宝具]时，给予自身[+10%]的胜率补正。
自身[战术]克制敌方，且在敌方发动[对军宝具]时，给予自身[+10%]的胜率补正。</t>
  </si>
  <si>
    <t>[主力位]
自身[战术]未被克制时才能生效。
我方发动[对军宝具]时，给予自身[+15%]的胜率补正。
自身[战术]克制敌方，且在敌方发动[对军宝具]时，给予自身[+15%]的胜率补正。</t>
  </si>
  <si>
    <t>[主力位]
自身[战术]未被克制时才能生效。
我方发动[对军宝具]时，给予自身[+20%]的胜率补正。
自身[战术]克制敌方，且在敌方发动[对军宝具]时，给予自身[+20%]的胜率补正。</t>
  </si>
  <si>
    <t>[主力位]
自身[战术]未被克制时才能生效。
我方发动[对军宝具]时，给予自身[+25%]的胜率补正。
自身[战术]克制敌方，且在敌方发动[对军宝具]时，给予自身[+25%]的胜率补正。</t>
  </si>
  <si>
    <t>从者等级</t>
  </si>
  <si>
    <t>分配点数</t>
  </si>
  <si>
    <t>筋力：</t>
  </si>
  <si>
    <t>耐力：</t>
  </si>
  <si>
    <t>敏捷：</t>
  </si>
  <si>
    <t>魔力：</t>
  </si>
  <si>
    <t>幸运：</t>
  </si>
  <si>
    <t>宝具：</t>
  </si>
  <si>
    <t>职阶特性</t>
  </si>
  <si>
    <t>宝具栏数量最大为2，建卡时可以通过放弃【骑乘】来额外获得2的RP用于资源兑换。</t>
  </si>
  <si>
    <t>中立·善</t>
  </si>
  <si>
    <t>自身的其中一项等级最高宝具的魔耗【-20】（最低为0），允许宣言指令【冲锋】。</t>
  </si>
  <si>
    <t>混沌·善</t>
  </si>
  <si>
    <t>自身的其中一项等级最高宝具获得【爆发】特性，且建卡时额外拥有2的RP用于在宝具资源上的兑换。</t>
  </si>
  <si>
    <t>秩序·中立</t>
  </si>
  <si>
    <t>初始宝具栏数量为2，且自身其中一项宝具获得【骑乘】特性。</t>
  </si>
  <si>
    <t>空</t>
  </si>
  <si>
    <t>中立·中庸</t>
  </si>
  <si>
    <t>自身的【魔力】属性视为等值的【回路】属性，魔力池额外获得50上限，且自身持有的魔术技能获得【双发】特性。</t>
  </si>
  <si>
    <t>混沌·中立</t>
  </si>
  <si>
    <t>自身发起的负面判定成功率[+20%]调整值。</t>
  </si>
  <si>
    <t>秩序·恶</t>
  </si>
  <si>
    <t>【筋力】【耐久】【敏捷】的分配属性上限修改为80，【魔力】【幸运】的分配属性上限修改为40。</t>
  </si>
  <si>
    <t>中立·恶</t>
  </si>
  <si>
    <t>Avenger</t>
  </si>
  <si>
    <t>混沌·恶</t>
  </si>
  <si>
    <t>Ruler</t>
  </si>
  <si>
    <t>秩序·狂</t>
  </si>
  <si>
    <t>Shielder</t>
  </si>
  <si>
    <t>中立·狂</t>
  </si>
  <si>
    <t>Foreigner</t>
  </si>
  <si>
    <t>混沌·狂</t>
  </si>
  <si>
    <t>Alterego</t>
  </si>
  <si>
    <t>Moon Cancer</t>
  </si>
  <si>
    <t>Beast</t>
  </si>
  <si>
    <t>自填</t>
  </si>
  <si>
    <t>等级转化资源</t>
  </si>
  <si>
    <t>A++</t>
  </si>
  <si>
    <t>A+</t>
  </si>
  <si>
    <t>B++</t>
  </si>
  <si>
    <t>B+</t>
  </si>
  <si>
    <t>C++</t>
  </si>
  <si>
    <t>C+</t>
  </si>
  <si>
    <t>D++</t>
  </si>
  <si>
    <t>D+</t>
  </si>
  <si>
    <t>E++</t>
  </si>
  <si>
    <t>E+</t>
  </si>
  <si>
    <t>Saber(附带骑乘)</t>
  </si>
  <si>
    <t>Saber(骑乘)</t>
  </si>
  <si>
    <t>秩序-善</t>
  </si>
  <si>
    <t>A++++</t>
  </si>
  <si>
    <t>技能等级转化资源</t>
  </si>
  <si>
    <t>宝具等级转化资源</t>
  </si>
  <si>
    <t>- [视为A级]</t>
  </si>
  <si>
    <t>- [视为C级]</t>
  </si>
  <si>
    <t>- [视为B级]</t>
  </si>
  <si>
    <t>职阶技能等级转化资源</t>
  </si>
  <si>
    <t>B(本职)</t>
  </si>
  <si>
    <t>C(本职)</t>
  </si>
  <si>
    <t>D(本职)</t>
  </si>
  <si>
    <t>E(本职)</t>
  </si>
  <si>
    <t>A(本职)</t>
  </si>
  <si>
    <t>A+(本职)</t>
  </si>
  <si>
    <t>元素精灵</t>
  </si>
  <si>
    <t>[储备 0/10]
此技能有以下两种发动方式：
1、行动阶段发动，此技能储备[+1]。
2、[反击]
在自身技能宝具效果将要给予当前灵脉任意数量单位[中毒][灼伤][感电]时对那些单位发动，若那个[异常状态]被成功给予，额外给予目标[中毒 1][灼烧 1][感电 1]，这之后，此技能储备[-1]。</t>
  </si>
  <si>
    <t xml:space="preserve">联通深渊的回应 </t>
  </si>
  <si>
    <t xml:space="preserve">这是深渊的呼唤，这是痛苦的懊悔，这是深渊的援助，这是恶魔与深海的力量 </t>
  </si>
  <si>
    <t>流电学</t>
  </si>
  <si>
    <t>流电学 B C D
类型：天赋 发动时机：常驻 消耗魔力：0 回转：0
自身产生魔力消耗时，给予自身[感电 1]；若这个魔力消耗因技能或宝具而产生，给予那个技
能或宝具的施术者与目标[感电 1]。
[构装体]单位在受到此技能影响时额外获得[感电 1]。
此技能每个回合对同一单位至多生效[4/3/2]次。
特别的，建卡时，允许以 A 级[类型：技艺]作为模版获取此技能，那个场合下此技能不会给予
其他单位[感电]，生效次数上限变为[5]，且每当自身获得[感电]时都会给予自身[10]的魔力供给。
*在结算等级带来的魔力消耗时，同样会触发此技能的效果。</t>
  </si>
  <si>
    <t>自身产生魔力消耗时，给予自身[感电 1]；若这个魔力消耗因技能或宝具而产生，给予那个技
能或宝具的施术者与目标[感电 1]。
[构装体]单位在受到此技能影响时额外获得[感电 1]。
此技能每个回合对同一单位至多生效[4/3/2]次。
特别的，建卡时，允许以 A 级[类型：技艺]作为模版获取此技能，那个场合下此技能不会给予
其他单位[感电]，生效次数上限变为[5]，且每当自身获得[感电]时都会给予自身[10]的魔力供给。
*在结算等级带来的魔力消耗时，同样会触发此技能的效果。</t>
  </si>
  <si>
    <t xml:space="preserve">人类的智慧 </t>
  </si>
  <si>
    <t>哪怕是毒蛇与恶魔，海兽与人类，都会有互相学习的地方</t>
  </si>
  <si>
    <t xml:space="preserve">偷学的谋略 </t>
  </si>
  <si>
    <t>[主力位]
己方[战术]未被克制时，下列效果生效：
双方战斗位任意单位发动[对军宝具]时，给予自身[+25/20/15/10/5]的胜率补正。
若己方[战术]克制敌方，给予自身[+25/20/15/10/5]的胜率补正。</t>
  </si>
  <si>
    <t>在英灵殿中跟一位名字很长的大叔学的，那家伙的名字里好像有什么 二世</t>
  </si>
  <si>
    <t xml:space="preserve">贯通魔神之躯 </t>
  </si>
  <si>
    <t>磔型之雷树</t>
  </si>
  <si>
    <t xml:space="preserve">此宝具存在以下两种解放方式：
1、视为[类型：对人]；令自身或自身持有的任一魔力池消耗至下限，给予对方战斗位上任一单
位[消耗魔力/10]层数的[感电]，这之后，给予目标[激荡]。此宝具立即获得 6 回转。
2、视为[类型：对军]；令自身或自身持有的任一魔力池消耗至下限，给予对方除[支援位]外全
部单位[消耗魔力/20]层数的[感电]，这之后，给予目标[激荡]。
此宝具给予每个单位的[感电]层数至多为[12/10/8/6]。
</t>
  </si>
  <si>
    <t>对军/对人</t>
  </si>
  <si>
    <t>天之锁</t>
  </si>
  <si>
    <t>指定当前灵脉上任一单位为目标，若其持有[神性]且不保有等级高于此宝具的[神性]，根据其保
有的[神性]等级给予其对应效果:
[神性 A]:全部宝具获得[封印 3/-/-]，在战斗中受到[-宝具属性数值]的[宝具]属性惩罚;
[神性 B]:全部非[类型:常驻]的宝具获得[封印 3/2/-];
[神性 C]或以上:全部技能获得[封印 3/2/1];
[神性 D]或以上:受到的胜率补正、属性补正削减[-15/10/5]，撤退消耗 FP[+1];
[特性:神性]:无法在战斗外主动退出[干涉]且全属性受到[-15/10/5]的常驻惩罚。
若此宝具给予目标的[封印]状态为[0]，此宝具可以再次指定当前灵脉上任一目标进行解放。
此宝具的全部效果会在再次解放时或目标与自身不处于同一灵脉时清除。
除以上效果外，可以随时消耗[30]魔力进行宣言，清除此宝具给予目标的效果。</t>
  </si>
  <si>
    <t>复仇之恶矛</t>
  </si>
  <si>
    <t xml:space="preserve">你知道被称为恶兽的可能吗 ？些人那些人都有罪 </t>
  </si>
  <si>
    <t xml:space="preserve">在英灵殿跟一个名字很长的大叔学的战术 </t>
  </si>
  <si>
    <t>无冠之武艺</t>
  </si>
  <si>
    <t xml:space="preserve">仅画风持有无实际效果 </t>
  </si>
  <si>
    <t>在战斗中，始终给予自身全属性[+10]的属性补正。
若敌方战斗位上不存在持有自身[面向：荣冠]技能[技能信息]的单位，始终给予自身[+50%]的胜
率补正。
若敌方战斗位上存在获悉自身[真名]的单位，此技能暂时失效。</t>
  </si>
  <si>
    <t>我是谁来着？</t>
  </si>
  <si>
    <t xml:space="preserve">时间过于久远，也有可能是自己种族的问题，自己都忘了自己叫啥了 </t>
  </si>
  <si>
    <t>[反击][支援]
当自身成为[类型：魔术]技能的效果对象，或受到其效果影响时可以发动，令那个技能的等级
和效果仅在本次生效时对自身下降[5/4/3/2/1]级。
若因此技能而导致其效果等级降低，但其效果不存在相应模板时，将以其效果之最低等级生效；
若其效果等级降低至 E 级以下，则使之无效化，且不会返还发动消耗。
在这个技能达到 A 时，圣杯战争限一次允许令[1]枚令咒对自身的效果无效。</t>
  </si>
  <si>
    <t>[主力位]
己方[战术]未被克制时，下列效果生效：
双方战斗位任意单位发动[对军宝具]时，给予自身[+25/20/15/10/5]的胜率补正。
若己方[战术]克制敌方，给予自身[+25/20/15/10/5]的胜率补正。</t>
  </si>
  <si>
    <t>发动时机、</t>
  </si>
  <si>
    <t>，</t>
  </si>
  <si>
    <t>阵地制造</t>
  </si>
  <si>
    <t>作为以caster职阶降世的张角，其生前具有制造符水等史诗事迹，因此可以正大光明的拥有该项技能
张角的道具作成，本质是扎根于汉末濒死大地的巫仪，是《太平要术》篇章的活体实践，它剥离了传统魔术的优雅逻辑，蜕变为一种“以人愿为薪柴，炼化混沌奇迹”的原始，其产物“符水”，是救赎的圣物，也是灭顶的根源
张角无需魔术工坊，他的“作坊”是流民匍匐的荒野，可能是当时魔术并不流行，也有可能是环境过于恶劣，仅仅只需要寥寥数笔，便能够达到像当前顶级魔术师所绘制的魔术
书写符箓的黄麻纸，需在朔月之夜铺于饿殍横陈的战场，吸收怨为基底；朱砂必混入重病信徒的指尖血，这血液承载着对“黄天太平”的极致渴求，是将人类求生执念提纯为咒力萃取。笔锋游走时，他口诵《太平清领书》残章，九节杖尖震颤共鸣，令符文共鸣，将魔术与自然共鸣。强行运用自然力量为自己所用
一道雷符实为向苍穹劫掠电光的敕令，一纸雨符则是强征河伯泪水的檄文。
此技评为A级，不只是因精妙，而且他不依赖魔力，而是将人类绝望当作燃料，把“绝望”炼成每一瓮符水，以此救世。
盛载之器非金非玉，而是劈开的粗陶土瓮，所汲必是无根水，屋檐未落的雨滴，或深涧不触淤泥的寒泉，关键仪式在于焚符入水，张角将血书黄符悬于水面，九节杖引动地脉浊气化为幽蓝鬼火，舔舐符纸。火焰焚烧的不仅是纸张，更是信徒寄托其中的生命祈愿与痛苦记忆。灰烬落水瞬间，水面翻腾如沸，灰黄雾霭升腾凝结成模糊人形嘶嚎消散。最终，浑浊的符水沉淀出铁锈般的猩红絮状物，散发腐烂桃木与烈酒混合刺鼻气息。那些创痕也早已被封印于此符纸之中，待到作战之日，便可将其魂归敌军，将这些伤痛一一奉还给敌人
除符纸外，他大抵也会做一些别的魔术道具...只不过时代特殊，那个时候的人民需要什么，他便制造什么！倘若好好发挥自己的技巧，也可以在东汉末年争出一个名头。
只可惜，溯其本源，张角也只是一个不忍民生疾苦而自己又无大力足以一人救苍生之人罢了</t>
  </si>
  <si>
    <t>苍天已死 
黄天当立</t>
  </si>
  <si>
    <t>对军/对界</t>
  </si>
  <si>
    <t>，“苍天已死″
那并非预言。是浸透九节杖的百万病民之泪，是焚烧三万卷《太平清领书》升腾的符灰之云，是自中原大地上每一具饿殍瞳仁中映出的、对「失道昊天」的共业裁决。当杖头青铜铃舌震碎雒阳观星的玉圭，汉火德之运便随裂痕没入龟甲灼焦的谶纬。
“黄天当立″
其人所布之道，乃以《太平要术》为枢，将冀州麦田龟裂的地怨、弃婴襁褓中的寒啼、易子而食者喉头的血沫，与对「昏聩苍穹」的万民之诅，凝结为九霄垂落的三十六方青词雷檄。他非僭越者，是代行「黄神」威权的末法祝史。
何事之人？令「祈雨」的祝舞化作引动旱蝗的步罡，使「祷安」的章表咒为焚毁宫观的阴火。当竹简丹书在祭坛爆裂，篆文便成刺入州郡文脉的咒针
他所布阵之处，星官失序。文昌星坠入黄河泛滥的浊流，灵龟卜甲在雷声中绽出「甲子大凶」的阴纹，蓍草散作飘向钜鹿战场的纸钱。地脉中奔涌的不复清流，而是裹挟符灰与尸碱的“黄泉浊流”
若问“苍天″何罪之有？凭谁问？“此苍生又何罪之有呢″
蔽日蝗群是其行军的玄旗，翅浪翻涌声是撕裂《白虎通》的徵之音；千里赤地是其铺展的祭坛，皲裂的土壳下浮出颠覆州郡界碑的咒蛭。
每一粒飞沙皆拓印着「天下大吉」的镜书反字，随东风卷入未央宫椒壁，将「汉」字蚀成中空的墓志。
其宝具显现之刻——  
苍穹倾覆为蒸煮礼乐的巨甑，层云翻卷似十万张飘荡的度死符。撕裂暮色的紫电非天之怒，乃地肺中淤积的疠气遇劫火而化的赤霄九云
当黄麻符巾漫过长安神明台，以流民肠中的观音土为祭米，以冻毙者眉睫的霜晶为盐卤，焚尽太史令掌中的受命玉牒，终在残烬上塑起蜃楼般的「中黄太乙」坛场。 
至此，将那一切的祸患，将那一切的因果，如数奉还至那不顾苍生的「愚代」统治者之上
风雷云起，水火交加，普天象地，万物宗萎
此即大贤良师所求？  
或仅是那根汲尽人间离乱的九节杖，在张角脊骨弯作祭弓后，以黄河决堤的地鸣为阵地，为旧世界献上的罢黜禳业！</t>
  </si>
  <si>
    <t xml:space="preserve">作为以caster职阶，阵地制作与道具做成一直是双生相伴的，因此极具职阶适配性的张角便能够获得B等级的阵地制造
太平祈坛，严格遵循早期道教“法天象地”的仪轨。当九节杖轻触大地，杖首二十八枚铜环应和周天星宿之位震响时，一方调和阴阳的临时圣域便悄然展开。
星斗为图，地脉为络
阵地无需破坏地表。张角踏禹步巡游，步伐暗合洛书轨迹，所过之处地面自然浮现银白色光纹，此乃引动地底灵脉透出的“精气显化”。光纹交织成三层圆坛。外坛浮现八卦卦象，对应八风方位，中坛环绕二十八宿星图，星光虚影浮空三寸，内坛中心隆起微光土台，九节杖植立其上如“建木天梯”
整个祭坛笼罩在薄纱般的青金色雾霭中，散发柏叶与冷泉的清气。令人倾心舒适
阵地本质是放大张角沟通天地之力的媒介，坛内风雨温顺，云气随咒文聚散。张角可小范围调节天候，星图光纹能梳理紊乱的地脉精气，平息轻微地动，使草木焕发生机。踏入阵地的伤者会感到疲惫稍减，因大地精气在温和滋养血肉，书写的符箓在坛内自动汲取游离天地精气，威能提升却更趋稳定。一道“清风符”可化柔风托起坠鸟，“甘霖符”能唤来清甜雨露解渴
而当张角与祭坛中心进行作法，书写雷符时。九节杖顶自动汇聚青白色电光。中坛苍龙星图逐一亮起，云层中传来沉闷龙吟般的滚雷声。阵法将地脉精气升腾为“雷种”，引动大气电荷碰撞，最终从杖顶迸射出一道曲折电蛇劈向目标。此非天罚，而是众民所望！
阵坛虽然比不起那些高贵大气上档次的魔术工坊，但也能做到贴近生活，且可控制天气，功能性俱全，故可达到b级 
</t>
  </si>
  <si>
    <t xml:space="preserve">作为以caster职阶，阵地制作与道具做成一直是双生相伴的，因此极具职阶适配性的张角便能够获得较高等级的阵地制造
太平祈坛，严格遵循早期道教“法天象地”的仪轨。当九节杖轻触大地，杖首二十八枚铜环应和周天星宿之位震响时，一方调和阴阳的临时圣域便悄然展开。
星斗为图，地脉为络
阵地无需破坏地表。张角踏禹步巡游，步伐暗合洛书轨迹，所过之处地面自然浮现银白色光纹，此乃引动地底灵脉透出的“精气显化”。光纹交织成三层圆坛。外坛浮现八卦卦象，对应八风方位，中坛环绕二十八宿星图，星光虚影浮空三寸，内坛中心隆起微光土台，九节杖植立其上如“建木天梯”
整个祭坛笼罩在薄纱般的青金色雾霭中，散发柏叶与冷泉的清气。令人倾心舒适
阵地本质是放大张角沟通天地之力的媒介，坛内风雨温顺，云气随咒文聚散。张角可小范围调节天候，星图光纹能梳理紊乱的地脉精气，平息轻微地动，使草木焕发生机。踏入阵地的伤者会感到疲惫稍减，因大地精气在温和滋养血肉，书写的符箓在坛内自动汲取游离天地精气，威能提升却更趋稳定。一道“清风符”可化柔风托起坠鸟，“甘霖符”能唤来清甜雨露解渴
而当张角与祭坛中心进行作法，书写雷符时。九节杖顶自动汇聚青白色电光。中坛苍龙星图逐一亮起，云层中传来沉闷龙吟般的滚雷声。阵法将地脉精气升腾为“雷种”，引动大气电荷碰撞，最终从杖顶迸射出一道曲折电蛇劈向目标。此非天罚，而是众民所望！
阵坛虽然比不起那些高贵大气上档次的魔术工坊，但也能做到贴近生活，且可控制天气，功能性俱全，故可达到b级 
</t>
  </si>
  <si>
    <t>作为以caster职阶，阵地制作与道具做成一直是双生相伴的，因此极具职阶适配性的张角便能够获得较高等级的阵地制造
太平祈坛，严格遵循早期道教“法天象地”的仪轨。当九节杖轻触大地，杖首二十八枚铜环应和周天星宿之位震响时，一方调和阴阳的临时圣域便悄然展开。
星斗为图，地脉为络
阵地无需破坏地表。张角踏禹步巡游，步伐暗合洛书轨迹，所过之处地面自然浮现银白色光纹，此乃引动地底灵脉透出的“精气显化”。光纹交织成三层圆坛。外坛浮现八卦卦象，对应八风方位，中坛环绕二十八宿星图，星光虚影浮空三寸，内坛中心隆起微光土台，九节杖植立其上如“建木天梯”
整个祭坛笼罩在薄纱般的青金色雾霭中，散发柏叶与冷泉的清气。令人倾心舒适
阵地本质是放大张角沟通天地之力的媒介，坛内风雨温顺，云气随咒文聚散。张角可小范围调节天候，星图光纹能梳理紊乱的地脉精气，平息轻微地动，使草木焕发生机。踏入阵地的伤者会感到疲惫稍减，因大地精气在温和滋养血肉，书写的符箓在坛内自动汲取游离天地精气，威能提升却更趋稳定。一道“清风符”可化柔风托起坠鸟，“甘霖符”能唤来清甜雨露解渴
而当张角与祭坛中心进行作法，书写雷符时。九节杖顶自动汇聚青白色电光。中坛苍龙星图逐一亮起，云层中传来沉闷龙吟般的滚雷声。阵法将地脉精气升腾为“雷种”，引动大气电荷碰撞，最终从杖顶迸射出一道曲折电蛇劈向目标。此非天罚，而是众民所望！
阵坛虽然比不起那些高贵大气上档次的魔术工坊，但也能做到贴近生活，且可控制天气，功能性俱全，故可达到b级</t>
  </si>
  <si>
    <t>太平要术</t>
  </si>
  <si>
    <t>《太平经》融合了道家哲学（尤其是黄老思想)、阴阳五行学说、神仙方术、迷信以及一些原始的社会政治理想，其核心思想是追求太平世界，这是一个没有灾异、疾病、战争、剥削，万物和谐共生，君主贤明，人民安居乐业的理想社会状态
而所谓的太平要术，便是张角运用《太平经》之中的内容，所提炼而出自我额外衍生的衍生变体
其理论根基源自《太平经》：“人为恶，灾及草木，咎返己身”
张角通过符咒与步罡，将目标此生累积的“业障”逐渐的渐渐演化为具象的“三才失衡”，层层叠加终致“天道″反噬
《第一印:地符》
张角以九节杖点地画“地裂符”，唤醒脚下地脉中被其践踏的怨念，符纹将引动淤塞的地气缠绕其足踝 ，移动时拖拽可见的浊黄色地煞之气，步伐沉重如陷沼泽
“坤德厚载，然暴虐者失其承天资格”。
《第二印:火符》
张角甩出朱砂书就的“回禄符”贴附其兵器或术式。此符将对方外泄的功击转化为反噬心火效果，受击者伤口浮现灼热赤斑，使体内阳气暴躁体内阳气暴走，进而引发情绪愈狂躁，脏腑灼痛愈烈
“离火本明，然凶戾者引焰焚心”。
《第三印:水符》
当张角脚踏坎位时，可诵《解厄经》
"祸福无门，惟人自召；善恶之报，如影随形″
九节杖引积雨云笼罩目标。将汇聚恶念降下酸蚀性黑雨，雨水触及皮肤处生成幽蓝色纹路，持续腐蚀身体且破坏目标魔术回路，腐蚀铁器
“玄冥主生，然贪婪者自绝甘露”。
《三才锁咎:雷罚》
当三种印记同时存在，张角将九节杖倒插入地，发动《太平要术》“代天行咎”
天空降下三道昏黄光柱钉住印记，
引土石绊其足，令攻击灼伤己身，将恢复反效为毒
除此之外，三符化一，将引渡天雷，将战场瞬息万变</t>
  </si>
  <si>
    <t xml:space="preserve">《太平经》融合了道家哲学（尤其是黄老思想)、阴阳五行学说、神仙方术、迷信以及一些原始的社会政治理想，其核心思想是追求太平世界，这是一个没有灾异、疾病、战争、剥削，万物和谐共生，君主贤明，人民安居乐业的理想社会状态
而所谓的太平要术，便是张角运用《太平经》之中的内容，所提炼而出自我额外衍生的衍生变体
其理论根基源自《太平经》：“人为恶，灾及草木，咎返己身”
张角通过符咒与步罡，将目标此生累积的“业障”逐渐的渐渐演化为具象的“三才失衡”，层层叠加终致“天道″反噬
《第一印:地符》
张角以九节杖点地画“地裂符”，唤醒脚下地脉中被其践踏的怨念，符纹将引动淤塞的地气缠绕其足踝 ，移动时拖拽可见的浊黄色地煞之气，步伐沉重如陷沼泽
“坤德厚载，然暴虐者失其承天资格”。
《第二印:火符》
张角甩出朱砂书就的“回禄符”贴附其兵器或术式。此符将对方外泄的功击转化为反噬心火效果，受击者伤口浮现灼热赤斑，使体内阳气暴躁体内阳气暴走，进而引发情绪愈狂躁，脏腑灼痛愈烈
“离火本明，然凶戾者引焰焚心”。
《第三印:水符》
当张角脚踏坎位时，可诵《解厄经》
"祸福无门，惟人自召；善恶之报，如影随形″
九节杖引积雨云笼罩目标。将汇聚恶念降下酸蚀性黑雨，雨水触及皮肤处生成幽蓝色纹路，持续腐蚀身体且破坏目标魔术回路，腐蚀铁器
“玄冥主生，然贪婪者自绝甘露”。
《三才锁咎:雷罚》
当三种印记同时存在，张角将九节杖倒插入地，发动《太平要术》“代天行咎”
天空降下三道昏黄光柱钉住印记，
引土石绊其足，令攻击灼伤己身，将恢复反效为毒
除此之外，三符化一，将引渡天雷，将战场瞬息万变	
</t>
  </si>
  <si>
    <t>符水济世</t>
  </si>
  <si>
    <t>冀州大旱数月，田野龟裂，百姓流离失所，疾病肆虐，整个地区陷入绝望之中。
太平道大贤良师张角携弟子来到灾情最重的村落，以符水治病救人的名声已传遍四方，百姓视他为救星
张角高举九节杖引动云涡，杖首铜环震响如凤鸣。天光穿透层云聚焦于青陶瓮，瓮中无根水沸腾翻滚
"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
此后杖身浮现山河脉络虚影。露珠接触大地时，龟裂焦土萌发鹅黄色草芽，枯萎作物茎秆挺立抽穗，穗粒表面流转月华，“地脉即人脉″脚下根须状光纹蔓延全身，魔力随草叶舒展声徐徐恢复。
张角踏禹步诵《太平清领书》，大地持续渗出清香白雾，中和杀伐血气为祥和精气</t>
  </si>
  <si>
    <t>冀州大旱数月，田野龟裂，百姓流离失所，疾病肆虐，整个地区陷入绝望之中。</t>
  </si>
  <si>
    <t>太平道大贤良师张角携弟子来到灾情最重的村落，以符水治病救人的名声已传遍四方，百姓视他为救星</t>
  </si>
  <si>
    <t>张角高举九节杖引动云涡，杖首铜环震响如凤鸣。天光穿透层云聚焦于青陶瓮，瓮中无根水沸腾翻滚</t>
  </si>
  <si>
    <t>"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t>
  </si>
  <si>
    <t>此后杖身浮现山河脉络虚影。露珠接触大地时，龟裂焦土萌发鹅黄色草芽，枯萎作物茎秆挺立抽穗，穗粒表面流转月华，“地脉即人脉″脚下根须状光纹蔓延全身，魔力随草叶舒展声徐徐恢复。</t>
  </si>
  <si>
    <t>张角踏禹步诵《太平清领书》，大地持续渗出清香白雾，中和杀伐血气为祥和精气</t>
  </si>
  <si>
    <t>冀州大旱数月，田野龟裂，百姓流离失所，疾病肆虐，整个地区陷入绝望之中。
太平道大贤良师张角携弟子来到灾情最重的村落，以符水治病救人的名声已传遍四方，百姓视他为救星
张角高举九节杖引动云涡，杖首铜环震响如凤鸣。天光穿透层云聚焦于青陶瓮，瓮中无根水沸腾翻滚
"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
此后杖身浮现山河脉络虚影。露珠接触大地时，龟裂焦土萌发鹅黄色草芽，枯萎作物茎秆挺立抽穗，穗粒表面流转月华，“地脉即人脉″脚下根须状光纹蔓延全身，魔力随草叶舒展声徐徐恢复。
张角踏禹步诵《太平清领书》，大地持续渗出清香白雾，中和杀伐血气为祥和精气
因其统合人理天地，本应只有C级。但因其一路上救命无数，此法也运用的如来生巧，因此实际上大概B级的水平</t>
  </si>
  <si>
    <t>EX(</t>
  </si>
  <si>
    <t>太平八卦</t>
  </si>
  <si>
    <t>《太平经》所载天道、阴阳、五行、星象。而张角作为大汉的大贤良师，自是精通
民间有人称赞张角为:通天地人三才，寻求“太平”之路的巡航 
“太平八卦”为张角隐居山林之间自我攻读道家著作所汇聚而成的大成之品
张角得传《太平要术》后，融合自身对《太平经》的体悟，结合东汉末年天文、历法、地理、气象之学，根基为阴阳五行与星宿分野，阵图以最基础的伏羲八卦方位为骨架(乾天、坤地、震雷、巽风、坎水、离火、艮山、兑泽)，五行(金、木、水、火、土)之气流转其间，代表物质与能量的循环生克，二十八宿星图投影其上，对应大地分野，将天象与地理紧密相连
张角通过常年观察日月星辰的运行、云气的变化、风向的流转、地脉的走向，将浩瀚的自然信息不断纳入这个动态的模型之中
由此之法，可行观自然，顺应自然之变
“天道”即规律，张角坚信，天地万物运行有其内在的，可知的规律。
风雨雷电、山川走向、草木荣枯、乃至人群聚散、社会兴衰，都遵循着阴阳消长、五行流转的道理。太平八卦阵图的核心功能，就是捕捉、模拟并预测这些规律，为之所应用
“循迹”即导航，在复杂地形或异常天气中，阵图能通过分析地磁微变、气流扰动、湿度差异、星月微光，推演出最安全、最快捷或最隐蔽的通行路线。如指出哪里是稳固的地面，哪里有隐藏的水源，何处气流相对平稳，哪条峡谷受风蚀影响最小。除此之外，在战场或大型行动中，阵图能模拟敌我气运的消长，结合地形、天气、时辰，推演出敌军的可能动向、补给线的薄弱点、最佳的进攻/撤退时机与路线。是基于大量环境信息和行为模式进行的高概率推演
对于张角而言，最理想的路径是能导向“太平”的路径，即减少无谓冲突、保存有生力量、顺应天时地利、最终达成目标的路线。阵图会倾向于选择能带来“生”气而非“死”气的路径，但若现场需要，张角也可令阵图立刻呈现“死″气的路径
张角通过手持九节杖点地，以灵力在地面瞬间勾勒出一个小型、旋转的、光芒流转的八卦虚影。八卦各卦位对应方位，五行之气以不同色光，在卦象间流转，核心的太极图缓缓旋转，吸收并处理环境信息。当需要指引方向时，目标地点或意图会被张角的心念注入阵图核心，阵图随即高速运转，卦象生克变化，五行之气流动加剧。最终，一条或数条由微光构成的迹线会从阵图中延伸出去，指向目标方向。这些迹线为当时最适路径的可视化投影，只有张角及其允许的对象能清晰看到。
补充:阵图推演的结果并非绝对真理，它受限于张角输入信息的准确性、环境扰动的剧烈程度以及推演的时间跨度。越是复杂多变的环境，推演所需的专注力和时间越长，结果的不确定性也越大
太平八卦融汇了汉代天文地理、阴阳五行、早期道教思想，用以解读世界密码。揭示隐藏于自然与社会脉动中的最优路径，引导使用者“循天道之迹”，走向目标，走向他所坚信的“太平”。
张角作为“大贤良师”，其领袖魅力部分来源于他能利用这种智慧，在混乱的世道中为迷茫的民众指出一条似乎“得天独厚”的生路</t>
  </si>
  <si>
    <t>冀州大旱数月，田野龟裂，百姓流离失所，疾病肆虐，整个地区陷入绝望之中。
太平道大贤良师张角携弟子来到灾情最重的村落，以符水治病救人的名声已传遍四方，百姓视他为救星
张角高举九节杖引动云涡，杖首铜环震响如凤鸣。天光穿透层云聚焦于青陶瓮，瓮中无根水沸腾翻滚
"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
此后杖身浮现山河脉络虚影。露珠接触大地时，龟裂焦土萌发鹅黄色草芽，枯萎作物茎秆挺立抽穗，穗粒表面流转月华，“地脉即人脉″脚下根须状光纹蔓延全身，魔力随草叶舒展声徐徐恢复。
张角踏禹步诵《太平清领书》，大地持续渗出清香白雾，中和杀伐血气为祥和精气
因其统合人理天地，本应只有D级。但因其一路上救命无数，此法也运用的如来生巧，因此实际上大概C级的水平</t>
  </si>
  <si>
    <t xml:space="preserve">三公将军·供颂太平之道 </t>
  </si>
  <si>
    <t>“苍天已死，黄天当立！岁在甲子，天下大吉！”
这撼动东汉根基的呐喊，是百万黄巾的怒吼，更是张角与两位胞弟张宝、张梁以血脉为纽带，以信仰为誓约，共同谱写的太平序曲。张角为“天公将军”，掌天道，定方向，张宝为“地公将军”，安营扎寨，固守根本，张梁为“人公将军”，统御部众，冲锋陷阵。三兄弟各司其职，缺一不可，共同构成了太平道这艘巨舰的“黄天三柱”</t>
  </si>
  <si>
    <t>“苍天已死，黄天当立！岁在甲子，天下大吉！”
这撼动东汉根基的呐喊，是百万黄巾的怒吼，更是张角与两位胞弟张宝、张梁以血脉为纽带，以信仰为誓约，共同谱写的太平序曲。张角为“天公将军”，掌天道，定方向，张宝为“地公将军”，安营扎寨，固守根本，张梁为“人公将军”，统御部众，冲锋陷阵。三兄弟各司其职，缺一不可，共同构成了太平道这艘巨舰的“黄天三柱”
发动之后，便可将张宝，张梁从英灵殿破格暂时特殊召唤，其兄弟二人将暂时协助张角一段时间，其后便将重新返回英灵殿，因召唤原因，其二人至多可携带一个宝具以及一个技能
虽可召唤额外帮助，但因召唤限制，以及不确定性 故此宝具值可判定为D</t>
  </si>
  <si>
    <t>煌煌的旧梦，予那万民之黄天</t>
  </si>
  <si>
    <t>钜鹿人士，姓张单名一个角字。
本也是读书种子，手不释卷，求的是功名仕进。
怎奈世道浑浊，疫气横行
白骨露于野，千里无鸡鸣
一卷《太平经》悄然入手
从此心窍顿开，别见洞天
不再仰望庙堂之高，
转而俯身泥土之深。
施符水，愈沉疴，解厄难，
足迹踏遍冀、青、幽、徐。
虽是布衣之身，却被万千黎庶唤作“大贤良师
田间地头，符水化入浑浊的井泉，
驱散病痛，也驱散对“天命”的愚昧敬畏。
市井闾巷，低语如风，
“苍天已死”的偈言，在冻僵的耳廓间传递暖意。
夜聚晓散，草鞋踏过霜露浸透的田埂，
三十六方渠帅，眼中映着同一片，黄天的幻影。
那是何等纯粹的旧梦
“老有所终，壮有所用，幼有所长，鳏寡孤独废疾者皆有所养！″
那朱门里倾倒的馊酒，
足以养活整村饥肠辘辘的孩童；
那豪强圈占的沃土，
原是百姓安身立命的祖产。
那高坐明堂的天子，
眼中何曾有过蝼蚁般的草民？
其实自己心中雪亮，
这胸中的愤懑不平，早已如地火奔涌。
即便如此。
当那世家豪奴的鞭子，
再一次抽在佝偻老者的背上，
当那催缴赋税的铜锣，
又一次敲碎贫户最后一丝希望，
他站在高台之上，振臂一呼：
“苍天已死，黄天当立！”
早已看穿了这王朝的末路。
腐朽如千疮百孔的老树，
根基尽烂，只待一阵狂风。
奉承大道之意，
身负革鼎之命，
聚三十六方，裹黄巾百万，
欲扫清寰宇，再造一个太平人间。
星星之火，可以燎原
其势可追昔日陈胜、吴广之呐喊
何其壮阔的愿景，
必须点燃的烽烟！
他的一言可令州郡震恐，
他的符水能聚百万雄兵。
乃是纵为官吏、豪强、高高在上的天子，
亦不可等闲视之的燎原野火。
乃是心腹大患。
必须剿灭，
决不能容其星火蔓延。
当那甲子年的日头升起，
当那“岁在甲子，天下大吉”的号角，
由 百万草芥之喉 同声嘶吼，
这旧梦，
便不再是虚妄的泡影
化作焚烧官廨、砸碎枷锁的粗粝拳头，
化作农妇手中缝制的 杏黄大旗，
化作童子递向义军的那碗 混着泥土的清水。
焚尽腐朽的“苍天”，
予那被践踏、被遗忘的万民，
一个 触手可及、煌煌如日的崭新人间！
其势...
足令巍巍雒阳为之动摇，
足令衮衮诸公魂飞魄散！
何其壮烈的幻梦，
必须实现的夙愿！
它的一粒火星可引动山呼海啸，
它的一道符箓能聚起移山填海之伟力。
乃是纵为帝王、将相、食肉吮髓的世家门阀，
亦不可直视、不可阻挡的 民心之怒涛
乃是倾覆乾坤的狂澜。
必须扑灭，
必须将其扼杀于襁褓
(此宝具解放后，对全体友方进行一个增益，增益效果根据当前卦象图决定)</t>
  </si>
  <si>
    <t>特殊</t>
  </si>
  <si>
    <t>对人/</t>
  </si>
  <si>
    <t>祝福</t>
  </si>
  <si>
    <t>E~EX</t>
  </si>
  <si>
    <t>对人~对界</t>
  </si>
  <si>
    <t>男</t>
  </si>
  <si>
    <t>张角</t>
  </si>
  <si>
    <t>道士</t>
  </si>
  <si>
    <t>东汉末年</t>
  </si>
  <si>
    <t>秩序-中庸</t>
  </si>
  <si>
    <t>混沌-中庸</t>
  </si>
  <si>
    <t>不动平民百姓一分一毫</t>
  </si>
  <si>
    <t>都道士了，肯定能当c</t>
  </si>
  <si>
    <t xml:space="preserve">为了让天底下百姓能够得到一个太平盛世 </t>
  </si>
  <si>
    <t>为了让天底下百姓能够得到一个太平盛世，倘若现在已经是太平盛世 便可放弃</t>
  </si>
  <si>
    <t xml:space="preserve">与自己观念一致 </t>
  </si>
  <si>
    <t>如同对待当时的</t>
  </si>
  <si>
    <t>友谊便是盟友，便是值得信任的伙伴</t>
  </si>
  <si>
    <t>宗教与神秘学</t>
  </si>
  <si>
    <t>腐败的统治者，传统的儒家学说</t>
  </si>
  <si>
    <t>腐败的统治者，传统的儒家学说，背叛与怀疑</t>
  </si>
  <si>
    <t>“跪天跪地，不跪腐汉！黄巾覆额之日，便是万民站起来之时！”</t>
  </si>
  <si>
    <t>天海</t>
  </si>
  <si>
    <t>一个普通的黄袍道士</t>
  </si>
  <si>
    <t>张角（？—184年），冀州巨鹿（今河北平乡西南）人，[30]是道教领袖[54]，东汉末年太平道首领、“黄巾起义”领导人，自号大贤良师、天公将军。[1][3]
张角出身巨鹿，[30]最初以传授弟子法术和咒语，创立了太平道，后来通过符水治疗病人，结交十常侍为内应[38]，以传道和治病为名，在农民中宣扬教义，进行秘密活动[30]。在青（今山东西北、胶东）、徐（今山东南部、江苏、长江以北）、幽（今河北东部、辽宁）、冀（今河北中部、南部）等八州发展了数十万信徒。[1]随后张角整编信徒，在各地传布口号，预谋起事。[3]中平元年（184年），在渠帅马元义谋划起事被杀后，张角发动“黄巾起义”，号召三十六万部众同日起事。但不久张角便被北中郎将卢植打败，逼得退守广宗（今河北威县东），并于同年秋冬间身亡。[2][3][31]
张角生平主要事迹便是创立太平道和发动“黄巾起义”。[4]他创立的太平道，被视作道教的正式开端，甚至深深影响着后世道教的发展。[5]而“黄巾起义”，则是中国历史上第一次以宗教形式发动的农民起义运动，它沉重打击东汉王朝的统治秩序，造就了东汉末年军阀割据的局面，最终导致了东汉王朝的覆灭。[10]</t>
  </si>
  <si>
    <t xml:space="preserve">张角我觉得他个人应该是一种真正为民发声的一种形象吧，因为在那个乱世三国当中，真正能够抚恤民众的很少
因为无论是魏蜀吴还是后面的晋，都是以自己的理由，就是他们的并不是真正的为了一个群众，而是都有自己的一个欲望，在整个三国时期 我个人认为张角是我一个比较喜欢的人物吧，只可惜这个人物最后的结局是悲哀的
然而在目前三国演义当中，张角一直是偏反派的人物，因为他们起家都是靠打反叛的，小时候不懂 长大了之后才会真的懂张角这个人物的核心内在，就是张角他是一个我个人觉得有点悲剧，但是又不是特别悲剧，他有曾经像陈胜吴广一样的勇气，却只是在这乱世之中，给了百姓希望，却不能给百姓一个好的结果
很喜欢之前那句话就是你平时都饿着的百姓是怎么去打那些精兵良将 </t>
  </si>
  <si>
    <t xml:space="preserve">苍天已死，黄天当立 </t>
  </si>
  <si>
    <t xml:space="preserve">岁在甲子，天下大吉 </t>
  </si>
  <si>
    <t>mm</t>
  </si>
  <si>
    <t>神威车轮</t>
  </si>
  <si>
    <t>“苍天已死，黄天当立！岁在甲子，天下大吉！”
这撼动东汉根基的呐喊，是百万黄巾的怒吼，更是张角与两位胞弟张宝、张梁以血脉为纽带，以信仰为誓约，共同谱写的太平序曲。张角为“天公将军”，掌天道，定方向，张宝为“地公将军”，安营扎寨，固守根本，张梁为“人公将军”，统御部众，冲锋陷阵。三兄弟各司其职，缺一不可，共同构成了太平道这艘巨舰的“黄天三柱″</t>
  </si>
  <si>
    <t>作为以caster职阶降世的张角，其生前具有制造符水等史诗事迹，因此可以正大光明的拥有该项技能
张角的道具作成，本质是扎根于汉末濒死大地的巫仪，是《太平要术》篇章的活体实践，它剥离了传统魔术的优雅逻辑，蜕变为一种“以人愿为薪柴，炼化混沌奇迹”的原始，其产物“符水”，是救赎的圣物，也是灭顶的根源
张角无需魔术工坊，他的“作坊”是流民匍匐的荒野，可能是当时魔术并不流行，也有可能是环境过于恶劣，仅仅只需要寥寥数笔，便能够达到像当前顶级魔术师所绘制的魔术
书写符箓的黄麻纸，需在朔月之夜铺于饿殍横陈的战场，吸收怨为基底；朱砂必混入重病信徒的指尖血，这血液承载着对“黄天太平”的极致渴求，是将人类求生执念提纯为咒力萃取。笔锋游走时，他口诵《太平清领书》残章，九节杖尖震颤共鸣，令符文共鸣，将魔术与自然共鸣。强行运用自然力量为自己所用
一道雷符实为向苍穹劫掠电光的敕令，一纸雨符则是强征河伯泪水的檄文。，
盛载之器非金非玉，而是劈开的粗陶土瓮，所汲必是无根水，屋檐未落的雨滴，或深涧不触淤泥的寒泉，关键仪式在于焚符入水，张角将血书黄符悬于水面，九节杖引动地脉浊气化为幽蓝鬼火，舔舐符纸。火焰焚烧的不仅是纸张，更是信徒寄托其中的生命祈愿与痛苦记忆。灰烬落水瞬间，水面翻腾如沸，灰黄雾霭升腾凝结成模糊人形嘶嚎消散。最终，浑浊的符水沉淀出铁锈般的猩红絮状物，散发腐烂桃木与烈酒混合刺鼻气息。那些创痕也早已被封印于此符纸之中，待到作战之日，便可将其魂归敌军，将这些伤痛一一奉还给敌人
除符纸外，他大抵也会做一些别的魔术道具...只不过时代特殊，那个时候的人民需要什么，他便制造什么！倘若好好发挥自己的技巧，也可以在东汉末年争出一个名头。
只可惜，溯其本源，张角也只是一个不忍民生疾苦而自己又无大力足以一人救苍生之人罢了</t>
  </si>
  <si>
    <t>作为以caster职阶，阵地制作与道具做成一直是双生相伴的，因此极具职阶适配性的张角便能够获得较高等级的阵地制造
太平祈坛，严格遵循早期道教“法天象地”的仪轨。当九节杖轻触大地，杖首二十八枚铜环应和周天星宿之位震响时，一方调和阴阳的临时圣域便悄然展开。
星斗为图，地脉为络
阵地无需破坏地表。张角踏禹步巡游，步伐暗合洛书轨迹，所过之处地面自然浮现银白色光纹，此乃引动地底灵脉透出的“精气显化”。光纹交织成三层圆坛。外坛浮现八卦卦象，对应八风方位，中坛环绕二十八宿星图，星光虚影浮空三寸，内坛中心隆起微光土台，九节杖植立其上如“建木天梯”
整个祭坛笼罩在薄纱般的青金色雾霭中，散发柏叶与冷泉的清气。令人倾心舒适
阵地本质是放大张角沟通天地之力的媒介，坛内风雨温顺，云气随咒文聚散。张角可小范围调节天候，星图光纹能梳理紊乱的地脉精气，平息轻微地动，使草木焕发生机。踏入阵地的伤者会感到疲惫稍减，因大地精气在温和滋养血肉，书写的符箓在坛内自动汲取游离天地精气，威能提升却更趋稳定。一道“清风符”可化柔风托起坠鸟，“甘霖符”能唤来清甜雨露解渴
而当张角与祭坛中心进行作法，书写雷符时。九节杖顶自动汇聚青白色电光。中坛苍龙星图逐一亮起，云层中传来沉闷龙吟般的滚雷声。阵法将地脉精气升腾为“雷种”，引动大气电荷碰撞，最终从杖顶迸射出一道曲折电蛇劈向目标。此非天罚，而是众民所望！</t>
  </si>
  <si>
    <t>冀州大旱数月，田野龟裂，百姓流离失所，疾病肆虐，整个地区陷入绝望之中。
太平道大贤良师张角携弟子来到灾情最重的村落，以符水治病救人的名声已传遍四方，百姓视他为救星
张角高举九节杖引动云涡，杖首铜环震响如凤鸣。天光穿透层云聚焦于青陶瓮，瓮中无根水沸腾翻滚
"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
此后杖身浮现山河脉络虚影。露珠接触大地时，龟裂焦土萌发鹅黄色草芽，枯萎作物茎秆挺立抽穗，穗粒表面流转月华，“地脉即人脉″脚下根须状光纹蔓延全身，魔力随草叶舒展声徐徐恢复。
张角踏禹步诵《太平清领书》，大地持续渗出清香白雾，中和杀伐血气为祥和精气
因其统合人理天地，本应只有D级。但因其一路上救命无数，此法也运用的如来生巧，因此实际上大概C级水瓶座</t>
  </si>
  <si>
    <t>冀州大旱数月，田野龟裂，百姓流离失所，疾病肆虐，整个地区陷入绝望之中。
太平道大贤良师张角携弟子来到灾情最重的村落，以符水治病救人的名声已传遍四方，百姓视他为救星
张角高举九节杖引动云涡，杖首铜环震响如凤鸣。天光穿透层云聚焦于青陶瓮，瓮中无根水沸腾翻滚
"引三光正气化瘴疠"的至高济世法，露珠中沉浮着稻穗与药草的虚影，洒落处展开青色光晕涟漪，体内淤血污秽化为黑气从毛孔渗出，伤口由内而外生长出半透明的新生肌理，如初春柳芽般莹润，体表的纹路被露珠冲刷成细沙流散，皮肤下透出星斗微光
此后杖身浮现山河脉络虚影。露珠接触大地时，龟裂焦土萌发鹅黄色草芽，枯萎作物茎秆挺立抽穗，穗粒表面流转月华，“地脉即人脉″脚下根须状光纹蔓延全身，魔力随草叶舒展声徐徐恢复。
张角踏禹步诵《太平清领书》，大地持续渗出清香白雾，中和杀伐血气为祥和精气
因其统合人理天地，本应只有D级。但因其一路上救命无数，此法也运用的如来生巧，因此实际上大概C级水平</t>
  </si>
  <si>
    <t>兵器</t>
  </si>
  <si>
    <t>令目标进行一次成功率=[30%]的[灼伤]判定，成功的场合下给予目标[灼伤 1D5/4/3]。
令目标进行一次成功率=[30%]的[感电]判定，成功的场合下给予目标[感电 1D5/4/3]。
令目标进行一次成功率=[30%]的[冻结]判定，成功的场合下给予目标[冻结 1D5/4/3]。
自身参与的战斗中，[灼伤][感电][冻结]中任一状态首次被给予给战斗位上单位时，此技能立刻获
得 1 回转。</t>
  </si>
  <si>
    <t>[储备 0/10]
此技能持有初始上限为[0]的魔力池，此技能每持有[储备 1]，给予此魔力池上限[+10]。
此技能持有的魔力池仅能用于发动此技能。
此技能有以下三种发动方式：
1、行动阶段发动，此技能储备[+1]。
2、[反击]
在自身技能宝具效果将要给予当前灵脉任意单位[冻结][灼伤][感电]时，指定其中一名单位发动
，若那个[异常状态]被成功给予，额外给予目标[冻结 1][灼伤 1][感电 1]。这之后，此技能储备[ -1]。
3、[反击]
被来源不为自身的保有技能指定为目标时，使目标技能仅在本次发动中，对自身的效果下降[3]
级。此效果不会和非[职阶技能]的同类型效果叠加生效。若目标技能因此无效化，额外给予目标
[冻结 1][灼伤 1][感电 1]。这之后，此仅能储备[-1]。</t>
  </si>
  <si>
    <t>魔力放出 (冰)</t>
  </si>
  <si>
    <t>给予敌方战斗位非[支援位]一名单位[筋力][耐久][敏捷]三项中任一属性[-15/10/5]的属性惩罚，
并对其发起一次成功率[80%]的负面判定，若目标[耐久]属性不低于[40]则此判定成功率减半，
判定成功时给予目标[冻结 1]。</t>
  </si>
  <si>
    <t>[主力位]
解放后，使当前灵脉上的所有使魔在本场战斗中无效化，并且无效此灵脉外，获取当前灵脉信
息的效果，并给予双方[支援位]单位以[混乱 1]。
每个战斗工序开始时，自身和敌方主力位各可以从[灼伤][感电][冻结]中暗宣言一项。
若自身本场战斗内未暗宣言过这个状态，本工序内，每当敌方战斗位任一单位获得对应状态时
，根据那个状态的类型执行对应效果[灼伤]：给予敌方战斗位非支援位]全部单位[筋力][耐久]属性[-15/10/5]的属性惩罚，战斗胜利
时，将此属性惩罚转化为对应属性等量的常驻惩罚。
[冻结]：给予敌方战斗位非[支援位]全部单位[敏捷][魔力]属性[-15/10/5]的属性惩罚，战斗胜利
时，将此属性惩罚转化此[惩罚数值]的[抗性下降]，此抗性下降常时存在。
[感电]：给予敌方战斗位非[支援位]全部单位[幸运][宝具]属性[-15/10/5]的属性惩罚，战斗胜利
时，给予敌方从者单位等同此属性惩罚总值的魔力消耗。
敌方主力位进行宣言且宣言状态与自身相同的场合下，本工序内此宝具效果失效。
敌方主力位进行宣言且宣言状态与自身不同的场合下，给予目标自身宣言的状态[3/2/1]层。
特别的，此宝具解放时，允许同灵脉其他从者单位支付[-/50/40]魔力，令此宝具效果仅在本次
解放效果上升[1]级。</t>
  </si>
  <si>
    <t xml:space="preserve">战斗开始时 </t>
  </si>
  <si>
    <t>[主力位]
解放后，使当前灵脉上的所有使魔在本场战斗中无效化，并且无效此灵脉外，获取当前灵脉信
息的效果，并给予双方[支援位]单位以[混乱 1]。
每个战斗工序开始时，自身和敌方主力位各可以从[灼伤][感电][冻结]中暗宣言一项。
若自身本场战斗内未暗宣言过这个状态，本工序内，每当敌方战斗位任一单位获得对应状态时
，根据那个状态的类型执行对应效果[灼伤]：给予敌方战斗位非支援位]全部单位[筋力][耐久]属性[-15/10/5]的属性惩罚，战斗胜利
时，将此属性惩罚转化为对应属性等量的常驻惩罚。
[冻结]：给予敌方战斗位非[支援位]全部单位[敏捷][魔力]属性[-15/10/5]的属性惩罚，战斗胜利
时，将此属性惩罚转化此[惩罚数值]的[抗性下降]，此抗性下降常时存在。
[感电]：给予敌方战斗位非[支援位]全部单位[幸运][宝具]属性[-15/10/5]的属性惩罚，战斗胜利
时，给予敌方从者单位等同此属性惩罚总值的魔力消耗。
敌方主力位进行宣言且宣言状态与自身相同的场合下，本工序内此宝具效果失效。
敌方主力位进行宣言且宣言状态与自身不同的场合下，给予目标自身宣言的状态[3/2/1]层。
特别的，此宝具解放时，允许同灵脉其他从者单位支付[-/50/40]魔力，令此宝具效果仅在本次
解放效果上升[0]级。</t>
  </si>
  <si>
    <t>[骑乘]
此宝具无法以特殊等级获取，且仅能在建卡时获取。
自身发动技能或解放宝具时，令受到那个技能或宝具效果影响的全部单位获得[感电 1]。若自身
在战斗中处于[主力位]，则己方所有单位的技能与宝具同样享受上述效果。
此宝具等级达到B时，战斗中，每工序开始时，给予敌方[主力位]单位[感电 1]。此效果在自身发
起成功的[冲锋]判定时，改为给予敌方非[支援位]全部单位[感电 1]。</t>
  </si>
  <si>
    <t>灼烧殆尽的炎笼</t>
  </si>
  <si>
    <t>对敌方战斗位上除[支援位]以外的所有单位各进行一次成功率=[90/75/60%]的[灼伤]判定，成
功的场合下，给予相应单位[灼伤 1]，若任意目标已经拥有[灼伤]，则额外给予相应目标[灼伤 2] 。随后，敌方战斗位上每有一个存在[灼伤]的单位，给予自身[+40%]的胜率补正。</t>
  </si>
  <si>
    <t>允许自身进行[阵地]的建设：消耗行动阶段发动，赋予当前灵脉[阵地][结阵 1]。
令[阵地]获得以下效果：
若当前灵脉不具有额外魔力池，则赋予当前灵脉基础上限为[0]的额外魔力池；每[结阵 1]，令此
额外魔力池上限[+20]。
[阵地]会在持有者不处于当前灵脉时摧毁。
自身在赋予[阵地][结阵]后，其层数至多为[结阵 5/4/3/2/1]。
轮次结束时，给予当前灵脉的额外魔力池以[持有者基础[魔力]属性]的魔力供给。
判定上，这个技能也视为[类型：魔术]。</t>
  </si>
  <si>
    <t>建卡时，从辅助礼装、限定礼装中选择任[-]种礼装记录。
允许持有者进行[礼装制作]，以此方式进行的[礼装制作]仅可制作基础礼装，以及此技能记录的
礼装。
自身每轮次[发动礼装次数上限][+13/11/9/7/5]。
判定上，这个技能也视为[类型：魔术]。</t>
  </si>
  <si>
    <t>钜鹿人士，姓张单名一个角字。
本也是读书种子，手不释卷，求的是功名仕进。
怎奈世道浑浊，疫气横行
白骨露于野，千里无鸡鸣
一卷《太平经》悄然入手
从此心窍顿开，别见洞天
不再仰望庙堂之高，
转而俯身泥土之深。
施符水，愈沉疴，解厄难，
足迹踏遍冀、青、幽、徐。
虽是布衣之身，却被万千黎庶唤作“大贤良师
田间地头，符水化入浑浊的井泉，
驱散病痛，也驱散对“天命”的愚昧敬畏。
市井闾巷，低语如风，
“苍天已死”的偈言，在冻僵的耳廓间传递暖意。
夜聚晓散，草鞋踏过霜露浸透的田埂，
三十六方渠帅，眼中映着同一片，黄天的幻影。
那是何等纯粹的旧梦
“老有所终，壮有所用，幼有所长，鳏寡孤独废疾者皆有所养！″
那朱门里倾倒的馊酒，
足以养活整村饥肠辘辘的孩童；
那豪强圈占的沃土，
原是百姓安身立命的祖产。
那高坐明堂的天子，
眼中何曾有过蝼蚁般的草民？
其实自己心中雪亮，
这胸中的愤懑不平，早已如地火奔涌。
即便如此。
当那世家豪奴的鞭子，
再一次抽在佝偻老者的背上，
当那催缴赋税的铜锣，
又一次敲碎贫户最后一丝希望，
他站在高台之上，振臂一呼：
“苍天已死，黄天当立！”
早已看穿了这王朝的末路。
腐朽如千疮百孔的老树，
根基尽烂，只待一阵狂风。
奉承大道之意，
身负革鼎之命，
聚三十六方，裹黄巾百万，
欲扫清寰宇，再造一个太平人间。
星星之火，可以燎原
其势可追昔日陈胜、吴广之呐喊
何其壮阔的愿景，
必须点燃的烽烟！
他的一言可令州郡震恐，
他的符水能聚百万雄兵。
乃是纵为官吏、豪强、高高在上的天子，
亦不可等闲视之的燎原野火。
乃是心腹大患。
必须剿灭，
决不能容其星火蔓延。
当那甲子年的日头升起，
当那“岁在甲子，天下大吉”的号角，
由 百万草芥之喉 同声嘶吼，
这旧梦，
便不再是虚妄的泡影
化作焚烧官廨、砸碎枷锁的粗粝拳头，
化作农妇手中缝制的 杏黄大旗，
化作童子递向义军的那碗 混着泥土的清水。
焚尽腐朽的“苍天”，
予那被践踏、被遗忘的万民，
一个 触手可及、煌煌如日的崭新人间！
其势...
足令巍巍雒阳为之动摇，
足令衮衮诸公魂飞魄散！
何其壮烈的幻梦，
必须实现的夙愿！
它的一粒火星可引动山呼海啸，
它的一道符箓能聚起移山填海之伟力。
乃是纵为帝王、将相、食肉吮髓的世家门阀，
亦不可直视、不可阻挡的 民心之怒涛
乃是倾覆乾坤的狂澜。
必须扑灭，
必须将其扼杀于襁褓</t>
  </si>
  <si>
    <t>辉煌的旧梦，予那万民之黄天</t>
  </si>
  <si>
    <t>[主力位]
解放后，使当前灵脉上的所有使魔在本场战斗中无效化，并且无效此灵脉外，获取当前灵脉信
息的效果，并给予双方[支援位]单位以[混乱 1]。
每个战斗工序开始时，自身和敌方主力位各可以从[灼伤][冻结][感电]中暗宣言一项。
若自身本场战斗内未暗宣言过这个状态，本工序内，每当敌方战斗位任一单位获得对应状态时
，根据那个状态的类型执行对应效果：
[灼伤]：给予敌方战斗位非支援位]全部单位[筋力][耐久]属性[-15]的属性惩罚，并令其立
即结算一次[灼伤]；战斗胜利时，额外令因此效果结算了灼伤的单位额外结算一次[灼伤]。
[冻结]：给予敌方战斗位非[支援位]全部单位[敏捷][魔力]属性[-15]的属性惩罚，战斗胜利
时，令其获得[抗性下降：-15%]，此抗性下降常时存在。
[感电]：给予敌方战斗位非[支援位]全部单位[幸运][宝具]属性[-15]的属性惩罚，最终工序
时，对受到此属性惩罚的单位造成[激荡]；战斗胜利时，令其立即产生[30]魔力消耗。
敌方主力位进行宣言且宣言状态与自身相同的场合下，本工序内此宝具效果失效。
敌方主力位进行宣言且宣言状态与自身不同的场合下，给予目标自身宣言的状态[3]层。
特别的，此宝具解放时，允许同灵脉其他从者单位支付[-]魔力，令此宝具效果仅在本次
解放效果上升[1]级。</t>
  </si>
  <si>
    <t>(仅画风持有，无实际效果)</t>
  </si>
  <si>
    <t>战斗开始时</t>
  </si>
  <si>
    <t>[主力位]
赋予当前灵脉[固有结界：俱利伽罗岭]。
[固有结界：俱利伽罗岭 | 灵脉宽度：7 | 魔力量：0 | 人流量：0 | 昼夜规律：永夜]
赋予此固有结界以下效果：
本场战斗中，双方战斗位单位无法在初始工序撤退。
每工序开始时，召唤至多[2]个等级＝[40]，具有除[宝具]外[10]全属性的[召唤物]。此[召唤物]
总是在战斗结束或被敌方技能宝具效果影响时退场。
每工序结束时，允许此宝具持有者宣言指定敌方任一单位，令己方战斗位上由此宝具产生的[召
唤物]对指定目标各发起一次成功率[75/60/45%]的负面判定，判定成功时给予目标除[宝具]外
任一属性[-5]属性惩罚以及[灼伤 1]。无论判定是否成功，这之后，发起了判定的[召唤物]将立即
退场。
最终工序时，己方战斗位上每存在一个此宝具产生的[召唤物]，给予敌方战斗位单位[灼伤 1]，
并令此宝具带来的所有[召唤物]退场。
这之后，允许追加宣言一枚令咒，给予敌方战斗位全部单位[筋力][耐久][敏捷]三项属性[-30]属
性惩罚并[爆燃]。若自阵营不持有[令咒]，则此效果无需支付令咒也能生效，但不会造成属性惩
罚。</t>
  </si>
  <si>
    <t>[主力位]
赋予当前灵脉[固有结界：俱利伽罗岭]。
[固有结界：俱利伽罗岭 | 灵脉宽度：7 | 魔力量：0 | 人流量：0 | 昼夜规律：永夜]
赋予此固有结界以下效果：
本场战斗中，双方战斗位单位无法在初始工序撤退。
每工序开始时，召唤至多[2]个等级＝[40]，具有除[宝具]外[10]全属性的[召唤物]。此[召唤物]
总是在战斗结束或被敌方技能宝具效果影响时退场。
每工序结束时，允许此宝具持有者宣言指定敌方任一单位，令己方战斗位上由此宝具产生的[召
唤物]对指定目标各发起一次成功率[45%]的负面判定，判定成功时给予目标除[宝具]外
任一属性[-5]属性惩罚以及[灼伤 1]。无论判定是否成功，这之后，发起了判定的[召唤物]将立即
退场。
最终工序时，己方战斗位上每存在一个此宝具产生的[召唤物]，给予敌方战斗位单位[灼伤 1]，
并令此宝具带来的所有[召唤物]退场。
这之后，允许追加宣言一枚令咒，给予敌方战斗位全部单位[筋力][耐久][敏捷]三项属性[-30]属
性惩罚并[爆燃]。若自阵营不持有[令咒]，则此效果无需支付令咒也能生效，但不会造成属性惩
罚。</t>
  </si>
  <si>
    <t>勇往直前·俱利伽罗岭</t>
  </si>
  <si>
    <t>钜鹿人士，姓张单名一个角字。
本也是读书种子，手不释卷，求的是功名仕进。
怎奈世道浑浊，疫气横行
白骨露于野，千里无鸡鸣
一卷《太平经》悄然入手
从此心窍顿开，别见洞天
不再仰望庙堂之高，
转而俯身泥土之深。
施符水，愈沉疴，解厄难，
足迹踏遍冀、青、幽、徐。
虽是布衣之身，却被万千黎庶唤作“大贤良师″
田间地头，符水化入浑浊的井泉，
驱散病痛，也驱散对“天命”的愚昧敬畏。
市井闾巷，低语如风，
“苍天已死”的偈言，在冻僵的耳廓间传递暖意。
夜聚晓散，草鞋踏过霜露浸透的田埂，
三十六方渠帅，眼中映着同一片，黄天的幻影。
那是何等纯粹的旧梦
“老有所终，壮有所用，幼有所长，鳏寡孤独废疾者皆有所养！″
那朱门里倾倒的馊酒，
足以养活整村饥肠辘辘的孩童；
那豪强圈占的沃土，
原是百姓安身立命的祖产。
那高坐明堂的天子，
眼中何曾有过蝼蚁般的草民？
其实自己心中雪亮，
这胸中的愤懑不平，早已如地火奔涌。
即便如此。
当那世家豪奴的鞭子，
再一次抽在佝偻老者的背上，
当那催缴赋税的铜锣，
又一次敲碎贫户最后一丝希望，
他站在高台之上，振臂一呼：
“苍天已死，黄天当立！”
早已看穿了这王朝的末路。
腐朽如千疮百孔的老树，
根基尽烂，只待一阵狂风。
奉承大道之意，
身负革鼎之命，
聚三十六方，裹黄巾百万，
欲扫清寰宇，再造一个太平人间。
星星之火，可以燎原
其势可追昔日陈胜、吴广之呐喊
何其壮阔的愿景，
必须点燃的烽烟！
他的一言可令州郡震恐，
他的符水能聚百万雄兵。
乃是纵为官吏、豪强、高高在上的天子，
亦不可等闲视之的燎原野火。
乃是心腹大患。
必须剿灭，
决不能容其星火蔓延。
当那甲子年的日头升起，
当那“岁在甲子，天下大吉”的号角，
由 百万草芥之喉 同声嘶吼，
这旧梦，
便不再是虚妄的泡影
化作焚烧官廨、砸碎枷锁的粗粝拳头，
化作农妇手中缝制的 杏黄大旗，
化作童子递向义军的那碗 混着泥土的清水。
焚尽腐朽的“苍天”，
予那被践踏、被遗忘的万民，
一个 触手可及、煌煌如日的崭新人间！
其势...
足令巍巍雒阳为之动摇，
足令衮衮诸公魂飞魄散！
何其壮烈的幻梦，
必须实现的夙愿！
它的一粒火星可引动山呼海啸，
它的一道符箓能聚起移山填海之伟力。
乃是纵为帝王、将相、食肉吮髓的世家门阀，
亦不可直视、不可阻挡的 民心之怒涛
乃是倾覆乾坤的狂澜。
必须扑灭，
必须将其扼杀于襁褓</t>
  </si>
</sst>
</file>

<file path=xl/styles.xml><?xml version="1.0" encoding="utf-8"?>
<styleSheet xmlns="http://schemas.openxmlformats.org/spreadsheetml/2006/main">
  <numFmts count="4">
    <numFmt numFmtId="0" formatCode="General"/>
    <numFmt numFmtId="49" formatCode="@"/>
    <numFmt numFmtId="164" formatCode="[&gt;0]\ &quot;+&quot;?;[&lt;0]&quot;-&quot;?;General"/>
    <numFmt numFmtId="165" formatCode="&quot;/&quot;@"/>
  </numFmts>
  <fonts count="46">
    <font>
      <name val="宋体"/>
      <sz val="12"/>
    </font>
    <font>
      <name val="宋体"/>
      <b/>
      <charset val="134"/>
      <sz val="50"/>
      <color rgb="FFFF0000"/>
    </font>
    <font>
      <name val="新細明體"/>
      <charset val="134"/>
      <sz val="11"/>
      <color rgb="FF000000"/>
    </font>
    <font>
      <name val="宋体"/>
      <charset val="136"/>
      <sz val="12"/>
      <color rgb="FF000000"/>
    </font>
    <font>
      <name val="宋体"/>
      <b/>
      <charset val="134"/>
      <sz val="12"/>
      <color rgb="FFFF0000"/>
    </font>
    <font>
      <name val="微軟正黑體"/>
      <charset val="136"/>
      <sz val="12"/>
      <color rgb="FF000000"/>
    </font>
    <font>
      <name val="Microsoft JhengHei"/>
      <charset val="136"/>
      <sz val="12"/>
      <color rgb="FF000000"/>
    </font>
    <font>
      <name val="微软雅黑"/>
      <charset val="134"/>
      <sz val="12"/>
      <color rgb="FF000000"/>
    </font>
    <font>
      <name val="微软雅黑"/>
      <charset val="134"/>
      <sz val="12"/>
      <color rgb="FFF2F2F2"/>
    </font>
    <font>
      <name val="微軟正黑體"/>
      <charset val="134"/>
      <sz val="11"/>
      <color rgb="FF000000"/>
    </font>
    <font>
      <name val="微軟正黑體"/>
      <charset val="136"/>
      <sz val="11"/>
      <color rgb="FF000000"/>
    </font>
    <font>
      <name val="微軟正黑體"/>
      <charset val="134"/>
      <sz val="11"/>
    </font>
    <font>
      <name val="微軟正黑體"/>
      <charset val="134"/>
      <sz val="11"/>
      <color rgb="FFFFFFFF"/>
    </font>
    <font>
      <name val="微软雅黑"/>
      <charset val="134"/>
      <sz val="11"/>
    </font>
    <font>
      <name val="汉仪青云简"/>
      <charset val="134"/>
      <sz val="18"/>
      <color rgb="FF000000"/>
    </font>
    <font>
      <name val="微軟正黑體"/>
      <b/>
      <charset val="136"/>
      <sz val="11"/>
      <color rgb="FF000000"/>
    </font>
    <font>
      <name val="微軟正黑體"/>
      <charset val="134"/>
      <sz val="11"/>
      <color rgb="FFF2F2F2"/>
    </font>
    <font>
      <name val="微軟正黑體"/>
      <charset val="134"/>
      <sz val="12"/>
      <color rgb="FF000000"/>
    </font>
    <font>
      <name val="微软雅黑"/>
      <charset val="134"/>
      <sz val="11"/>
      <color rgb="FF000000"/>
    </font>
    <font>
      <name val="微软雅黑"/>
      <charset val="134"/>
      <sz val="11"/>
      <color rgb="FFFFFFFF"/>
    </font>
    <font>
      <name val="微軟正黑體"/>
      <b/>
      <charset val="134"/>
      <sz val="11"/>
      <color rgb="FF000000"/>
    </font>
    <font>
      <name val="微軟正黑體"/>
      <b/>
      <charset val="134"/>
      <sz val="11"/>
    </font>
    <font>
      <name val="Microsoft YaHei"/>
      <b/>
      <charset val="134"/>
      <sz val="11"/>
    </font>
    <font>
      <name val="Microsoft YaHei"/>
      <b/>
      <charset val="134"/>
      <sz val="11"/>
      <color rgb="FF000000"/>
    </font>
    <font>
      <name val="Microsoft YaHei"/>
      <charset val="134"/>
      <sz val="10"/>
      <color rgb="FF000000"/>
    </font>
    <font>
      <name val="Microsoft YaHei"/>
      <b/>
      <charset val="134"/>
      <sz val="10"/>
      <color rgb="FF000000"/>
    </font>
    <font>
      <name val="Microsoft YaHei"/>
      <charset val="134"/>
      <sz val="11"/>
      <color rgb="FF000000"/>
    </font>
    <font>
      <name val="汉仪青云简"/>
      <charset val="134"/>
      <sz val="18"/>
    </font>
    <font>
      <name val="微軟正黑體"/>
      <b/>
      <charset val="134"/>
      <sz val="12"/>
      <color rgb="FF000000"/>
    </font>
    <font>
      <name val="汉仪青云简"/>
      <b/>
      <charset val="134"/>
      <sz val="18"/>
      <color rgb="FF000000"/>
    </font>
    <font>
      <name val="微軟正黑體"/>
      <charset val="134"/>
      <sz val="12"/>
    </font>
    <font>
      <name val="微軟正黑體"/>
      <b/>
      <charset val="134"/>
      <sz val="11"/>
      <color rgb="FFFF0000"/>
    </font>
    <font>
      <name val="kaiti"/>
      <charset val="136"/>
      <sz val="12"/>
      <color rgb="FF000000"/>
    </font>
    <font>
      <name val="kaiti"/>
      <charset val="136"/>
      <sz val="12"/>
      <color rgb="FFFF0000"/>
    </font>
    <font>
      <name val="KaiTi"/>
      <charset val="134"/>
      <sz val="11"/>
      <color rgb="FF000000"/>
    </font>
    <font>
      <name val="微软雅黑 Light"/>
      <charset val="136"/>
      <sz val="12"/>
      <color rgb="FF000000"/>
    </font>
    <font>
      <name val="微软雅黑 Light"/>
      <charset val="136"/>
      <sz val="12"/>
      <color rgb="FFFFFFFF"/>
    </font>
    <font>
      <name val="正黑宋体"/>
      <charset val="134"/>
      <sz val="12"/>
    </font>
    <font>
      <name val="正黑宋体"/>
      <charset val="136"/>
      <sz val="12"/>
      <color rgb="FF000000"/>
    </font>
    <font>
      <name val="正黑宋体"/>
      <charset val="134"/>
      <sz val="11"/>
      <color rgb="FF000000"/>
    </font>
    <font>
      <name val="正黑宋体"/>
      <charset val="136"/>
      <sz val="12"/>
    </font>
    <font>
      <name val="宋体"/>
      <charset val="134"/>
      <sz val="12"/>
      <color rgb="FF000000"/>
    </font>
    <font>
      <name val="宋体"/>
      <b/>
      <charset val="136"/>
      <sz val="11"/>
      <color rgb="FF1F497D"/>
    </font>
    <font>
      <name val="宋体"/>
      <b/>
      <charset val="134"/>
      <sz val="11"/>
      <color rgb="FF1F497D"/>
    </font>
    <font>
      <name val="宋体"/>
      <charset val="134"/>
      <sz val="12"/>
      <color rgb="FF3F3F76"/>
    </font>
    <font>
      <name val="宋体"/>
      <b/>
      <charset val="136"/>
      <sz val="15"/>
      <color rgb="FF1F497D"/>
    </font>
  </fonts>
  <fills count="26">
    <fill>
      <patternFill patternType="none"/>
    </fill>
    <fill>
      <patternFill patternType="gray125"/>
    </fill>
    <fill>
      <patternFill patternType="solid">
        <fgColor rgb="FFDAEEF3"/>
        <bgColor indexed="64"/>
      </patternFill>
    </fill>
    <fill>
      <patternFill patternType="solid">
        <fgColor rgb="FFE6B8B7"/>
        <bgColor indexed="64"/>
      </patternFill>
    </fill>
    <fill>
      <patternFill patternType="solid">
        <fgColor rgb="FFFFFFFF"/>
        <bgColor indexed="64"/>
      </patternFill>
    </fill>
    <fill>
      <patternFill patternType="solid">
        <fgColor rgb="FFF2DCDB"/>
        <bgColor indexed="64"/>
      </patternFill>
    </fill>
    <fill>
      <patternFill patternType="solid">
        <fgColor rgb="FFF2F2F2"/>
        <bgColor indexed="64"/>
      </patternFill>
    </fill>
    <fill>
      <patternFill patternType="solid">
        <fgColor rgb="FFFCD5B4"/>
        <bgColor indexed="64"/>
      </patternFill>
    </fill>
    <fill>
      <patternFill patternType="solid">
        <fgColor rgb="FFB8CCE4"/>
        <bgColor indexed="64"/>
      </patternFill>
    </fill>
    <fill>
      <patternFill patternType="solid">
        <fgColor rgb="FFFDE9D9"/>
        <bgColor indexed="64"/>
      </patternFill>
    </fill>
    <fill>
      <patternFill patternType="solid">
        <fgColor rgb="FFDCE6F1"/>
        <bgColor indexed="64"/>
      </patternFill>
    </fill>
    <fill>
      <patternFill patternType="solid">
        <fgColor rgb="FFCCC0DA"/>
        <bgColor indexed="64"/>
      </patternFill>
    </fill>
    <fill>
      <patternFill patternType="solid">
        <fgColor rgb="FFD9D9D9"/>
        <bgColor indexed="64"/>
      </patternFill>
    </fill>
    <fill>
      <patternFill patternType="solid">
        <fgColor rgb="FFE4DFEC"/>
        <bgColor indexed="64"/>
      </patternFill>
    </fill>
    <fill>
      <patternFill patternType="solid">
        <fgColor rgb="FFD8E4BC"/>
        <bgColor indexed="64"/>
      </patternFill>
    </fill>
    <fill>
      <patternFill patternType="solid">
        <fgColor rgb="FFFFC000"/>
        <bgColor indexed="64"/>
      </patternFill>
    </fill>
    <fill>
      <patternFill patternType="solid">
        <fgColor rgb="FFBFBFBF"/>
        <bgColor indexed="64"/>
      </patternFill>
    </fill>
    <fill>
      <patternFill patternType="solid">
        <fgColor rgb="FFE26B0A"/>
        <bgColor indexed="64"/>
      </patternFill>
    </fill>
    <fill>
      <patternFill patternType="solid">
        <fgColor rgb="FFFABF8F"/>
        <bgColor indexed="64"/>
      </patternFill>
    </fill>
    <fill>
      <patternFill patternType="solid">
        <fgColor rgb="FF948A54"/>
        <bgColor indexed="64"/>
      </patternFill>
    </fill>
    <fill>
      <patternFill patternType="solid">
        <fgColor rgb="FFC4BD97"/>
        <bgColor indexed="64"/>
      </patternFill>
    </fill>
    <fill>
      <patternFill patternType="solid">
        <fgColor rgb="FFDDD9C4"/>
        <bgColor indexed="64"/>
      </patternFill>
    </fill>
    <fill>
      <patternFill patternType="solid">
        <fgColor rgb="FF963634"/>
        <bgColor indexed="64"/>
      </patternFill>
    </fill>
    <fill>
      <patternFill patternType="solid">
        <fgColor rgb="FFDA9694"/>
        <bgColor indexed="64"/>
      </patternFill>
    </fill>
    <fill>
      <patternFill patternType="solid">
        <fgColor rgb="FF8DB4E2"/>
        <bgColor indexed="64"/>
      </patternFill>
    </fill>
    <fill>
      <patternFill patternType="solid">
        <fgColor rgb="FFFFCC99"/>
        <bgColor indexed="64"/>
      </patternFill>
    </fill>
  </fills>
  <borders count="6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rgb="FFBFBFBF"/>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medium">
        <color rgb="FF95B3D7"/>
      </bottom>
      <diagonal/>
    </border>
    <border>
      <left/>
      <right/>
      <top/>
      <bottom style="medium">
        <color rgb="FF4F81BD"/>
      </bottom>
      <diagonal/>
    </border>
  </borders>
  <cellStyleXfs count="7">
    <xf numFmtId="0" fontId="0" fillId="0" borderId="0">
      <alignment vertical="center"/>
    </xf>
    <xf numFmtId="0" fontId="41" fillId="0" borderId="0">
      <alignment vertical="bottom"/>
      <protection locked="0" hidden="0"/>
    </xf>
    <xf numFmtId="0" fontId="42" fillId="0" borderId="0">
      <alignment vertical="bottom"/>
      <protection locked="0" hidden="0"/>
    </xf>
    <xf numFmtId="0" fontId="43" fillId="0" borderId="0">
      <alignment vertical="bottom"/>
      <protection locked="0" hidden="0"/>
    </xf>
    <xf numFmtId="0" fontId="44" fillId="25" borderId="60">
      <alignment vertical="bottom"/>
      <protection locked="0" hidden="0"/>
    </xf>
    <xf numFmtId="0" fontId="43" fillId="0" borderId="61">
      <alignment vertical="bottom"/>
      <protection locked="0" hidden="0"/>
    </xf>
    <xf numFmtId="0" fontId="45" fillId="0" borderId="62">
      <alignment vertical="bottom"/>
      <protection locked="0" hidden="0"/>
    </xf>
  </cellStyleXfs>
  <cellXfs count="506">
    <xf numFmtId="0" fontId="0" fillId="0" borderId="0" xfId="0">
      <alignment vertical="center"/>
    </xf>
    <xf numFmtId="0" fontId="1" fillId="0" borderId="0" xfId="0" applyFont="1" applyAlignment="1">
      <alignment horizontal="center" vertical="center"/>
    </xf>
    <xf numFmtId="0" fontId="2" fillId="0" borderId="0" xfId="0" applyFont="1">
      <alignment vertical="center"/>
    </xf>
    <xf numFmtId="0" fontId="3" fillId="0" borderId="0" xfId="0" applyAlignment="1">
      <alignment horizontal="right" vertical="center"/>
    </xf>
    <xf numFmtId="0" fontId="4" fillId="0" borderId="0" xfId="0" applyFont="1">
      <alignment vertical="center"/>
    </xf>
    <xf numFmtId="49" fontId="5" fillId="0" borderId="0" xfId="0" applyNumberFormat="1" applyFont="1" applyAlignment="1">
      <alignment horizontal="right" vertical="center"/>
    </xf>
    <xf numFmtId="0" fontId="5" fillId="0" borderId="0" xfId="0" applyFont="1">
      <alignment vertical="center"/>
    </xf>
    <xf numFmtId="49" fontId="3" fillId="0" borderId="0" xfId="0" applyNumberFormat="1" applyAlignment="1">
      <alignment horizontal="right" vertical="center"/>
    </xf>
    <xf numFmtId="0" fontId="3" fillId="0" borderId="0" xfId="0" applyFont="1">
      <alignment vertical="center"/>
    </xf>
    <xf numFmtId="0" fontId="6" fillId="0" borderId="0" xfId="0" applyFont="1">
      <alignment vertical="center"/>
    </xf>
    <xf numFmtId="0" fontId="2" fillId="0" borderId="0" xfId="0" applyFont="1" applyAlignment="1">
      <alignment horizontal="center" vertical="center"/>
    </xf>
    <xf numFmtId="0" fontId="7" fillId="0" borderId="0" xfId="1" applyFont="1">
      <alignment vertical="center"/>
    </xf>
    <xf numFmtId="0" fontId="7" fillId="0" borderId="0" xfId="1" applyFont="1">
      <alignment vertical="center"/>
    </xf>
    <xf numFmtId="0" fontId="8" fillId="0" borderId="0" xfId="1" applyFont="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9" fillId="2" borderId="1" xfId="1" applyFont="1" applyFill="1" applyBorder="1" applyAlignment="1">
      <alignment horizontal="center" vertical="center"/>
    </xf>
    <xf numFmtId="0" fontId="9" fillId="2" borderId="2" xfId="1" applyFont="1" applyFill="1" applyBorder="1" applyAlignment="1">
      <alignment horizontal="center" vertical="center"/>
    </xf>
    <xf numFmtId="0" fontId="9" fillId="2" borderId="3" xfId="1" applyFont="1" applyFill="1" applyBorder="1" applyAlignment="1">
      <alignment horizontal="center" vertical="center"/>
    </xf>
    <xf numFmtId="0" fontId="10" fillId="2" borderId="4" xfId="0" applyFont="1" applyFill="1" applyBorder="1" applyAlignment="1">
      <alignment horizontal="center" vertical="center"/>
    </xf>
    <xf numFmtId="164" fontId="11" fillId="3" borderId="5" xfId="1" applyNumberFormat="1" applyFont="1" applyFill="1" applyBorder="1" applyAlignment="1">
      <alignment horizontal="center" vertical="center"/>
    </xf>
    <xf numFmtId="164" fontId="12" fillId="3" borderId="6" xfId="1" applyNumberFormat="1" applyFont="1" applyFill="1" applyBorder="1" applyAlignment="1">
      <alignment horizontal="center" vertical="center"/>
    </xf>
    <xf numFmtId="164" fontId="12" fillId="3" borderId="7" xfId="1" applyNumberFormat="1" applyFont="1" applyFill="1" applyBorder="1" applyAlignment="1">
      <alignment horizontal="center" vertical="center"/>
    </xf>
    <xf numFmtId="0" fontId="13" fillId="0" borderId="0" xfId="1" applyFont="1">
      <alignment vertical="center"/>
    </xf>
    <xf numFmtId="0" fontId="14" fillId="0" borderId="8" xfId="1" applyFont="1" applyBorder="1" applyAlignment="1">
      <alignment horizontal="center" vertical="center"/>
    </xf>
    <xf numFmtId="0" fontId="14" fillId="0" borderId="0" xfId="1" applyFont="1" applyAlignment="1">
      <alignment horizontal="center" vertical="center"/>
    </xf>
    <xf numFmtId="0" fontId="14" fillId="0" borderId="9" xfId="1" applyFont="1" applyBorder="1" applyAlignment="1">
      <alignment horizontal="center" vertical="center"/>
    </xf>
    <xf numFmtId="49" fontId="9" fillId="4" borderId="10" xfId="1" applyNumberFormat="1" applyFont="1" applyFill="1" applyBorder="1" applyAlignment="1">
      <alignment horizontal="center" vertical="center" wrapText="1"/>
      <protection locked="0" hidden="0"/>
    </xf>
    <xf numFmtId="49" fontId="9" fillId="4" borderId="11" xfId="1" applyNumberFormat="1" applyFont="1" applyFill="1" applyBorder="1" applyAlignment="1">
      <alignment horizontal="center" vertical="center" wrapText="1"/>
      <protection locked="0" hidden="0"/>
    </xf>
    <xf numFmtId="49" fontId="9" fillId="4" borderId="12" xfId="1" applyNumberFormat="1" applyFont="1" applyFill="1" applyBorder="1" applyAlignment="1">
      <alignment horizontal="center" vertical="center" wrapText="1"/>
      <protection locked="0" hidden="0"/>
    </xf>
    <xf numFmtId="0" fontId="9" fillId="0" borderId="8" xfId="1" applyFont="1" applyBorder="1" applyAlignment="1">
      <alignment horizontal="center" vertical="center" wrapText="1"/>
      <protection locked="0" hidden="0"/>
    </xf>
    <xf numFmtId="0" fontId="9" fillId="0" borderId="0" xfId="1" applyFont="1" applyAlignment="1">
      <alignment horizontal="center" vertical="center" wrapText="1"/>
      <protection locked="0" hidden="0"/>
    </xf>
    <xf numFmtId="0" fontId="9" fillId="0" borderId="9" xfId="1" applyFont="1" applyBorder="1" applyAlignment="1">
      <alignment horizontal="center" vertical="center" wrapText="1"/>
      <protection locked="0" hidden="0"/>
    </xf>
    <xf numFmtId="0" fontId="15" fillId="2" borderId="13" xfId="0" applyFont="1" applyFill="1" applyBorder="1" applyAlignment="1">
      <alignment horizontal="center" vertical="center"/>
    </xf>
    <xf numFmtId="164" fontId="11" fillId="5" borderId="14" xfId="1" applyNumberFormat="1" applyFont="1" applyFill="1" applyBorder="1" applyAlignment="1">
      <alignment horizontal="center" vertical="center"/>
    </xf>
    <xf numFmtId="164" fontId="11" fillId="5" borderId="15" xfId="1" applyNumberFormat="1" applyFont="1" applyFill="1" applyBorder="1" applyAlignment="1">
      <alignment horizontal="center" vertical="center"/>
    </xf>
    <xf numFmtId="164" fontId="11" fillId="6" borderId="15" xfId="1" applyNumberFormat="1" applyFont="1" applyFill="1" applyBorder="1" applyAlignment="1">
      <alignment horizontal="center" vertical="center"/>
    </xf>
    <xf numFmtId="164" fontId="11" fillId="6" borderId="16" xfId="1" applyNumberFormat="1" applyFont="1" applyFill="1" applyBorder="1" applyAlignment="1">
      <alignment horizontal="center" vertical="center"/>
    </xf>
    <xf numFmtId="0" fontId="14" fillId="0" borderId="17" xfId="1" applyFont="1" applyBorder="1" applyAlignment="1">
      <alignment horizontal="center" vertical="center"/>
    </xf>
    <xf numFmtId="0" fontId="14" fillId="0" borderId="18" xfId="1" applyFont="1" applyBorder="1" applyAlignment="1">
      <alignment horizontal="center" vertical="center"/>
    </xf>
    <xf numFmtId="0" fontId="14" fillId="0" borderId="19" xfId="1" applyFont="1" applyBorder="1" applyAlignment="1">
      <alignment horizontal="center" vertical="center"/>
    </xf>
    <xf numFmtId="49" fontId="9" fillId="4" borderId="8" xfId="1" applyNumberFormat="1" applyFont="1" applyFill="1" applyBorder="1" applyAlignment="1">
      <alignment horizontal="center" vertical="center" wrapText="1"/>
      <protection locked="0" hidden="0"/>
    </xf>
    <xf numFmtId="49" fontId="9" fillId="4" borderId="0" xfId="1" applyNumberFormat="1" applyFont="1" applyFill="1" applyAlignment="1">
      <alignment horizontal="center" vertical="center" wrapText="1"/>
      <protection locked="0" hidden="0"/>
    </xf>
    <xf numFmtId="49" fontId="9" fillId="4" borderId="9" xfId="1" applyNumberFormat="1" applyFont="1" applyFill="1" applyBorder="1" applyAlignment="1">
      <alignment horizontal="center" vertical="center" wrapText="1"/>
      <protection locked="0" hidden="0"/>
    </xf>
    <xf numFmtId="0" fontId="15" fillId="0" borderId="0" xfId="0" applyFont="1" applyFill="1" applyAlignment="1">
      <alignment horizontal="center" vertical="center"/>
    </xf>
    <xf numFmtId="0" fontId="9" fillId="5" borderId="14" xfId="1" applyFont="1" applyFill="1" applyBorder="1" applyAlignment="1">
      <alignment horizontal="center" vertical="center"/>
    </xf>
    <xf numFmtId="0" fontId="9" fillId="5" borderId="15" xfId="1" applyFont="1" applyFill="1" applyBorder="1" applyAlignment="1">
      <alignment horizontal="center" vertical="center"/>
    </xf>
    <xf numFmtId="0" fontId="9" fillId="6" borderId="15" xfId="1" applyFont="1" applyFill="1" applyBorder="1" applyAlignment="1">
      <alignment horizontal="center" vertical="center"/>
    </xf>
    <xf numFmtId="0" fontId="9" fillId="6" borderId="16" xfId="1" applyFont="1" applyFill="1" applyBorder="1" applyAlignment="1">
      <alignment horizontal="center" vertical="center"/>
    </xf>
    <xf numFmtId="0" fontId="9" fillId="0" borderId="8" xfId="1" applyFont="1" applyBorder="1" applyAlignment="1">
      <alignment horizontal="center" vertical="center"/>
    </xf>
    <xf numFmtId="0" fontId="9" fillId="0" borderId="0" xfId="1" applyFont="1" applyAlignment="1">
      <alignment horizontal="center" vertical="center"/>
    </xf>
    <xf numFmtId="0" fontId="9" fillId="0" borderId="9" xfId="1" applyFont="1" applyBorder="1" applyAlignment="1">
      <alignment horizontal="center" vertical="center"/>
    </xf>
    <xf numFmtId="49" fontId="9" fillId="4" borderId="17" xfId="1" applyNumberFormat="1" applyFont="1" applyFill="1" applyBorder="1" applyAlignment="1">
      <alignment horizontal="center" vertical="center" wrapText="1"/>
      <protection locked="0" hidden="0"/>
    </xf>
    <xf numFmtId="49" fontId="9" fillId="4" borderId="18" xfId="1" applyNumberFormat="1" applyFont="1" applyFill="1" applyBorder="1" applyAlignment="1">
      <alignment horizontal="center" vertical="center" wrapText="1"/>
      <protection locked="0" hidden="0"/>
    </xf>
    <xf numFmtId="49" fontId="9" fillId="4" borderId="19" xfId="1" applyNumberFormat="1" applyFont="1" applyFill="1" applyBorder="1" applyAlignment="1">
      <alignment horizontal="center" vertical="center" wrapText="1"/>
      <protection locked="0" hidden="0"/>
    </xf>
    <xf numFmtId="0" fontId="15" fillId="2" borderId="13" xfId="0"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1" applyFont="1" applyFill="1" applyBorder="1" applyAlignment="1">
      <alignment horizontal="center" vertical="center"/>
    </xf>
    <xf numFmtId="0" fontId="9" fillId="2" borderId="7" xfId="1" applyFont="1" applyFill="1" applyBorder="1" applyAlignment="1">
      <alignment horizontal="center" vertical="center"/>
    </xf>
    <xf numFmtId="164" fontId="9" fillId="4" borderId="0" xfId="0" applyNumberFormat="1" applyFont="1" applyFill="1" applyAlignment="1">
      <alignment horizontal="center" vertical="center"/>
    </xf>
    <xf numFmtId="0" fontId="9" fillId="4" borderId="15" xfId="1" applyFont="1" applyFill="1" applyBorder="1" applyAlignment="1">
      <alignment horizontal="center" vertical="center"/>
      <protection locked="0" hidden="0"/>
    </xf>
    <xf numFmtId="0" fontId="9" fillId="4" borderId="16" xfId="1" applyFont="1" applyFill="1" applyBorder="1" applyAlignment="1">
      <alignment horizontal="center" vertical="center"/>
      <protection locked="0" hidden="0"/>
    </xf>
    <xf numFmtId="0" fontId="9" fillId="0" borderId="14" xfId="1" applyFont="1" applyBorder="1" applyAlignment="1">
      <alignment horizontal="center" vertical="center"/>
      <protection locked="0" hidden="0"/>
    </xf>
    <xf numFmtId="0" fontId="9" fillId="0" borderId="15" xfId="1" applyFont="1" applyBorder="1" applyAlignment="1">
      <alignment horizontal="center" vertical="center"/>
      <protection locked="0" hidden="0"/>
    </xf>
    <xf numFmtId="0" fontId="9" fillId="0" borderId="16" xfId="1" applyFont="1" applyBorder="1" applyAlignment="1">
      <alignment horizontal="center" vertical="center"/>
      <protection locked="0" hidden="0"/>
    </xf>
    <xf numFmtId="164" fontId="16" fillId="4" borderId="0" xfId="0" applyNumberFormat="1" applyFont="1" applyFill="1" applyAlignment="1">
      <alignment horizontal="center" vertical="center"/>
    </xf>
    <xf numFmtId="0" fontId="9" fillId="0" borderId="20" xfId="1" applyFont="1" applyBorder="1" applyAlignment="1">
      <alignment horizontal="center" vertical="center"/>
      <protection locked="0" hidden="0"/>
    </xf>
    <xf numFmtId="0" fontId="9" fillId="0" borderId="21" xfId="1" applyFont="1" applyBorder="1" applyAlignment="1">
      <alignment horizontal="center" vertical="center"/>
      <protection locked="0" hidden="0"/>
    </xf>
    <xf numFmtId="0" fontId="9" fillId="0" borderId="22" xfId="1" applyFont="1" applyBorder="1" applyAlignment="1">
      <alignment horizontal="center" vertical="center"/>
      <protection locked="0" hidden="0"/>
    </xf>
    <xf numFmtId="0" fontId="16" fillId="4" borderId="0" xfId="0" applyNumberFormat="1" applyFont="1" applyFill="1" applyAlignment="1">
      <alignment horizontal="center" vertical="center"/>
    </xf>
    <xf numFmtId="0" fontId="9" fillId="0" borderId="23" xfId="0" applyFont="1" applyBorder="1" applyAlignment="1">
      <alignment horizontal="center" vertical="center"/>
      <protection locked="0" hidden="0"/>
    </xf>
    <xf numFmtId="0" fontId="9" fillId="0" borderId="24" xfId="0" applyFont="1" applyBorder="1" applyAlignment="1">
      <alignment horizontal="center" vertical="center"/>
      <protection locked="0" hidden="0"/>
    </xf>
    <xf numFmtId="0" fontId="17" fillId="0" borderId="0" xfId="1" applyFont="1">
      <alignment vertical="center"/>
    </xf>
    <xf numFmtId="164" fontId="11" fillId="5" borderId="20" xfId="1" applyNumberFormat="1" applyFont="1" applyFill="1" applyBorder="1" applyAlignment="1">
      <alignment horizontal="center" vertical="center"/>
    </xf>
    <xf numFmtId="164" fontId="11" fillId="5" borderId="21" xfId="1" applyNumberFormat="1" applyFont="1" applyFill="1" applyBorder="1" applyAlignment="1">
      <alignment horizontal="center" vertical="center"/>
    </xf>
    <xf numFmtId="164" fontId="11" fillId="6" borderId="21" xfId="1" applyNumberFormat="1" applyFont="1" applyFill="1" applyBorder="1" applyAlignment="1">
      <alignment horizontal="center" vertical="center"/>
    </xf>
    <xf numFmtId="164" fontId="11" fillId="6" borderId="22" xfId="1" applyNumberFormat="1" applyFont="1" applyFill="1" applyBorder="1" applyAlignment="1">
      <alignment horizontal="center" vertical="center"/>
    </xf>
    <xf numFmtId="0" fontId="9" fillId="2" borderId="14" xfId="1" applyFont="1" applyFill="1" applyBorder="1" applyAlignment="1">
      <alignment horizontal="center" vertical="center"/>
    </xf>
    <xf numFmtId="0" fontId="17" fillId="3" borderId="25" xfId="1" applyFont="1" applyFill="1" applyBorder="1" applyAlignment="1">
      <alignment horizontal="center" vertical="center"/>
    </xf>
    <xf numFmtId="0" fontId="17" fillId="3" borderId="26" xfId="1" applyFont="1" applyFill="1" applyBorder="1" applyAlignment="1">
      <alignment horizontal="center" vertical="center"/>
    </xf>
    <xf numFmtId="0" fontId="17" fillId="3" borderId="24" xfId="1" applyFont="1" applyFill="1" applyBorder="1" applyAlignment="1">
      <alignment horizontal="center" vertical="center"/>
    </xf>
    <xf numFmtId="0" fontId="11" fillId="5" borderId="14" xfId="2" applyFont="1" applyFill="1" applyBorder="1" applyAlignment="1">
      <alignment horizontal="center" vertical="center"/>
    </xf>
    <xf numFmtId="164" fontId="11" fillId="5" borderId="15" xfId="2" applyNumberFormat="1" applyFont="1" applyFill="1" applyBorder="1" applyAlignment="1">
      <alignment horizontal="center" vertical="center"/>
    </xf>
    <xf numFmtId="0" fontId="11" fillId="5" borderId="15" xfId="2" applyNumberFormat="1" applyFont="1" applyFill="1" applyBorder="1" applyAlignment="1">
      <alignment horizontal="center" vertical="center"/>
    </xf>
    <xf numFmtId="0" fontId="11" fillId="5" borderId="16" xfId="2" applyNumberFormat="1" applyFont="1" applyFill="1" applyBorder="1" applyAlignment="1">
      <alignment horizontal="center" vertical="center"/>
    </xf>
    <xf numFmtId="0" fontId="9" fillId="0" borderId="17" xfId="1" applyFont="1" applyBorder="1" applyAlignment="1">
      <alignment horizontal="center" vertical="center"/>
    </xf>
    <xf numFmtId="0" fontId="9" fillId="0" borderId="18" xfId="1" applyFont="1" applyBorder="1" applyAlignment="1">
      <alignment horizontal="center" vertical="center"/>
    </xf>
    <xf numFmtId="0" fontId="9" fillId="0" borderId="19" xfId="1" applyFont="1" applyBorder="1" applyAlignment="1">
      <alignment horizontal="center" vertical="center"/>
    </xf>
    <xf numFmtId="0" fontId="9" fillId="2" borderId="20" xfId="1" applyFont="1" applyFill="1" applyBorder="1" applyAlignment="1">
      <alignment horizontal="center" vertical="center"/>
    </xf>
    <xf numFmtId="164" fontId="11" fillId="4" borderId="21" xfId="1" applyNumberFormat="1" applyFont="1" applyFill="1" applyBorder="1" applyAlignment="1">
      <alignment horizontal="center" vertical="center"/>
      <protection locked="0" hidden="0"/>
    </xf>
    <xf numFmtId="164" fontId="11" fillId="4" borderId="22" xfId="1" applyNumberFormat="1" applyFont="1" applyFill="1" applyBorder="1" applyAlignment="1">
      <alignment horizontal="center" vertical="center"/>
      <protection locked="0" hidden="0"/>
    </xf>
    <xf numFmtId="0" fontId="9" fillId="0" borderId="17" xfId="1" applyFont="1" applyBorder="1" applyAlignment="1">
      <alignment horizontal="center" vertical="center" wrapText="1"/>
      <protection locked="0" hidden="0"/>
    </xf>
    <xf numFmtId="0" fontId="9" fillId="0" borderId="18" xfId="1" applyFont="1" applyBorder="1" applyAlignment="1">
      <alignment horizontal="center" vertical="center" wrapText="1"/>
      <protection locked="0" hidden="0"/>
    </xf>
    <xf numFmtId="0" fontId="9" fillId="0" borderId="19" xfId="1" applyFont="1" applyBorder="1" applyAlignment="1">
      <alignment horizontal="center" vertical="center" wrapText="1"/>
      <protection locked="0" hidden="0"/>
    </xf>
    <xf numFmtId="0" fontId="11" fillId="5" borderId="20" xfId="2" applyNumberFormat="1" applyFont="1" applyFill="1" applyBorder="1" applyAlignment="1">
      <alignment horizontal="center" vertical="center"/>
    </xf>
    <xf numFmtId="164" fontId="11" fillId="5" borderId="21" xfId="2" applyNumberFormat="1" applyFont="1" applyFill="1" applyBorder="1" applyAlignment="1">
      <alignment horizontal="center" vertical="center"/>
    </xf>
    <xf numFmtId="0" fontId="11" fillId="5" borderId="21" xfId="2" applyNumberFormat="1" applyFont="1" applyFill="1" applyBorder="1" applyAlignment="1">
      <alignment horizontal="center" vertical="center"/>
    </xf>
    <xf numFmtId="0" fontId="11" fillId="5" borderId="22" xfId="2" applyNumberFormat="1" applyFont="1" applyFill="1" applyBorder="1" applyAlignment="1">
      <alignment horizontal="center" vertical="center"/>
    </xf>
    <xf numFmtId="0" fontId="9" fillId="2" borderId="5" xfId="1" applyFont="1" applyFill="1" applyBorder="1" applyAlignment="1">
      <alignment horizontal="center" vertical="center"/>
    </xf>
    <xf numFmtId="0" fontId="9" fillId="2" borderId="6" xfId="2" applyFont="1" applyFill="1" applyBorder="1" applyAlignment="1">
      <alignment horizontal="center" vertical="center"/>
    </xf>
    <xf numFmtId="0" fontId="9" fillId="2" borderId="7" xfId="1" applyFont="1" applyFill="1" applyBorder="1" applyAlignment="1">
      <alignment horizontal="center" vertical="center"/>
    </xf>
    <xf numFmtId="0" fontId="18" fillId="0" borderId="0" xfId="1" applyFont="1" applyAlignment="1">
      <alignment horizontal="center" vertical="center"/>
    </xf>
    <xf numFmtId="164" fontId="19" fillId="4" borderId="0" xfId="1" applyNumberFormat="1" applyFont="1" applyFill="1" applyAlignment="1">
      <alignment horizontal="center" vertical="center"/>
    </xf>
    <xf numFmtId="0" fontId="9" fillId="2" borderId="14" xfId="1" applyFont="1" applyFill="1" applyBorder="1" applyAlignment="1">
      <alignment horizontal="center" vertical="center" wrapText="1"/>
    </xf>
    <xf numFmtId="0" fontId="20" fillId="2" borderId="15" xfId="1" applyFont="1" applyFill="1" applyBorder="1" applyAlignment="1">
      <alignment horizontal="center" vertical="center"/>
    </xf>
    <xf numFmtId="0" fontId="20" fillId="2" borderId="15" xfId="1" applyNumberFormat="1" applyFont="1" applyFill="1" applyBorder="1" applyAlignment="1">
      <alignment horizontal="center" vertical="center"/>
    </xf>
    <xf numFmtId="0" fontId="20" fillId="2" borderId="27" xfId="1" applyFont="1" applyFill="1" applyBorder="1" applyAlignment="1">
      <alignment horizontal="center" vertical="center"/>
    </xf>
    <xf numFmtId="0" fontId="9" fillId="2" borderId="4" xfId="1" applyFont="1" applyFill="1" applyBorder="1" applyAlignment="1">
      <alignment horizontal="center" vertical="center"/>
    </xf>
    <xf numFmtId="164" fontId="9" fillId="2" borderId="15" xfId="1" applyNumberFormat="1" applyFont="1" applyFill="1" applyBorder="1" applyAlignment="1">
      <alignment horizontal="center" vertical="center"/>
    </xf>
    <xf numFmtId="0" fontId="9" fillId="2" borderId="15" xfId="3" applyFont="1" applyFill="1" applyBorder="1" applyAlignment="1">
      <alignment horizontal="center" vertical="center"/>
    </xf>
    <xf numFmtId="0" fontId="9" fillId="2" borderId="15" xfId="1" applyFont="1" applyFill="1" applyBorder="1" applyAlignment="1">
      <alignment horizontal="center" vertical="center"/>
    </xf>
    <xf numFmtId="0" fontId="20" fillId="2" borderId="27" xfId="1" applyFont="1" applyFill="1" applyBorder="1" applyAlignment="1">
      <alignment horizontal="center" vertical="center"/>
    </xf>
    <xf numFmtId="0" fontId="9" fillId="0" borderId="28" xfId="1" applyFont="1" applyBorder="1" applyAlignment="1">
      <alignment horizontal="center" vertical="center"/>
      <protection locked="0" hidden="0"/>
    </xf>
    <xf numFmtId="0" fontId="18" fillId="0" borderId="0" xfId="1" applyFont="1" applyFill="1" applyAlignment="1">
      <alignment horizontal="center" vertical="center"/>
    </xf>
    <xf numFmtId="0" fontId="18" fillId="0" borderId="0" xfId="1" applyFont="1" applyFill="1">
      <alignment vertical="center"/>
    </xf>
    <xf numFmtId="0" fontId="9" fillId="0" borderId="15" xfId="0" applyFont="1" applyBorder="1" applyAlignment="1">
      <alignment horizontal="center" vertical="center"/>
      <protection locked="0" hidden="0"/>
    </xf>
    <xf numFmtId="0" fontId="9" fillId="4" borderId="15" xfId="2" applyFont="1" applyFill="1" applyBorder="1" applyAlignment="1">
      <alignment horizontal="center" vertical="center"/>
      <protection locked="0" hidden="0"/>
    </xf>
    <xf numFmtId="0" fontId="9" fillId="4" borderId="15" xfId="1" applyNumberFormat="1" applyFont="1" applyFill="1" applyBorder="1" applyAlignment="1">
      <alignment horizontal="center" vertical="center"/>
      <protection locked="0" hidden="0"/>
    </xf>
    <xf numFmtId="0" fontId="9" fillId="2" borderId="27" xfId="1" applyFont="1" applyFill="1" applyBorder="1" applyAlignment="1">
      <alignment horizontal="center" vertical="center"/>
    </xf>
    <xf numFmtId="0" fontId="9" fillId="2" borderId="28" xfId="1" applyFont="1" applyFill="1" applyBorder="1" applyAlignment="1">
      <alignment horizontal="center" vertical="center"/>
    </xf>
    <xf numFmtId="0" fontId="7" fillId="0" borderId="0" xfId="1" applyFont="1" applyFill="1">
      <alignment vertical="center"/>
    </xf>
    <xf numFmtId="0" fontId="9" fillId="2" borderId="29" xfId="1" applyFont="1" applyFill="1" applyBorder="1" applyAlignment="1">
      <alignment horizontal="center" vertical="center" wrapText="1"/>
    </xf>
    <xf numFmtId="164" fontId="9" fillId="4" borderId="30" xfId="2" applyNumberFormat="1" applyFont="1" applyFill="1" applyBorder="1" applyAlignment="1">
      <alignment horizontal="center" vertical="center"/>
      <protection locked="0" hidden="0"/>
    </xf>
    <xf numFmtId="164" fontId="9" fillId="4" borderId="30" xfId="1" applyNumberFormat="1" applyFont="1" applyFill="1" applyBorder="1" applyAlignment="1">
      <alignment horizontal="center" vertical="center"/>
      <protection locked="0" hidden="0"/>
    </xf>
    <xf numFmtId="0" fontId="20" fillId="2" borderId="31" xfId="1" applyNumberFormat="1" applyFont="1" applyFill="1" applyBorder="1" applyAlignment="1">
      <alignment horizontal="center" vertical="center"/>
    </xf>
    <xf numFmtId="0" fontId="9" fillId="0" borderId="13" xfId="1" applyFont="1" applyBorder="1" applyAlignment="1">
      <alignment horizontal="center" vertical="center"/>
      <protection locked="0" hidden="0"/>
    </xf>
    <xf numFmtId="0" fontId="21" fillId="7" borderId="32" xfId="2" applyFont="1" applyFill="1" applyBorder="1" applyAlignment="1">
      <alignment horizontal="center" vertical="center"/>
    </xf>
    <xf numFmtId="0" fontId="21" fillId="7" borderId="33" xfId="2" applyNumberFormat="1" applyFont="1" applyFill="1" applyBorder="1" applyAlignment="1">
      <alignment horizontal="center" vertical="center"/>
    </xf>
    <xf numFmtId="0" fontId="21" fillId="7" borderId="33" xfId="2" applyFont="1" applyFill="1" applyBorder="1" applyAlignment="1">
      <alignment horizontal="center" vertical="center"/>
    </xf>
    <xf numFmtId="0" fontId="21" fillId="7" borderId="34" xfId="2" applyNumberFormat="1" applyFont="1" applyFill="1" applyBorder="1" applyAlignment="1">
      <alignment horizontal="center" vertical="center"/>
    </xf>
    <xf numFmtId="0" fontId="21" fillId="8" borderId="32" xfId="3" applyFont="1" applyFill="1" applyBorder="1" applyAlignment="1">
      <alignment horizontal="center" vertical="center"/>
    </xf>
    <xf numFmtId="0" fontId="21" fillId="8" borderId="33" xfId="3" applyFont="1" applyFill="1" applyBorder="1" applyAlignment="1">
      <alignment horizontal="center" vertical="center"/>
    </xf>
    <xf numFmtId="0" fontId="21" fillId="8" borderId="33" xfId="3" applyNumberFormat="1" applyFont="1" applyFill="1" applyBorder="1" applyAlignment="1">
      <alignment horizontal="center" vertical="center"/>
    </xf>
    <xf numFmtId="0" fontId="21" fillId="8" borderId="34" xfId="3" applyNumberFormat="1" applyFont="1" applyFill="1" applyBorder="1" applyAlignment="1">
      <alignment horizontal="center" vertical="center"/>
    </xf>
    <xf numFmtId="0" fontId="9" fillId="9" borderId="14" xfId="2" applyFont="1" applyFill="1" applyBorder="1" applyAlignment="1">
      <alignment horizontal="center" vertical="center" wrapText="1"/>
    </xf>
    <xf numFmtId="0" fontId="9" fillId="0" borderId="15" xfId="1" applyFont="1" applyBorder="1" applyAlignment="1">
      <alignment horizontal="center" vertical="center" wrapText="1"/>
      <protection locked="0" hidden="0"/>
    </xf>
    <xf numFmtId="0" fontId="9" fillId="9" borderId="15" xfId="2" applyFont="1" applyFill="1" applyBorder="1" applyAlignment="1">
      <alignment horizontal="center" vertical="center" wrapText="1"/>
    </xf>
    <xf numFmtId="0" fontId="9" fillId="4" borderId="15" xfId="2" applyFont="1" applyFill="1" applyBorder="1" applyAlignment="1">
      <alignment horizontal="center" vertical="center" wrapText="1"/>
      <protection locked="0" hidden="0"/>
    </xf>
    <xf numFmtId="0" fontId="9" fillId="9" borderId="15" xfId="2" applyFont="1" applyFill="1" applyBorder="1" applyAlignment="1">
      <alignment horizontal="center" vertical="center"/>
    </xf>
    <xf numFmtId="0" fontId="9" fillId="0" borderId="15" xfId="1" applyFont="1" applyFill="1" applyBorder="1" applyAlignment="1">
      <alignment horizontal="center" vertical="center" wrapText="1"/>
      <protection locked="0" hidden="0"/>
    </xf>
    <xf numFmtId="0" fontId="9" fillId="4" borderId="16" xfId="2" applyFont="1" applyFill="1" applyBorder="1" applyAlignment="1">
      <alignment horizontal="center" vertical="center" wrapText="1"/>
    </xf>
    <xf numFmtId="0" fontId="9" fillId="10" borderId="14" xfId="2" applyFont="1" applyFill="1" applyBorder="1" applyAlignment="1">
      <alignment horizontal="center" vertical="center" wrapText="1"/>
    </xf>
    <xf numFmtId="0" fontId="9" fillId="10" borderId="15" xfId="2" applyFont="1" applyFill="1" applyBorder="1" applyAlignment="1">
      <alignment horizontal="center" vertical="center" wrapText="1"/>
    </xf>
    <xf numFmtId="0" fontId="9" fillId="10" borderId="15" xfId="2" applyFont="1" applyFill="1" applyBorder="1" applyAlignment="1">
      <alignment horizontal="center" vertical="center"/>
    </xf>
    <xf numFmtId="0" fontId="9" fillId="0" borderId="31" xfId="1" applyFont="1" applyBorder="1" applyAlignment="1">
      <alignment horizontal="center" vertical="center" wrapText="1"/>
      <protection locked="0" hidden="0"/>
    </xf>
    <xf numFmtId="0" fontId="9" fillId="0" borderId="35" xfId="1" applyFont="1" applyBorder="1" applyAlignment="1">
      <alignment horizontal="center" vertical="center" wrapText="1"/>
      <protection locked="0" hidden="0"/>
    </xf>
    <xf numFmtId="0" fontId="9" fillId="0" borderId="27" xfId="1" applyFont="1" applyFill="1" applyBorder="1" applyAlignment="1">
      <alignment horizontal="center" vertical="center" wrapText="1"/>
      <protection locked="0" hidden="0"/>
    </xf>
    <xf numFmtId="165" fontId="9" fillId="0" borderId="36" xfId="1" applyNumberFormat="1" applyFont="1" applyBorder="1" applyAlignment="1">
      <alignment horizontal="left" vertical="center" wrapText="1"/>
      <protection locked="0" hidden="0"/>
    </xf>
    <xf numFmtId="0" fontId="9" fillId="0" borderId="37" xfId="1" applyFont="1" applyBorder="1" applyAlignment="1">
      <alignment horizontal="center" vertical="center" wrapText="1"/>
      <protection locked="0" hidden="0"/>
    </xf>
    <xf numFmtId="0" fontId="9" fillId="0" borderId="38" xfId="1" applyFont="1" applyBorder="1" applyAlignment="1">
      <alignment horizontal="center" vertical="center" wrapText="1"/>
      <protection locked="0" hidden="0"/>
    </xf>
    <xf numFmtId="0" fontId="9" fillId="0" borderId="36" xfId="1" applyFont="1" applyBorder="1" applyAlignment="1">
      <alignment horizontal="center" vertical="center" wrapText="1"/>
      <protection locked="0" hidden="0"/>
    </xf>
    <xf numFmtId="0" fontId="9" fillId="0" borderId="16" xfId="1" applyFont="1" applyBorder="1" applyAlignment="1">
      <alignment horizontal="center" vertical="center" wrapText="1"/>
      <protection locked="0" hidden="0"/>
    </xf>
    <xf numFmtId="0" fontId="7" fillId="0" borderId="0" xfId="1" applyFont="1" applyAlignment="1">
      <alignment horizontal="center" vertical="center"/>
    </xf>
    <xf numFmtId="165" fontId="9" fillId="0" borderId="36" xfId="1" applyNumberFormat="1" applyFont="1" applyBorder="1" applyAlignment="1">
      <alignment horizontal="center" vertical="center" wrapText="1"/>
      <protection locked="0" hidden="0"/>
    </xf>
    <xf numFmtId="0" fontId="9" fillId="0" borderId="27" xfId="1" applyFont="1" applyFill="1" applyBorder="1" applyAlignment="1">
      <alignment horizontal="right" vertical="center" wrapText="1"/>
      <protection locked="0" hidden="0"/>
    </xf>
    <xf numFmtId="0" fontId="9" fillId="0" borderId="36" xfId="1" applyFont="1" applyBorder="1" applyAlignment="1">
      <alignment horizontal="left" vertical="center" wrapText="1"/>
      <protection locked="0" hidden="0"/>
    </xf>
    <xf numFmtId="0" fontId="9" fillId="9" borderId="29" xfId="2" applyFont="1" applyFill="1" applyBorder="1" applyAlignment="1">
      <alignment horizontal="center" vertical="center" wrapText="1"/>
    </xf>
    <xf numFmtId="0" fontId="9" fillId="0" borderId="30" xfId="1" applyFont="1" applyBorder="1" applyAlignment="1">
      <alignment horizontal="center" vertical="center" wrapText="1"/>
      <protection locked="0" hidden="0"/>
    </xf>
    <xf numFmtId="0" fontId="9" fillId="0" borderId="39" xfId="1" applyFont="1" applyBorder="1" applyAlignment="1">
      <alignment horizontal="center" vertical="center" wrapText="1"/>
      <protection locked="0" hidden="0"/>
    </xf>
    <xf numFmtId="0" fontId="9" fillId="10" borderId="29" xfId="2" applyFont="1" applyFill="1" applyBorder="1" applyAlignment="1">
      <alignment horizontal="center" vertical="center" wrapText="1"/>
    </xf>
    <xf numFmtId="0" fontId="22" fillId="11" borderId="32" xfId="2" applyFont="1" applyFill="1" applyBorder="1" applyAlignment="1">
      <alignment horizontal="center" vertical="center" wrapText="1"/>
    </xf>
    <xf numFmtId="0" fontId="22" fillId="11" borderId="33" xfId="2" applyFont="1" applyFill="1" applyBorder="1" applyAlignment="1">
      <alignment horizontal="center" vertical="center" wrapText="1"/>
    </xf>
    <xf numFmtId="0" fontId="22" fillId="11" borderId="33" xfId="2" applyNumberFormat="1" applyFont="1" applyFill="1" applyBorder="1" applyAlignment="1">
      <alignment horizontal="center" vertical="center" wrapText="1"/>
    </xf>
    <xf numFmtId="0" fontId="22" fillId="11" borderId="34" xfId="2" applyNumberFormat="1" applyFont="1" applyFill="1" applyBorder="1" applyAlignment="1">
      <alignment horizontal="center" vertical="center" wrapText="1"/>
    </xf>
    <xf numFmtId="0" fontId="23" fillId="0" borderId="0" xfId="1" applyFont="1" applyAlignment="1">
      <alignment horizontal="center" vertical="center" wrapText="1"/>
    </xf>
    <xf numFmtId="0" fontId="22" fillId="12" borderId="32" xfId="3" applyFont="1" applyFill="1" applyBorder="1" applyAlignment="1">
      <alignment horizontal="center" vertical="center" wrapText="1"/>
    </xf>
    <xf numFmtId="0" fontId="22" fillId="12" borderId="33" xfId="3" applyFont="1" applyFill="1" applyBorder="1" applyAlignment="1">
      <alignment horizontal="center" vertical="center" wrapText="1"/>
    </xf>
    <xf numFmtId="0" fontId="22" fillId="12" borderId="33" xfId="3" applyNumberFormat="1" applyFont="1" applyFill="1" applyBorder="1" applyAlignment="1">
      <alignment horizontal="center" vertical="center" wrapText="1"/>
    </xf>
    <xf numFmtId="0" fontId="22" fillId="12" borderId="34" xfId="3" applyNumberFormat="1" applyFont="1" applyFill="1" applyBorder="1" applyAlignment="1">
      <alignment horizontal="center" vertical="center" wrapText="1"/>
    </xf>
    <xf numFmtId="0" fontId="24" fillId="13" borderId="14" xfId="2" applyFont="1" applyFill="1" applyBorder="1" applyAlignment="1">
      <alignment horizontal="center" vertical="center" wrapText="1"/>
    </xf>
    <xf numFmtId="0" fontId="24" fillId="0" borderId="15" xfId="1" applyFont="1" applyBorder="1" applyAlignment="1">
      <alignment horizontal="center" vertical="center" wrapText="1"/>
      <protection locked="0" hidden="0"/>
    </xf>
    <xf numFmtId="0" fontId="24" fillId="13" borderId="15" xfId="2" applyFont="1" applyFill="1" applyBorder="1" applyAlignment="1">
      <alignment horizontal="center" vertical="center" wrapText="1"/>
    </xf>
    <xf numFmtId="0" fontId="24" fillId="4" borderId="15" xfId="2" applyFont="1" applyFill="1" applyBorder="1" applyAlignment="1">
      <alignment horizontal="center" vertical="center" wrapText="1"/>
      <protection locked="0" hidden="0"/>
    </xf>
    <xf numFmtId="0" fontId="24" fillId="0" borderId="15" xfId="1" applyFont="1" applyFill="1" applyBorder="1" applyAlignment="1">
      <alignment horizontal="center" vertical="center" wrapText="1"/>
      <protection locked="0" hidden="0"/>
    </xf>
    <xf numFmtId="0" fontId="24" fillId="4" borderId="16" xfId="2" applyFont="1" applyFill="1" applyBorder="1" applyAlignment="1">
      <alignment horizontal="center" vertical="center" wrapText="1"/>
    </xf>
    <xf numFmtId="0" fontId="24" fillId="0" borderId="0" xfId="1" applyFont="1" applyAlignment="1">
      <alignment horizontal="center" vertical="center" wrapText="1"/>
    </xf>
    <xf numFmtId="0" fontId="24" fillId="6" borderId="14" xfId="2" applyFont="1" applyFill="1" applyBorder="1" applyAlignment="1">
      <alignment horizontal="center" vertical="center" wrapText="1"/>
    </xf>
    <xf numFmtId="0" fontId="24" fillId="6" borderId="15" xfId="2" applyFont="1" applyFill="1" applyBorder="1" applyAlignment="1">
      <alignment horizontal="center" vertical="center" wrapText="1"/>
    </xf>
    <xf numFmtId="0" fontId="25" fillId="0" borderId="31" xfId="1" applyFont="1" applyBorder="1" applyAlignment="1">
      <alignment horizontal="center" vertical="center" wrapText="1"/>
      <protection locked="0" hidden="0"/>
    </xf>
    <xf numFmtId="0" fontId="25" fillId="0" borderId="35" xfId="1" applyFont="1" applyBorder="1" applyAlignment="1">
      <alignment horizontal="center" vertical="center" wrapText="1"/>
      <protection locked="0" hidden="0"/>
    </xf>
    <xf numFmtId="0" fontId="24" fillId="0" borderId="27" xfId="1" applyFont="1" applyFill="1" applyBorder="1" applyAlignment="1">
      <alignment horizontal="center" vertical="center" wrapText="1"/>
      <protection locked="0" hidden="0"/>
    </xf>
    <xf numFmtId="165" fontId="24" fillId="0" borderId="36" xfId="1" applyNumberFormat="1" applyFont="1" applyBorder="1" applyAlignment="1">
      <alignment horizontal="center" vertical="center" wrapText="1"/>
      <protection locked="0" hidden="0"/>
    </xf>
    <xf numFmtId="0" fontId="24" fillId="0" borderId="31" xfId="1" applyFont="1" applyBorder="1" applyAlignment="1">
      <alignment horizontal="center" vertical="center" wrapText="1"/>
      <protection locked="0" hidden="0"/>
    </xf>
    <xf numFmtId="0" fontId="24" fillId="0" borderId="35" xfId="1" applyFont="1" applyBorder="1" applyAlignment="1">
      <alignment horizontal="center" vertical="center" wrapText="1"/>
      <protection locked="0" hidden="0"/>
    </xf>
    <xf numFmtId="0" fontId="25" fillId="0" borderId="37" xfId="1" applyFont="1" applyBorder="1" applyAlignment="1">
      <alignment horizontal="center" vertical="center" wrapText="1"/>
      <protection locked="0" hidden="0"/>
    </xf>
    <xf numFmtId="0" fontId="25" fillId="0" borderId="38" xfId="1" applyFont="1" applyBorder="1" applyAlignment="1">
      <alignment horizontal="center" vertical="center" wrapText="1"/>
      <protection locked="0" hidden="0"/>
    </xf>
    <xf numFmtId="0" fontId="24" fillId="0" borderId="36" xfId="1" applyFont="1" applyBorder="1" applyAlignment="1">
      <alignment horizontal="center" vertical="center" wrapText="1"/>
      <protection locked="0" hidden="0"/>
    </xf>
    <xf numFmtId="0" fontId="24" fillId="0" borderId="37" xfId="1" applyFont="1" applyBorder="1" applyAlignment="1">
      <alignment horizontal="center" vertical="center" wrapText="1"/>
      <protection locked="0" hidden="0"/>
    </xf>
    <xf numFmtId="0" fontId="24" fillId="0" borderId="38" xfId="1" applyFont="1" applyBorder="1" applyAlignment="1">
      <alignment horizontal="center" vertical="center" wrapText="1"/>
      <protection locked="0" hidden="0"/>
    </xf>
    <xf numFmtId="0" fontId="24" fillId="0" borderId="16" xfId="1" applyFont="1" applyBorder="1" applyAlignment="1">
      <alignment horizontal="center" vertical="center" wrapText="1"/>
      <protection locked="0" hidden="0"/>
    </xf>
    <xf numFmtId="0" fontId="26" fillId="13" borderId="14" xfId="2" applyFont="1" applyFill="1" applyBorder="1" applyAlignment="1">
      <alignment horizontal="center" vertical="center" wrapText="1"/>
    </xf>
    <xf numFmtId="0" fontId="23" fillId="0" borderId="31" xfId="1" applyFont="1" applyBorder="1" applyAlignment="1">
      <alignment horizontal="center" vertical="center" wrapText="1"/>
      <protection locked="0" hidden="0"/>
    </xf>
    <xf numFmtId="0" fontId="23" fillId="0" borderId="35" xfId="1" applyFont="1" applyBorder="1" applyAlignment="1">
      <alignment horizontal="center" vertical="center" wrapText="1"/>
      <protection locked="0" hidden="0"/>
    </xf>
    <xf numFmtId="0" fontId="26" fillId="13" borderId="15" xfId="2" applyFont="1" applyFill="1" applyBorder="1" applyAlignment="1">
      <alignment horizontal="center" vertical="center" wrapText="1"/>
    </xf>
    <xf numFmtId="0" fontId="26" fillId="0" borderId="15" xfId="1" applyFont="1" applyBorder="1" applyAlignment="1">
      <alignment horizontal="center" vertical="center" wrapText="1"/>
      <protection locked="0" hidden="0"/>
    </xf>
    <xf numFmtId="0" fontId="26" fillId="0" borderId="27" xfId="1" applyFont="1" applyFill="1" applyBorder="1" applyAlignment="1">
      <alignment horizontal="center" vertical="center" wrapText="1"/>
      <protection locked="0" hidden="0"/>
    </xf>
    <xf numFmtId="165" fontId="23" fillId="0" borderId="36" xfId="1" applyNumberFormat="1" applyFont="1" applyBorder="1" applyAlignment="1">
      <alignment horizontal="center" vertical="center" wrapText="1"/>
      <protection locked="0" hidden="0"/>
    </xf>
    <xf numFmtId="0" fontId="26" fillId="6" borderId="14" xfId="2" applyFont="1" applyFill="1" applyBorder="1" applyAlignment="1">
      <alignment horizontal="center" vertical="center" wrapText="1"/>
    </xf>
    <xf numFmtId="0" fontId="26" fillId="6" borderId="15" xfId="2" applyFont="1" applyFill="1" applyBorder="1" applyAlignment="1">
      <alignment horizontal="center" vertical="center" wrapText="1"/>
    </xf>
    <xf numFmtId="0" fontId="23" fillId="0" borderId="15" xfId="1" applyFont="1" applyBorder="1" applyAlignment="1">
      <alignment horizontal="center" vertical="center" wrapText="1"/>
      <protection locked="0" hidden="0"/>
    </xf>
    <xf numFmtId="0" fontId="23" fillId="0" borderId="27" xfId="1" applyFont="1" applyFill="1" applyBorder="1" applyAlignment="1">
      <alignment horizontal="center" vertical="center" wrapText="1"/>
      <protection locked="0" hidden="0"/>
    </xf>
    <xf numFmtId="0" fontId="23" fillId="0" borderId="37" xfId="1" applyFont="1" applyBorder="1" applyAlignment="1">
      <alignment horizontal="center" vertical="center" wrapText="1"/>
      <protection locked="0" hidden="0"/>
    </xf>
    <xf numFmtId="0" fontId="23" fillId="0" borderId="38" xfId="1" applyFont="1" applyBorder="1" applyAlignment="1">
      <alignment horizontal="center" vertical="center" wrapText="1"/>
      <protection locked="0" hidden="0"/>
    </xf>
    <xf numFmtId="0" fontId="26" fillId="0" borderId="36" xfId="1" applyFont="1" applyBorder="1" applyAlignment="1">
      <alignment horizontal="center" vertical="center" wrapText="1"/>
      <protection locked="0" hidden="0"/>
    </xf>
    <xf numFmtId="0" fontId="23" fillId="0" borderId="36" xfId="1" applyFont="1" applyBorder="1" applyAlignment="1">
      <alignment horizontal="center" vertical="center" wrapText="1"/>
      <protection locked="0" hidden="0"/>
    </xf>
    <xf numFmtId="0" fontId="26" fillId="0" borderId="16" xfId="1" applyFont="1" applyBorder="1" applyAlignment="1">
      <alignment horizontal="center" vertical="center" wrapText="1"/>
      <protection locked="0" hidden="0"/>
    </xf>
    <xf numFmtId="0" fontId="23" fillId="0" borderId="16" xfId="1" applyFont="1" applyBorder="1" applyAlignment="1">
      <alignment horizontal="center" vertical="center" wrapText="1"/>
      <protection locked="0" hidden="0"/>
    </xf>
    <xf numFmtId="0" fontId="26" fillId="4" borderId="15" xfId="2" applyFont="1" applyFill="1" applyBorder="1" applyAlignment="1">
      <alignment horizontal="center" vertical="center" wrapText="1"/>
      <protection locked="0" hidden="0"/>
    </xf>
    <xf numFmtId="0" fontId="26" fillId="0" borderId="15" xfId="1" applyFont="1" applyFill="1" applyBorder="1" applyAlignment="1">
      <alignment horizontal="center" vertical="center" wrapText="1"/>
      <protection locked="0" hidden="0"/>
    </xf>
    <xf numFmtId="0" fontId="26" fillId="4" borderId="16" xfId="2" applyFont="1" applyFill="1" applyBorder="1" applyAlignment="1">
      <alignment horizontal="center" vertical="center" wrapText="1"/>
    </xf>
    <xf numFmtId="0" fontId="23" fillId="4" borderId="15" xfId="2" applyFont="1" applyFill="1" applyBorder="1" applyAlignment="1">
      <alignment horizontal="center" vertical="center" wrapText="1"/>
      <protection locked="0" hidden="0"/>
    </xf>
    <xf numFmtId="0" fontId="23" fillId="0" borderId="15" xfId="1" applyFont="1" applyFill="1" applyBorder="1" applyAlignment="1">
      <alignment horizontal="center" vertical="center" wrapText="1"/>
      <protection locked="0" hidden="0"/>
    </xf>
    <xf numFmtId="0" fontId="23" fillId="4" borderId="16" xfId="2" applyFont="1" applyFill="1" applyBorder="1" applyAlignment="1">
      <alignment horizontal="center" vertical="center" wrapText="1"/>
    </xf>
    <xf numFmtId="165" fontId="26" fillId="0" borderId="36" xfId="1" applyNumberFormat="1" applyFont="1" applyBorder="1" applyAlignment="1">
      <alignment horizontal="center" vertical="center" wrapText="1"/>
      <protection locked="0" hidden="0"/>
    </xf>
    <xf numFmtId="0" fontId="26" fillId="13" borderId="20" xfId="2" applyFont="1" applyFill="1" applyBorder="1" applyAlignment="1">
      <alignment horizontal="center" vertical="center" wrapText="1"/>
    </xf>
    <xf numFmtId="0" fontId="26" fillId="0" borderId="21" xfId="1" applyFont="1" applyBorder="1" applyAlignment="1">
      <alignment horizontal="center" vertical="center" wrapText="1"/>
      <protection locked="0" hidden="0"/>
    </xf>
    <xf numFmtId="0" fontId="26" fillId="0" borderId="22" xfId="1" applyFont="1" applyBorder="1" applyAlignment="1">
      <alignment horizontal="center" vertical="center" wrapText="1"/>
      <protection locked="0" hidden="0"/>
    </xf>
    <xf numFmtId="0" fontId="26" fillId="6" borderId="20" xfId="2" applyFont="1" applyFill="1" applyBorder="1" applyAlignment="1">
      <alignment horizontal="center" vertical="center" wrapText="1"/>
    </xf>
    <xf numFmtId="0" fontId="23" fillId="0" borderId="21" xfId="1" applyFont="1" applyBorder="1" applyAlignment="1">
      <alignment horizontal="center" vertical="center" wrapText="1"/>
      <protection locked="0" hidden="0"/>
    </xf>
    <xf numFmtId="0" fontId="23" fillId="0" borderId="22" xfId="1" applyFont="1" applyBorder="1" applyAlignment="1">
      <alignment horizontal="center" vertical="center" wrapText="1"/>
      <protection locked="0" hidden="0"/>
    </xf>
    <xf numFmtId="0" fontId="7" fillId="0" borderId="0" xfId="0" applyFont="1" applyFill="1">
      <alignment vertical="center"/>
      <protection locked="0" hidden="0"/>
    </xf>
    <xf numFmtId="0" fontId="11" fillId="14" borderId="5" xfId="3" applyFont="1" applyFill="1" applyBorder="1" applyAlignment="1">
      <alignment horizontal="center" vertical="center"/>
    </xf>
    <xf numFmtId="0" fontId="11" fillId="14" borderId="6" xfId="3" applyFont="1" applyFill="1" applyBorder="1" applyAlignment="1">
      <alignment horizontal="center" vertical="center"/>
    </xf>
    <xf numFmtId="0" fontId="11" fillId="14" borderId="7" xfId="3" applyFont="1" applyFill="1" applyBorder="1" applyAlignment="1">
      <alignment horizontal="center" vertical="center"/>
    </xf>
    <xf numFmtId="0" fontId="5" fillId="0" borderId="26" xfId="0" applyFont="1" applyBorder="1">
      <alignment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0" fontId="27" fillId="0" borderId="14" xfId="4" applyFont="1" applyFill="1" applyBorder="1" applyAlignment="1">
      <alignment horizontal="center" vertical="center" wrapText="1"/>
      <protection locked="0" hidden="0"/>
    </xf>
    <xf numFmtId="0" fontId="27" fillId="0" borderId="15" xfId="4" applyFont="1" applyFill="1" applyBorder="1" applyAlignment="1">
      <alignment horizontal="center" vertical="center" wrapText="1"/>
      <protection locked="0" hidden="0"/>
    </xf>
    <xf numFmtId="0" fontId="27" fillId="0" borderId="16" xfId="4" applyFont="1" applyFill="1" applyBorder="1" applyAlignment="1">
      <alignment horizontal="center" vertical="center" wrapText="1"/>
      <protection locked="0" hidden="0"/>
    </xf>
    <xf numFmtId="0" fontId="17" fillId="0" borderId="14" xfId="0" applyFont="1" applyFill="1" applyBorder="1" applyAlignment="1">
      <alignment horizontal="center" vertical="center" wrapText="1"/>
      <protection locked="0" hidden="0"/>
    </xf>
    <xf numFmtId="0" fontId="17" fillId="0" borderId="15" xfId="0" applyFont="1" applyFill="1" applyBorder="1" applyAlignment="1">
      <alignment horizontal="center" vertical="center"/>
      <protection locked="0" hidden="0"/>
    </xf>
    <xf numFmtId="0" fontId="17" fillId="0" borderId="16" xfId="0" applyFont="1" applyFill="1" applyBorder="1" applyAlignment="1">
      <alignment horizontal="center" vertical="center"/>
      <protection locked="0" hidden="0"/>
    </xf>
    <xf numFmtId="0" fontId="17" fillId="0" borderId="14" xfId="0" applyFont="1" applyFill="1" applyBorder="1" applyAlignment="1">
      <alignment horizontal="center" vertical="center"/>
      <protection locked="0" hidden="0"/>
    </xf>
    <xf numFmtId="0" fontId="27" fillId="0" borderId="29" xfId="4" applyFont="1" applyFill="1" applyBorder="1" applyAlignment="1">
      <alignment horizontal="center" vertical="center" wrapText="1"/>
      <protection locked="0" hidden="0"/>
    </xf>
    <xf numFmtId="0" fontId="27" fillId="0" borderId="30" xfId="4" applyFont="1" applyFill="1" applyBorder="1" applyAlignment="1">
      <alignment horizontal="center" vertical="center" wrapText="1"/>
      <protection locked="0" hidden="0"/>
    </xf>
    <xf numFmtId="0" fontId="27" fillId="0" borderId="39" xfId="4" applyFont="1" applyFill="1" applyBorder="1" applyAlignment="1">
      <alignment horizontal="center" vertical="center" wrapText="1"/>
      <protection locked="0" hidden="0"/>
    </xf>
    <xf numFmtId="0" fontId="17" fillId="14" borderId="14" xfId="2" applyFont="1" applyFill="1" applyBorder="1" applyAlignment="1">
      <alignment horizontal="center" vertical="center"/>
    </xf>
    <xf numFmtId="0" fontId="17" fillId="14" borderId="15" xfId="2" applyFont="1" applyFill="1" applyBorder="1" applyAlignment="1">
      <alignment horizontal="center" vertical="center"/>
    </xf>
    <xf numFmtId="0" fontId="17" fillId="14" borderId="16" xfId="2" applyFont="1" applyFill="1" applyBorder="1" applyAlignment="1">
      <alignment horizontal="center" vertical="center"/>
    </xf>
    <xf numFmtId="0" fontId="28" fillId="0" borderId="29" xfId="1" applyFont="1" applyFill="1" applyBorder="1" applyAlignment="1">
      <alignment horizontal="center" vertical="center"/>
    </xf>
    <xf numFmtId="0" fontId="28" fillId="0" borderId="21" xfId="1" applyNumberFormat="1" applyFont="1" applyFill="1" applyBorder="1" applyAlignment="1">
      <alignment horizontal="center" vertical="center"/>
    </xf>
    <xf numFmtId="0" fontId="28" fillId="0" borderId="21" xfId="1" applyFont="1" applyFill="1" applyBorder="1" applyAlignment="1">
      <alignment horizontal="center" vertical="center"/>
    </xf>
    <xf numFmtId="0" fontId="28" fillId="0" borderId="22" xfId="1" applyNumberFormat="1" applyFont="1" applyFill="1" applyBorder="1" applyAlignment="1">
      <alignment horizontal="center" vertical="center"/>
    </xf>
    <xf numFmtId="0" fontId="17" fillId="13" borderId="5" xfId="0" applyFont="1" applyFill="1" applyBorder="1" applyAlignment="1">
      <alignment horizontal="center" vertical="center"/>
    </xf>
    <xf numFmtId="0" fontId="17" fillId="0" borderId="6" xfId="0" applyFont="1" applyFill="1" applyBorder="1" applyAlignment="1">
      <alignment horizontal="center" vertical="center"/>
      <protection locked="0" hidden="0"/>
    </xf>
    <xf numFmtId="0" fontId="17" fillId="13" borderId="6" xfId="0" applyFont="1" applyFill="1" applyBorder="1" applyAlignment="1">
      <alignment horizontal="center" vertical="center" wrapText="1"/>
    </xf>
    <xf numFmtId="0" fontId="17" fillId="13" borderId="6" xfId="0" applyFont="1" applyFill="1" applyBorder="1" applyAlignment="1">
      <alignment horizontal="center" vertical="center"/>
    </xf>
    <xf numFmtId="0" fontId="17" fillId="0" borderId="40" xfId="0" applyFont="1" applyFill="1" applyBorder="1" applyAlignment="1">
      <alignment horizontal="right" vertical="center"/>
      <protection locked="0" hidden="0"/>
    </xf>
    <xf numFmtId="0" fontId="17" fillId="0" borderId="41" xfId="0" applyFont="1" applyFill="1" applyBorder="1" applyAlignment="1">
      <alignment horizontal="right" vertical="center"/>
      <protection locked="0" hidden="0"/>
    </xf>
    <xf numFmtId="0" fontId="17" fillId="13" borderId="14" xfId="0" applyFont="1" applyFill="1" applyBorder="1" applyAlignment="1">
      <alignment horizontal="center" vertical="center"/>
    </xf>
    <xf numFmtId="0" fontId="5" fillId="0" borderId="15" xfId="0" applyFont="1" applyBorder="1" applyAlignment="1">
      <alignment horizontal="right" vertical="center" wrapText="1"/>
      <protection locked="0" hidden="0"/>
    </xf>
    <xf numFmtId="0" fontId="5" fillId="0" borderId="42" xfId="0" applyFont="1" applyBorder="1" applyAlignment="1">
      <alignment horizontal="right" vertical="center" wrapText="1"/>
      <protection locked="0" hidden="0"/>
    </xf>
    <xf numFmtId="0" fontId="5" fillId="0" borderId="43" xfId="0" applyFont="1" applyBorder="1" applyAlignment="1">
      <alignment horizontal="right" vertical="center" wrapText="1"/>
      <protection locked="0" hidden="0"/>
    </xf>
    <xf numFmtId="0" fontId="5" fillId="0" borderId="16" xfId="0" applyFont="1" applyBorder="1" applyAlignment="1">
      <alignment horizontal="right" vertical="center" wrapText="1"/>
      <protection locked="0" hidden="0"/>
    </xf>
    <xf numFmtId="0" fontId="9" fillId="13" borderId="14" xfId="0" applyFont="1" applyFill="1" applyBorder="1" applyAlignment="1">
      <alignment horizontal="center" vertical="center"/>
      <protection locked="0" hidden="0"/>
    </xf>
    <xf numFmtId="0" fontId="9" fillId="13" borderId="15" xfId="0" applyFont="1" applyFill="1" applyBorder="1" applyAlignment="1">
      <alignment horizontal="center" vertical="center"/>
      <protection locked="0" hidden="0"/>
    </xf>
    <xf numFmtId="0" fontId="17" fillId="13" borderId="15" xfId="0" applyFont="1" applyFill="1" applyBorder="1" applyAlignment="1">
      <alignment horizontal="center" vertical="center" wrapText="1"/>
    </xf>
    <xf numFmtId="0" fontId="17" fillId="13" borderId="15" xfId="0" applyFont="1" applyFill="1" applyBorder="1" applyAlignment="1">
      <alignment horizontal="center" vertical="center"/>
    </xf>
    <xf numFmtId="0" fontId="17" fillId="0" borderId="30" xfId="0" applyFont="1" applyFill="1" applyBorder="1" applyAlignment="1">
      <alignment horizontal="right" vertical="center"/>
      <protection locked="0" hidden="0"/>
    </xf>
    <xf numFmtId="0" fontId="17" fillId="0" borderId="39" xfId="0" applyFont="1" applyFill="1" applyBorder="1" applyAlignment="1">
      <alignment horizontal="right" vertical="center"/>
      <protection locked="0" hidden="0"/>
    </xf>
    <xf numFmtId="0" fontId="5" fillId="0" borderId="14" xfId="0" applyFont="1" applyBorder="1" applyAlignment="1">
      <alignment horizontal="center" vertical="center"/>
      <protection locked="0" hidden="0"/>
    </xf>
    <xf numFmtId="0" fontId="5" fillId="0" borderId="15" xfId="0" applyFont="1" applyBorder="1" applyAlignment="1">
      <alignment horizontal="center" vertical="center"/>
      <protection locked="0" hidden="0"/>
    </xf>
    <xf numFmtId="0" fontId="5" fillId="0" borderId="15" xfId="0" applyFont="1" applyBorder="1" applyAlignment="1">
      <alignment horizontal="right" vertical="top"/>
      <protection locked="0" hidden="0"/>
    </xf>
    <xf numFmtId="0" fontId="5" fillId="0" borderId="42" xfId="0" applyFont="1" applyBorder="1" applyAlignment="1">
      <alignment horizontal="right" vertical="top"/>
      <protection locked="0" hidden="0"/>
    </xf>
    <xf numFmtId="0" fontId="5" fillId="0" borderId="43" xfId="0" applyFont="1" applyBorder="1" applyAlignment="1">
      <alignment horizontal="right" vertical="top"/>
      <protection locked="0" hidden="0"/>
    </xf>
    <xf numFmtId="0" fontId="5" fillId="0" borderId="16" xfId="0" applyFont="1" applyBorder="1" applyAlignment="1">
      <alignment horizontal="right" vertical="top"/>
      <protection locked="0" hidden="0"/>
    </xf>
    <xf numFmtId="0" fontId="9" fillId="13" borderId="14" xfId="5" applyFont="1" applyFill="1" applyBorder="1" applyAlignment="1">
      <alignment horizontal="center" vertical="center"/>
    </xf>
    <xf numFmtId="0" fontId="9" fillId="13" borderId="15" xfId="5" applyFont="1" applyFill="1" applyBorder="1" applyAlignment="1">
      <alignment horizontal="center" vertical="center"/>
    </xf>
    <xf numFmtId="0" fontId="29" fillId="0" borderId="14" xfId="0" applyFont="1" applyBorder="1" applyAlignment="1">
      <alignment horizontal="center" vertical="center"/>
      <protection locked="0" hidden="0"/>
    </xf>
    <xf numFmtId="0" fontId="29" fillId="0" borderId="15" xfId="0" applyFont="1" applyBorder="1" applyAlignment="1">
      <alignment horizontal="center" vertical="center"/>
      <protection locked="0" hidden="0"/>
    </xf>
    <xf numFmtId="0" fontId="29" fillId="0" borderId="20" xfId="0" applyFont="1" applyFill="1" applyBorder="1" applyAlignment="1">
      <alignment horizontal="center" vertical="center"/>
      <protection locked="0" hidden="0"/>
    </xf>
    <xf numFmtId="0" fontId="29" fillId="0" borderId="21" xfId="0" applyFont="1" applyBorder="1" applyAlignment="1">
      <alignment horizontal="center" vertical="center"/>
      <protection locked="0" hidden="0"/>
    </xf>
    <xf numFmtId="0" fontId="5" fillId="0" borderId="21" xfId="0" applyFont="1" applyBorder="1" applyAlignment="1">
      <alignment horizontal="right" vertical="top"/>
      <protection locked="0" hidden="0"/>
    </xf>
    <xf numFmtId="0" fontId="5" fillId="0" borderId="22" xfId="0" applyFont="1" applyBorder="1" applyAlignment="1">
      <alignment horizontal="right" vertical="top"/>
      <protection locked="0" hidden="0"/>
    </xf>
    <xf numFmtId="164" fontId="30" fillId="4" borderId="8" xfId="0" applyNumberFormat="1" applyFont="1" applyFill="1" applyBorder="1" applyAlignment="1">
      <alignment horizontal="center" vertical="center"/>
      <protection locked="0" hidden="0"/>
    </xf>
    <xf numFmtId="164" fontId="30" fillId="4" borderId="0" xfId="0" applyNumberFormat="1" applyFont="1" applyFill="1" applyAlignment="1">
      <alignment horizontal="center" vertical="center"/>
      <protection locked="0" hidden="0"/>
    </xf>
    <xf numFmtId="0" fontId="17" fillId="9" borderId="42" xfId="0" applyFont="1" applyFill="1" applyBorder="1" applyAlignment="1">
      <alignment horizontal="center" vertical="center"/>
      <protection locked="0" hidden="0"/>
    </xf>
    <xf numFmtId="164" fontId="30" fillId="4" borderId="44" xfId="0" applyNumberFormat="1" applyFont="1" applyFill="1" applyBorder="1" applyAlignment="1">
      <alignment horizontal="center" vertical="center"/>
      <protection locked="0" hidden="0"/>
    </xf>
    <xf numFmtId="164" fontId="30" fillId="4" borderId="9" xfId="0" applyNumberFormat="1" applyFont="1" applyFill="1" applyBorder="1" applyAlignment="1">
      <alignment horizontal="center" vertical="center"/>
      <protection locked="0" hidden="0"/>
    </xf>
    <xf numFmtId="0" fontId="17" fillId="0" borderId="15" xfId="0" applyFont="1" applyBorder="1" applyAlignment="1">
      <alignment horizontal="center" vertical="center"/>
      <protection locked="0" hidden="0"/>
    </xf>
    <xf numFmtId="0" fontId="17" fillId="9" borderId="15" xfId="0" applyFont="1" applyFill="1" applyBorder="1" applyAlignment="1">
      <alignment horizontal="center" vertical="center"/>
    </xf>
    <xf numFmtId="0" fontId="17" fillId="9" borderId="15" xfId="0" applyFont="1" applyFill="1" applyBorder="1">
      <alignment vertical="center"/>
    </xf>
    <xf numFmtId="164" fontId="30" fillId="4" borderId="17" xfId="0" applyNumberFormat="1" applyFont="1" applyFill="1" applyBorder="1" applyAlignment="1">
      <alignment horizontal="center" vertical="center"/>
      <protection locked="0" hidden="0"/>
    </xf>
    <xf numFmtId="164" fontId="30" fillId="4" borderId="18" xfId="0" applyNumberFormat="1" applyFont="1" applyFill="1" applyBorder="1" applyAlignment="1">
      <alignment horizontal="center" vertical="center"/>
      <protection locked="0" hidden="0"/>
    </xf>
    <xf numFmtId="0" fontId="17" fillId="9" borderId="21" xfId="0" applyFont="1" applyFill="1" applyBorder="1">
      <alignment vertical="center"/>
    </xf>
    <xf numFmtId="0" fontId="17" fillId="0" borderId="21" xfId="0" applyFont="1" applyFill="1" applyBorder="1" applyAlignment="1">
      <alignment horizontal="center" vertical="center"/>
      <protection locked="0" hidden="0"/>
    </xf>
    <xf numFmtId="164" fontId="30" fillId="4" borderId="45" xfId="0" applyNumberFormat="1" applyFont="1" applyFill="1" applyBorder="1" applyAlignment="1">
      <alignment horizontal="center" vertical="center"/>
      <protection locked="0" hidden="0"/>
    </xf>
    <xf numFmtId="164" fontId="30" fillId="4" borderId="19" xfId="0" applyNumberFormat="1" applyFont="1" applyFill="1" applyBorder="1" applyAlignment="1">
      <alignment horizontal="center" vertical="center"/>
      <protection locked="0" hidden="0"/>
    </xf>
    <xf numFmtId="0" fontId="17" fillId="5" borderId="46" xfId="5" applyFont="1" applyFill="1" applyBorder="1" applyAlignment="1">
      <alignment horizontal="center" vertical="center"/>
    </xf>
    <xf numFmtId="0" fontId="17" fillId="4" borderId="37" xfId="0" applyFont="1" applyFill="1" applyBorder="1" applyAlignment="1">
      <alignment horizontal="center" vertical="center"/>
      <protection locked="0" hidden="0"/>
    </xf>
    <xf numFmtId="0" fontId="17" fillId="4" borderId="38" xfId="0" applyFont="1" applyFill="1" applyBorder="1" applyAlignment="1">
      <alignment horizontal="center" vertical="center"/>
      <protection locked="0" hidden="0"/>
    </xf>
    <xf numFmtId="0" fontId="17" fillId="5" borderId="42" xfId="0" applyFont="1" applyFill="1" applyBorder="1" applyAlignment="1">
      <alignment horizontal="center" vertical="center"/>
      <protection locked="0" hidden="0"/>
    </xf>
    <xf numFmtId="0" fontId="17" fillId="5" borderId="43" xfId="0" applyFont="1" applyFill="1" applyBorder="1" applyAlignment="1">
      <alignment horizontal="center" vertical="center"/>
      <protection locked="0" hidden="0"/>
    </xf>
    <xf numFmtId="0" fontId="5" fillId="13" borderId="14" xfId="0" applyFont="1" applyFill="1" applyBorder="1" applyAlignment="1">
      <alignment horizontal="center" vertical="center"/>
    </xf>
    <xf numFmtId="0" fontId="5" fillId="13" borderId="15" xfId="0" applyFont="1" applyFill="1" applyBorder="1" applyAlignment="1">
      <alignment horizontal="center" vertical="center"/>
    </xf>
    <xf numFmtId="0" fontId="5" fillId="13" borderId="16" xfId="0" applyFont="1" applyFill="1" applyBorder="1" applyAlignment="1">
      <alignment horizontal="center" vertical="center"/>
    </xf>
    <xf numFmtId="0" fontId="17" fillId="5" borderId="14" xfId="5" applyFont="1" applyFill="1" applyBorder="1" applyAlignment="1">
      <alignment horizontal="center" vertical="center"/>
    </xf>
    <xf numFmtId="0" fontId="17" fillId="4" borderId="27" xfId="0" applyFont="1" applyFill="1" applyBorder="1" applyAlignment="1">
      <alignment horizontal="center" vertical="center"/>
      <protection locked="0" hidden="0"/>
    </xf>
    <xf numFmtId="0" fontId="17" fillId="4" borderId="47" xfId="0" applyFont="1" applyFill="1" applyBorder="1" applyAlignment="1">
      <alignment horizontal="center" vertical="center"/>
      <protection locked="0" hidden="0"/>
    </xf>
    <xf numFmtId="0" fontId="17" fillId="4" borderId="15" xfId="0" applyFont="1" applyFill="1" applyBorder="1" applyAlignment="1">
      <alignment horizontal="center" vertical="center" wrapText="1"/>
      <protection locked="0" hidden="0"/>
    </xf>
    <xf numFmtId="0" fontId="17" fillId="4" borderId="16" xfId="0" applyFont="1" applyFill="1" applyBorder="1" applyAlignment="1">
      <alignment horizontal="center" vertical="center" wrapText="1"/>
      <protection locked="0" hidden="0"/>
    </xf>
    <xf numFmtId="0" fontId="17" fillId="5" borderId="14" xfId="0" applyFont="1" applyFill="1" applyBorder="1" applyAlignment="1">
      <alignment horizontal="center" vertical="center"/>
    </xf>
    <xf numFmtId="0" fontId="17" fillId="5" borderId="29" xfId="3" applyFont="1" applyFill="1" applyBorder="1" applyAlignment="1">
      <alignment horizontal="center" vertical="center"/>
    </xf>
    <xf numFmtId="0" fontId="5" fillId="0" borderId="31" xfId="0" applyFont="1" applyBorder="1" applyAlignment="1">
      <alignment horizontal="center" vertical="center"/>
      <protection locked="0" hidden="0"/>
    </xf>
    <xf numFmtId="0" fontId="5" fillId="0" borderId="35" xfId="0" applyFont="1" applyBorder="1" applyAlignment="1">
      <alignment horizontal="center" vertical="center"/>
      <protection locked="0" hidden="0"/>
    </xf>
    <xf numFmtId="0" fontId="17" fillId="4" borderId="30" xfId="0" applyFont="1" applyFill="1" applyBorder="1" applyAlignment="1">
      <alignment horizontal="center" vertical="center" wrapText="1"/>
      <protection locked="0" hidden="0"/>
    </xf>
    <xf numFmtId="0" fontId="17" fillId="4" borderId="39" xfId="0" applyFont="1" applyFill="1" applyBorder="1" applyAlignment="1">
      <alignment horizontal="center" vertical="center" wrapText="1"/>
      <protection locked="0" hidden="0"/>
    </xf>
    <xf numFmtId="0" fontId="5" fillId="5" borderId="14" xfId="0" applyFont="1" applyFill="1" applyBorder="1" applyAlignment="1">
      <alignment horizontal="center" vertical="center"/>
    </xf>
    <xf numFmtId="0" fontId="5" fillId="5" borderId="15" xfId="0" applyFont="1" applyFill="1" applyBorder="1" applyAlignment="1">
      <alignment horizontal="center" vertical="center"/>
    </xf>
    <xf numFmtId="0" fontId="5" fillId="5" borderId="16" xfId="0" applyFont="1" applyFill="1" applyBorder="1" applyAlignment="1">
      <alignment horizontal="center" vertical="center"/>
    </xf>
    <xf numFmtId="0" fontId="17" fillId="0" borderId="14" xfId="3" applyFont="1" applyBorder="1" applyAlignment="1">
      <alignment horizontal="center" vertical="center" wrapText="1"/>
      <protection locked="0" hidden="0"/>
    </xf>
    <xf numFmtId="0" fontId="17" fillId="13" borderId="15" xfId="3" applyFont="1" applyFill="1" applyBorder="1" applyAlignment="1">
      <alignment horizontal="center" vertical="center"/>
      <protection locked="0" hidden="0"/>
    </xf>
    <xf numFmtId="0" fontId="17" fillId="0" borderId="15" xfId="3" applyFont="1" applyBorder="1" applyAlignment="1">
      <alignment horizontal="center" vertical="center"/>
      <protection locked="0" hidden="0"/>
    </xf>
    <xf numFmtId="0" fontId="17" fillId="0" borderId="16" xfId="3" applyFont="1" applyBorder="1" applyAlignment="1">
      <alignment horizontal="center" vertical="center"/>
      <protection locked="0" hidden="0"/>
    </xf>
    <xf numFmtId="0" fontId="17" fillId="0" borderId="14" xfId="3" applyFont="1" applyBorder="1" applyAlignment="1">
      <alignment horizontal="center" vertical="center"/>
      <protection locked="0" hidden="0"/>
    </xf>
    <xf numFmtId="0" fontId="17" fillId="4" borderId="15" xfId="3" applyFont="1" applyFill="1" applyBorder="1" applyAlignment="1">
      <alignment horizontal="center" vertical="center"/>
      <protection locked="0" hidden="0"/>
    </xf>
    <xf numFmtId="0" fontId="17" fillId="13" borderId="14" xfId="3" applyFont="1" applyFill="1" applyBorder="1" applyAlignment="1">
      <alignment horizontal="center" vertical="center"/>
      <protection locked="0" hidden="0"/>
    </xf>
    <xf numFmtId="0" fontId="17" fillId="13" borderId="15" xfId="3" applyFont="1" applyFill="1" applyBorder="1" applyAlignment="1">
      <alignment horizontal="center" vertical="center"/>
      <protection locked="0" hidden="0"/>
    </xf>
    <xf numFmtId="0" fontId="17" fillId="5" borderId="14" xfId="4" applyFont="1" applyFill="1" applyBorder="1" applyAlignment="1">
      <alignment horizontal="center" vertical="center" wrapText="1"/>
      <protection locked="0" hidden="0"/>
    </xf>
    <xf numFmtId="0" fontId="17" fillId="5" borderId="15" xfId="4" applyFont="1" applyFill="1" applyBorder="1" applyAlignment="1">
      <alignment horizontal="center" vertical="center" wrapText="1"/>
      <protection locked="0" hidden="0"/>
    </xf>
    <xf numFmtId="0" fontId="17" fillId="5" borderId="16" xfId="4" applyFont="1" applyFill="1" applyBorder="1" applyAlignment="1">
      <alignment horizontal="center" vertical="center" wrapText="1"/>
      <protection locked="0" hidden="0"/>
    </xf>
    <xf numFmtId="0" fontId="17" fillId="0" borderId="20" xfId="0" applyFont="1" applyFill="1" applyBorder="1" applyAlignment="1">
      <alignment horizontal="center" vertical="center"/>
      <protection locked="0" hidden="0"/>
    </xf>
    <xf numFmtId="0" fontId="17" fillId="0" borderId="22" xfId="0" applyFont="1" applyFill="1" applyBorder="1" applyAlignment="1">
      <alignment horizontal="center" vertical="center"/>
      <protection locked="0" hidden="0"/>
    </xf>
    <xf numFmtId="0" fontId="17" fillId="0" borderId="10" xfId="0" applyFont="1" applyBorder="1" applyAlignment="1">
      <alignment horizontal="center" vertical="center"/>
      <protection locked="0" hidden="0"/>
    </xf>
    <xf numFmtId="0" fontId="17" fillId="0" borderId="11" xfId="0" applyFont="1" applyFill="1" applyBorder="1" applyAlignment="1">
      <alignment horizontal="center" vertical="center"/>
      <protection locked="0" hidden="0"/>
    </xf>
    <xf numFmtId="0" fontId="17" fillId="0" borderId="11" xfId="0" applyFont="1" applyBorder="1" applyAlignment="1">
      <alignment horizontal="center" vertical="center"/>
      <protection locked="0" hidden="0"/>
    </xf>
    <xf numFmtId="0" fontId="17" fillId="0" borderId="12" xfId="0" applyFont="1" applyBorder="1" applyAlignment="1">
      <alignment horizontal="center" vertical="center"/>
      <protection locked="0" hidden="0"/>
    </xf>
    <xf numFmtId="0" fontId="17" fillId="13" borderId="48" xfId="3" applyFont="1" applyFill="1" applyBorder="1" applyAlignment="1">
      <alignment horizontal="center" vertical="center"/>
    </xf>
    <xf numFmtId="0" fontId="17" fillId="13" borderId="49" xfId="3" applyFont="1" applyFill="1" applyBorder="1" applyAlignment="1">
      <alignment horizontal="center" vertical="center"/>
    </xf>
    <xf numFmtId="0" fontId="17" fillId="13" borderId="50" xfId="3" applyFont="1" applyFill="1" applyBorder="1" applyAlignment="1">
      <alignment horizontal="center" vertical="center"/>
    </xf>
    <xf numFmtId="0" fontId="17" fillId="0" borderId="8" xfId="0" applyFont="1" applyFill="1" applyBorder="1" applyAlignment="1">
      <alignment horizontal="center" vertical="center"/>
      <protection locked="0" hidden="0"/>
    </xf>
    <xf numFmtId="0" fontId="17" fillId="0" borderId="0" xfId="0" applyFont="1" applyFill="1" applyAlignment="1">
      <alignment horizontal="center" vertical="center"/>
      <protection locked="0" hidden="0"/>
    </xf>
    <xf numFmtId="0" fontId="17" fillId="0" borderId="0" xfId="0" applyFont="1" applyAlignment="1">
      <alignment horizontal="center" vertical="center"/>
      <protection locked="0" hidden="0"/>
    </xf>
    <xf numFmtId="0" fontId="17" fillId="0" borderId="9" xfId="0" applyFont="1" applyBorder="1" applyAlignment="1">
      <alignment horizontal="center" vertical="center"/>
      <protection locked="0" hidden="0"/>
    </xf>
    <xf numFmtId="0" fontId="17" fillId="4" borderId="48" xfId="3" applyFont="1" applyFill="1" applyBorder="1" applyAlignment="1">
      <alignment horizontal="center" vertical="center"/>
    </xf>
    <xf numFmtId="0" fontId="17" fillId="4" borderId="49" xfId="3" applyFont="1" applyFill="1" applyBorder="1" applyAlignment="1">
      <alignment horizontal="center" vertical="center"/>
    </xf>
    <xf numFmtId="0" fontId="17" fillId="4" borderId="50" xfId="3" applyFont="1" applyFill="1" applyBorder="1" applyAlignment="1">
      <alignment horizontal="center" vertical="center"/>
    </xf>
    <xf numFmtId="0" fontId="17" fillId="0" borderId="48" xfId="0" applyFont="1" applyFill="1" applyBorder="1" applyAlignment="1">
      <alignment horizontal="center" vertical="center"/>
      <protection locked="0" hidden="0"/>
    </xf>
    <xf numFmtId="0" fontId="17" fillId="0" borderId="49" xfId="0" applyFont="1" applyFill="1" applyBorder="1" applyAlignment="1">
      <alignment horizontal="center" vertical="center"/>
      <protection locked="0" hidden="0"/>
    </xf>
    <xf numFmtId="0" fontId="17" fillId="0" borderId="49" xfId="0" applyFont="1" applyBorder="1" applyAlignment="1">
      <alignment horizontal="center" vertical="center"/>
      <protection locked="0" hidden="0"/>
    </xf>
    <xf numFmtId="0" fontId="17" fillId="0" borderId="50" xfId="0" applyFont="1" applyBorder="1" applyAlignment="1">
      <alignment horizontal="center" vertical="center"/>
      <protection locked="0" hidden="0"/>
    </xf>
    <xf numFmtId="0" fontId="5" fillId="0" borderId="14" xfId="0" applyFont="1" applyBorder="1" applyAlignment="1">
      <alignment horizontal="center" vertical="center" wrapText="1"/>
      <protection locked="0" hidden="0"/>
    </xf>
    <xf numFmtId="0" fontId="5" fillId="0" borderId="15" xfId="0" applyFont="1" applyBorder="1" applyAlignment="1">
      <alignment horizontal="center" vertical="center" wrapText="1"/>
      <protection locked="0" hidden="0"/>
    </xf>
    <xf numFmtId="0" fontId="5" fillId="0" borderId="16" xfId="0" applyFont="1" applyBorder="1" applyAlignment="1">
      <alignment horizontal="center" vertical="center" wrapText="1"/>
      <protection locked="0" hidden="0"/>
    </xf>
    <xf numFmtId="0" fontId="17" fillId="0" borderId="48" xfId="3" applyFont="1" applyFill="1" applyBorder="1" applyAlignment="1">
      <alignment horizontal="center" vertical="center"/>
    </xf>
    <xf numFmtId="0" fontId="17" fillId="0" borderId="49" xfId="3" applyFont="1" applyFill="1" applyBorder="1" applyAlignment="1">
      <alignment horizontal="center" vertical="center"/>
    </xf>
    <xf numFmtId="0" fontId="17" fillId="0" borderId="50" xfId="3" applyFont="1" applyFill="1" applyBorder="1" applyAlignment="1">
      <alignment horizontal="center" vertical="center"/>
    </xf>
    <xf numFmtId="0" fontId="5" fillId="0" borderId="29" xfId="0" applyFont="1" applyBorder="1" applyAlignment="1">
      <alignment horizontal="center" vertical="center" wrapText="1"/>
      <protection locked="0" hidden="0"/>
    </xf>
    <xf numFmtId="0" fontId="5" fillId="0" borderId="30" xfId="0" applyFont="1" applyBorder="1" applyAlignment="1">
      <alignment horizontal="center" vertical="center" wrapText="1"/>
      <protection locked="0" hidden="0"/>
    </xf>
    <xf numFmtId="0" fontId="5" fillId="0" borderId="39" xfId="0" applyFont="1" applyBorder="1" applyAlignment="1">
      <alignment horizontal="center" vertical="center" wrapText="1"/>
      <protection locked="0" hidden="0"/>
    </xf>
    <xf numFmtId="0" fontId="31" fillId="15" borderId="1" xfId="1" applyFont="1" applyFill="1" applyBorder="1" applyAlignment="1">
      <alignment horizontal="center" vertical="center"/>
    </xf>
    <xf numFmtId="0" fontId="31" fillId="15" borderId="2" xfId="1" applyFont="1" applyFill="1" applyBorder="1" applyAlignment="1">
      <alignment horizontal="center" vertical="center"/>
    </xf>
    <xf numFmtId="0" fontId="31" fillId="15" borderId="3" xfId="1" applyFont="1" applyFill="1" applyBorder="1" applyAlignment="1">
      <alignment horizontal="center" vertical="center"/>
    </xf>
    <xf numFmtId="0" fontId="9" fillId="15" borderId="14" xfId="6" applyFont="1" applyFill="1" applyBorder="1" applyAlignment="1">
      <alignment horizontal="center" vertical="center"/>
    </xf>
    <xf numFmtId="0" fontId="9" fillId="0" borderId="15" xfId="2" applyFont="1" applyFill="1" applyBorder="1" applyAlignment="1">
      <alignment horizontal="center" vertical="center"/>
      <protection locked="0" hidden="0"/>
    </xf>
    <xf numFmtId="0" fontId="9" fillId="0" borderId="16" xfId="2" applyFont="1" applyFill="1" applyBorder="1" applyAlignment="1">
      <alignment horizontal="center" vertical="center"/>
      <protection locked="0" hidden="0"/>
    </xf>
    <xf numFmtId="0" fontId="9" fillId="15" borderId="14" xfId="2" applyFont="1" applyFill="1" applyBorder="1" applyAlignment="1">
      <alignment horizontal="center" vertical="center" wrapText="1"/>
    </xf>
    <xf numFmtId="0" fontId="9" fillId="0" borderId="51" xfId="1" applyFont="1" applyFill="1" applyBorder="1" applyAlignment="1">
      <alignment horizontal="center" vertical="center" wrapText="1"/>
      <protection locked="0" hidden="0"/>
    </xf>
    <xf numFmtId="0" fontId="9" fillId="0" borderId="52" xfId="1" applyFont="1" applyFill="1" applyBorder="1" applyAlignment="1">
      <alignment horizontal="center" vertical="center" wrapText="1"/>
      <protection locked="0" hidden="0"/>
    </xf>
    <xf numFmtId="0" fontId="9" fillId="15" borderId="14" xfId="2" applyFont="1" applyFill="1" applyBorder="1" applyAlignment="1">
      <alignment horizontal="center" vertical="center"/>
    </xf>
    <xf numFmtId="0" fontId="9" fillId="0" borderId="31" xfId="1" applyFont="1" applyFill="1" applyBorder="1" applyAlignment="1">
      <alignment horizontal="center" vertical="center" wrapText="1"/>
      <protection locked="0" hidden="0"/>
    </xf>
    <xf numFmtId="0" fontId="9" fillId="0" borderId="11" xfId="1" applyFont="1" applyFill="1" applyBorder="1" applyAlignment="1">
      <alignment horizontal="center" vertical="center" wrapText="1"/>
      <protection locked="0" hidden="0"/>
    </xf>
    <xf numFmtId="0" fontId="9" fillId="0" borderId="12" xfId="1" applyFont="1" applyFill="1" applyBorder="1" applyAlignment="1">
      <alignment horizontal="center" vertical="center" wrapText="1"/>
      <protection locked="0" hidden="0"/>
    </xf>
    <xf numFmtId="0" fontId="9" fillId="0" borderId="44" xfId="1" applyFont="1" applyFill="1" applyBorder="1" applyAlignment="1">
      <alignment horizontal="center" vertical="center" wrapText="1"/>
      <protection locked="0" hidden="0"/>
    </xf>
    <xf numFmtId="0" fontId="9" fillId="0" borderId="0" xfId="1" applyFont="1" applyFill="1" applyAlignment="1">
      <alignment horizontal="center" vertical="center" wrapText="1"/>
      <protection locked="0" hidden="0"/>
    </xf>
    <xf numFmtId="0" fontId="9" fillId="0" borderId="9" xfId="1" applyFont="1" applyFill="1" applyBorder="1" applyAlignment="1">
      <alignment horizontal="center" vertical="center" wrapText="1"/>
      <protection locked="0" hidden="0"/>
    </xf>
    <xf numFmtId="0" fontId="17" fillId="16" borderId="48" xfId="3" applyFont="1" applyFill="1" applyBorder="1" applyAlignment="1">
      <alignment horizontal="center" vertical="center"/>
    </xf>
    <xf numFmtId="0" fontId="17" fillId="16" borderId="49" xfId="3" applyFont="1" applyFill="1" applyBorder="1" applyAlignment="1">
      <alignment horizontal="center" vertical="center"/>
    </xf>
    <xf numFmtId="0" fontId="17" fillId="16" borderId="50" xfId="3" applyFont="1" applyFill="1" applyBorder="1" applyAlignment="1">
      <alignment horizontal="center" vertical="center"/>
    </xf>
    <xf numFmtId="0" fontId="9" fillId="15" borderId="20" xfId="2" applyFont="1" applyFill="1" applyBorder="1" applyAlignment="1">
      <alignment horizontal="center" vertical="center"/>
    </xf>
    <xf numFmtId="0" fontId="9" fillId="0" borderId="45" xfId="1" applyFont="1" applyFill="1" applyBorder="1" applyAlignment="1">
      <alignment horizontal="center" vertical="center" wrapText="1"/>
      <protection locked="0" hidden="0"/>
    </xf>
    <xf numFmtId="0" fontId="9" fillId="0" borderId="18" xfId="1" applyFont="1" applyFill="1" applyBorder="1" applyAlignment="1">
      <alignment horizontal="center" vertical="center" wrapText="1"/>
      <protection locked="0" hidden="0"/>
    </xf>
    <xf numFmtId="0" fontId="9" fillId="0" borderId="19" xfId="1" applyFont="1" applyFill="1" applyBorder="1" applyAlignment="1">
      <alignment horizontal="center" vertical="center" wrapText="1"/>
      <protection locked="0" hidden="0"/>
    </xf>
    <xf numFmtId="0" fontId="5" fillId="0" borderId="18" xfId="0" applyFont="1" applyBorder="1">
      <alignment vertical="center"/>
    </xf>
    <xf numFmtId="0" fontId="3" fillId="0" borderId="0" xfId="0" applyFont="1" applyFill="1">
      <alignment vertical="center"/>
    </xf>
    <xf numFmtId="0" fontId="32" fillId="0" borderId="0" xfId="0" applyFont="1">
      <alignment vertical="center"/>
    </xf>
    <xf numFmtId="0" fontId="33" fillId="0" borderId="0" xfId="0" applyFont="1">
      <alignment vertical="center"/>
    </xf>
    <xf numFmtId="0" fontId="32" fillId="2" borderId="1" xfId="0" applyFont="1" applyFill="1" applyBorder="1">
      <alignment vertical="center"/>
    </xf>
    <xf numFmtId="0" fontId="32" fillId="2" borderId="2" xfId="0" applyFont="1" applyFill="1" applyBorder="1">
      <alignment vertical="center"/>
    </xf>
    <xf numFmtId="0" fontId="32" fillId="2" borderId="53" xfId="0" applyFont="1" applyFill="1" applyBorder="1">
      <alignment vertical="center"/>
    </xf>
    <xf numFmtId="0" fontId="32" fillId="2" borderId="2" xfId="0" applyFont="1" applyFill="1" applyBorder="1">
      <alignment vertical="center"/>
    </xf>
    <xf numFmtId="0" fontId="32" fillId="2" borderId="3" xfId="0" applyFont="1" applyFill="1" applyBorder="1">
      <alignment vertical="center"/>
    </xf>
    <xf numFmtId="0" fontId="32" fillId="0" borderId="48" xfId="0" applyFont="1" applyBorder="1">
      <alignment vertical="center"/>
    </xf>
    <xf numFmtId="0" fontId="32" fillId="0" borderId="49" xfId="0" applyFont="1" applyBorder="1">
      <alignment vertical="center"/>
    </xf>
    <xf numFmtId="0" fontId="32" fillId="0" borderId="44" xfId="0" applyFont="1" applyBorder="1">
      <alignment vertical="center"/>
    </xf>
    <xf numFmtId="0" fontId="32" fillId="0" borderId="0" xfId="0" applyFont="1">
      <alignment vertical="center"/>
    </xf>
    <xf numFmtId="0" fontId="32" fillId="0" borderId="9" xfId="0" applyFont="1" applyBorder="1">
      <alignment vertical="center"/>
    </xf>
    <xf numFmtId="0" fontId="32" fillId="0" borderId="8" xfId="0" applyFont="1" applyBorder="1">
      <alignment vertical="center"/>
    </xf>
    <xf numFmtId="0" fontId="32" fillId="0" borderId="44" xfId="0" applyFont="1" applyBorder="1">
      <alignment vertical="center"/>
    </xf>
    <xf numFmtId="0" fontId="32" fillId="0" borderId="44" xfId="0" applyFont="1" applyBorder="1" applyAlignment="1">
      <alignment horizontal="center" vertical="center"/>
    </xf>
    <xf numFmtId="0" fontId="32" fillId="0" borderId="0" xfId="0" applyFont="1" applyAlignment="1">
      <alignment horizontal="center" vertical="center"/>
    </xf>
    <xf numFmtId="0" fontId="32" fillId="0" borderId="9" xfId="0" applyFont="1" applyBorder="1" applyAlignment="1">
      <alignment horizontal="center" vertical="center"/>
    </xf>
    <xf numFmtId="0" fontId="32" fillId="0" borderId="10" xfId="0" applyFont="1" applyBorder="1">
      <alignment vertical="center"/>
    </xf>
    <xf numFmtId="0" fontId="32" fillId="0" borderId="11" xfId="0" applyFont="1" applyBorder="1">
      <alignment vertical="center"/>
    </xf>
    <xf numFmtId="0" fontId="32" fillId="0" borderId="31" xfId="0" applyFont="1" applyBorder="1">
      <alignment vertical="center"/>
    </xf>
    <xf numFmtId="0" fontId="32" fillId="0" borderId="11" xfId="0" applyFont="1" applyBorder="1">
      <alignment vertical="center"/>
    </xf>
    <xf numFmtId="0" fontId="32" fillId="0" borderId="12" xfId="0" applyFont="1" applyBorder="1">
      <alignment vertical="center"/>
    </xf>
    <xf numFmtId="0" fontId="32" fillId="0" borderId="31" xfId="0" applyFont="1" applyBorder="1">
      <alignment vertical="center"/>
    </xf>
    <xf numFmtId="0" fontId="32" fillId="0" borderId="54" xfId="0" applyFont="1" applyBorder="1">
      <alignment vertical="center"/>
    </xf>
    <xf numFmtId="0" fontId="32" fillId="0" borderId="51" xfId="0" applyFont="1" applyBorder="1">
      <alignment vertical="center"/>
    </xf>
    <xf numFmtId="0" fontId="32" fillId="0" borderId="37" xfId="0" applyFont="1" applyBorder="1">
      <alignment vertical="center"/>
    </xf>
    <xf numFmtId="0" fontId="32" fillId="0" borderId="49" xfId="0" applyFont="1" applyBorder="1">
      <alignment vertical="center"/>
    </xf>
    <xf numFmtId="0" fontId="32" fillId="0" borderId="50" xfId="0" applyFont="1" applyBorder="1">
      <alignment vertical="center"/>
    </xf>
    <xf numFmtId="0" fontId="32" fillId="0" borderId="44" xfId="0" applyFont="1" applyBorder="1" applyAlignment="1">
      <alignment vertical="center" wrapText="1"/>
    </xf>
    <xf numFmtId="0" fontId="32" fillId="0" borderId="17" xfId="0" applyFont="1" applyBorder="1">
      <alignment vertical="center"/>
    </xf>
    <xf numFmtId="0" fontId="32" fillId="0" borderId="45" xfId="0" applyFont="1" applyBorder="1">
      <alignment vertical="center"/>
    </xf>
    <xf numFmtId="0" fontId="32" fillId="0" borderId="55" xfId="0" applyFont="1" applyBorder="1" applyAlignment="1">
      <alignment horizontal="center" vertical="center"/>
    </xf>
    <xf numFmtId="0" fontId="32" fillId="0" borderId="56" xfId="0" applyFont="1" applyBorder="1" applyAlignment="1">
      <alignment horizontal="center" vertical="center"/>
    </xf>
    <xf numFmtId="0" fontId="32" fillId="0" borderId="57" xfId="0" applyFont="1" applyBorder="1" applyAlignment="1">
      <alignment horizontal="center" vertical="center"/>
    </xf>
    <xf numFmtId="0" fontId="32" fillId="0" borderId="45" xfId="0" applyFont="1" applyBorder="1" applyAlignment="1">
      <alignment vertical="center" wrapText="1"/>
    </xf>
    <xf numFmtId="0" fontId="32" fillId="0" borderId="18" xfId="0" applyFont="1" applyBorder="1">
      <alignment vertical="center"/>
    </xf>
    <xf numFmtId="0" fontId="32" fillId="0" borderId="19" xfId="0" applyFont="1" applyBorder="1">
      <alignment vertical="center"/>
    </xf>
    <xf numFmtId="0" fontId="32" fillId="17" borderId="58" xfId="0" applyFont="1" applyFill="1" applyBorder="1" applyAlignment="1">
      <alignment horizontal="center" vertical="center"/>
    </xf>
    <xf numFmtId="0" fontId="32" fillId="17" borderId="40" xfId="0" applyFont="1" applyFill="1" applyBorder="1" applyAlignment="1">
      <alignment horizontal="center" vertical="center"/>
    </xf>
    <xf numFmtId="0" fontId="32" fillId="17" borderId="41" xfId="0" applyFont="1" applyFill="1" applyBorder="1" applyAlignment="1">
      <alignment horizontal="center" vertical="center"/>
    </xf>
    <xf numFmtId="0" fontId="32" fillId="18" borderId="54" xfId="0" applyFont="1" applyFill="1" applyBorder="1" applyAlignment="1">
      <alignment horizontal="center" vertical="center"/>
    </xf>
    <xf numFmtId="0" fontId="32" fillId="18" borderId="51" xfId="0" applyFont="1" applyFill="1" applyBorder="1" applyAlignment="1">
      <alignment horizontal="center" vertical="center"/>
    </xf>
    <xf numFmtId="0" fontId="32" fillId="7" borderId="46" xfId="0" applyFont="1" applyFill="1" applyBorder="1" applyAlignment="1">
      <alignment horizontal="center" vertical="center"/>
    </xf>
    <xf numFmtId="0" fontId="32" fillId="7" borderId="42" xfId="0" applyFont="1" applyFill="1" applyBorder="1" applyAlignment="1">
      <alignment horizontal="center" vertical="center"/>
    </xf>
    <xf numFmtId="0" fontId="32" fillId="7" borderId="43" xfId="0" applyFont="1" applyFill="1" applyBorder="1" applyAlignment="1">
      <alignment horizontal="center" vertical="center"/>
    </xf>
    <xf numFmtId="0" fontId="34" fillId="9" borderId="14" xfId="3" applyFont="1" applyFill="1" applyBorder="1" applyAlignment="1">
      <alignment horizontal="center" vertical="center" wrapText="1"/>
    </xf>
    <xf numFmtId="0" fontId="34" fillId="0" borderId="15" xfId="0" applyFont="1" applyBorder="1" applyAlignment="1">
      <alignment horizontal="center" vertical="center" wrapText="1"/>
      <protection locked="0" hidden="0"/>
    </xf>
    <xf numFmtId="0" fontId="34" fillId="9" borderId="15" xfId="3" applyFont="1" applyFill="1" applyBorder="1" applyAlignment="1">
      <alignment horizontal="center" vertical="center" wrapText="1"/>
    </xf>
    <xf numFmtId="0" fontId="34" fillId="9" borderId="15" xfId="3" applyFont="1" applyFill="1" applyBorder="1" applyAlignment="1">
      <alignment horizontal="center" vertical="center"/>
    </xf>
    <xf numFmtId="0" fontId="32" fillId="0" borderId="15" xfId="0" applyFont="1" applyBorder="1" applyAlignment="1">
      <alignment horizontal="center" vertical="center"/>
    </xf>
    <xf numFmtId="0" fontId="32" fillId="0" borderId="16" xfId="0" applyFont="1" applyBorder="1" applyAlignment="1">
      <alignment horizontal="center" vertical="center"/>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2" fillId="7" borderId="15" xfId="0" applyFont="1" applyFill="1" applyBorder="1" applyAlignment="1">
      <alignment horizontal="center" vertical="center"/>
    </xf>
    <xf numFmtId="0" fontId="32" fillId="7" borderId="16" xfId="0" applyFont="1" applyFill="1" applyBorder="1" applyAlignment="1">
      <alignment horizontal="center" vertical="center"/>
    </xf>
    <xf numFmtId="0" fontId="32" fillId="7" borderId="14" xfId="0" applyFont="1" applyFill="1" applyBorder="1" applyAlignment="1">
      <alignment horizontal="center" vertical="center"/>
    </xf>
    <xf numFmtId="0" fontId="34" fillId="9" borderId="20" xfId="3" applyFont="1" applyFill="1" applyBorder="1" applyAlignment="1">
      <alignment horizontal="center" vertical="center" wrapText="1"/>
    </xf>
    <xf numFmtId="0" fontId="32" fillId="0" borderId="21" xfId="0" applyFont="1" applyBorder="1" applyAlignment="1">
      <alignment horizontal="center" vertical="center"/>
    </xf>
    <xf numFmtId="0" fontId="34" fillId="9" borderId="21" xfId="3" applyFont="1" applyFill="1" applyBorder="1" applyAlignment="1">
      <alignment horizontal="center" vertical="center" wrapText="1"/>
    </xf>
    <xf numFmtId="0" fontId="32" fillId="0" borderId="21" xfId="0" applyFont="1" applyBorder="1" applyAlignment="1">
      <alignment horizontal="center" vertical="center" wrapText="1"/>
    </xf>
    <xf numFmtId="0" fontId="32" fillId="0" borderId="22" xfId="0" applyFont="1" applyBorder="1" applyAlignment="1">
      <alignment horizontal="center" vertical="center" wrapText="1"/>
    </xf>
    <xf numFmtId="0" fontId="32" fillId="18" borderId="15" xfId="0" applyFont="1" applyFill="1" applyBorder="1" applyAlignment="1">
      <alignment horizontal="center" vertical="center"/>
    </xf>
    <xf numFmtId="0" fontId="32" fillId="18" borderId="16" xfId="0" applyFont="1" applyFill="1" applyBorder="1" applyAlignment="1">
      <alignment horizontal="center" vertical="center"/>
    </xf>
    <xf numFmtId="0" fontId="32" fillId="19" borderId="58" xfId="0" applyFont="1" applyFill="1" applyBorder="1" applyAlignment="1">
      <alignment horizontal="center" vertical="center"/>
    </xf>
    <xf numFmtId="0" fontId="32" fillId="19" borderId="40" xfId="0" applyFont="1" applyFill="1" applyBorder="1" applyAlignment="1">
      <alignment horizontal="center" vertical="center"/>
    </xf>
    <xf numFmtId="0" fontId="32" fillId="19" borderId="41" xfId="0" applyFont="1" applyFill="1" applyBorder="1" applyAlignment="1">
      <alignment horizontal="center" vertical="center"/>
    </xf>
    <xf numFmtId="0" fontId="32" fillId="20" borderId="14" xfId="0" applyFont="1" applyFill="1" applyBorder="1" applyAlignment="1">
      <alignment horizontal="center" vertical="center"/>
    </xf>
    <xf numFmtId="0" fontId="32" fillId="20" borderId="15" xfId="0" applyFont="1" applyFill="1" applyBorder="1" applyAlignment="1">
      <alignment horizontal="center" vertical="center"/>
    </xf>
    <xf numFmtId="0" fontId="32" fillId="20" borderId="47" xfId="0" applyFont="1" applyFill="1" applyBorder="1" applyAlignment="1">
      <alignment horizontal="center" vertical="center"/>
    </xf>
    <xf numFmtId="0" fontId="32" fillId="20" borderId="16" xfId="0" applyFont="1" applyFill="1" applyBorder="1" applyAlignment="1">
      <alignment horizontal="center" vertical="center"/>
    </xf>
    <xf numFmtId="0" fontId="34" fillId="21" borderId="14" xfId="3" applyFont="1" applyFill="1" applyBorder="1" applyAlignment="1">
      <alignment horizontal="center" vertical="center" wrapText="1"/>
    </xf>
    <xf numFmtId="0" fontId="34" fillId="21" borderId="15" xfId="3" applyFont="1" applyFill="1" applyBorder="1" applyAlignment="1">
      <alignment horizontal="center" vertical="center" wrapText="1"/>
    </xf>
    <xf numFmtId="0" fontId="34" fillId="21" borderId="15" xfId="3" applyFont="1" applyFill="1" applyBorder="1" applyAlignment="1">
      <alignment horizontal="center" vertical="center"/>
    </xf>
    <xf numFmtId="0" fontId="34" fillId="21" borderId="47" xfId="3" applyFont="1" applyFill="1" applyBorder="1" applyAlignment="1">
      <alignment horizontal="center" vertical="center" wrapText="1"/>
    </xf>
    <xf numFmtId="0" fontId="34" fillId="0" borderId="16" xfId="0" applyFont="1" applyBorder="1" applyAlignment="1">
      <alignment horizontal="center" vertical="center" wrapText="1"/>
      <protection locked="0" hidden="0"/>
    </xf>
    <xf numFmtId="0" fontId="34" fillId="0" borderId="31" xfId="0" applyFont="1" applyBorder="1" applyAlignment="1">
      <alignment horizontal="center" vertical="center" wrapText="1"/>
      <protection locked="0" hidden="0"/>
    </xf>
    <xf numFmtId="0" fontId="34" fillId="0" borderId="11" xfId="0" applyFont="1" applyBorder="1" applyAlignment="1">
      <alignment horizontal="center" vertical="center" wrapText="1"/>
      <protection locked="0" hidden="0"/>
    </xf>
    <xf numFmtId="0" fontId="34" fillId="0" borderId="35" xfId="0" applyFont="1" applyBorder="1" applyAlignment="1">
      <alignment horizontal="center" vertical="center" wrapText="1"/>
      <protection locked="0" hidden="0"/>
    </xf>
    <xf numFmtId="0" fontId="34" fillId="0" borderId="12" xfId="0" applyFont="1" applyBorder="1" applyAlignment="1">
      <alignment horizontal="center" vertical="center" wrapText="1"/>
      <protection locked="0" hidden="0"/>
    </xf>
    <xf numFmtId="0" fontId="34" fillId="0" borderId="44" xfId="0" applyFont="1" applyBorder="1" applyAlignment="1">
      <alignment horizontal="center" vertical="center" wrapText="1"/>
      <protection locked="0" hidden="0"/>
    </xf>
    <xf numFmtId="0" fontId="34" fillId="0" borderId="0" xfId="0" applyFont="1" applyAlignment="1">
      <alignment horizontal="center" vertical="center" wrapText="1"/>
      <protection locked="0" hidden="0"/>
    </xf>
    <xf numFmtId="0" fontId="34" fillId="0" borderId="59" xfId="0" applyFont="1" applyBorder="1" applyAlignment="1">
      <alignment horizontal="center" vertical="center" wrapText="1"/>
      <protection locked="0" hidden="0"/>
    </xf>
    <xf numFmtId="0" fontId="34" fillId="0" borderId="9" xfId="0" applyFont="1" applyBorder="1" applyAlignment="1">
      <alignment horizontal="center" vertical="center" wrapText="1"/>
      <protection locked="0" hidden="0"/>
    </xf>
    <xf numFmtId="0" fontId="34" fillId="0" borderId="37" xfId="0" applyFont="1" applyBorder="1" applyAlignment="1">
      <alignment horizontal="center" vertical="center" wrapText="1"/>
      <protection locked="0" hidden="0"/>
    </xf>
    <xf numFmtId="0" fontId="34" fillId="0" borderId="49" xfId="0" applyFont="1" applyBorder="1" applyAlignment="1">
      <alignment horizontal="center" vertical="center" wrapText="1"/>
      <protection locked="0" hidden="0"/>
    </xf>
    <xf numFmtId="0" fontId="34" fillId="0" borderId="38" xfId="0" applyFont="1" applyBorder="1" applyAlignment="1">
      <alignment horizontal="center" vertical="center" wrapText="1"/>
      <protection locked="0" hidden="0"/>
    </xf>
    <xf numFmtId="0" fontId="34" fillId="0" borderId="50" xfId="0" applyFont="1" applyBorder="1" applyAlignment="1">
      <alignment horizontal="center" vertical="center" wrapText="1"/>
      <protection locked="0" hidden="0"/>
    </xf>
    <xf numFmtId="0" fontId="34" fillId="21" borderId="20" xfId="3" applyFont="1" applyFill="1" applyBorder="1" applyAlignment="1">
      <alignment horizontal="center" vertical="center" wrapText="1"/>
    </xf>
    <xf numFmtId="0" fontId="34" fillId="0" borderId="21" xfId="0" applyFont="1" applyBorder="1" applyAlignment="1">
      <alignment horizontal="center" vertical="center" wrapText="1"/>
      <protection locked="0" hidden="0"/>
    </xf>
    <xf numFmtId="0" fontId="34" fillId="0" borderId="22" xfId="0" applyFont="1" applyBorder="1" applyAlignment="1">
      <alignment horizontal="center" vertical="center" wrapText="1"/>
      <protection locked="0" hidden="0"/>
    </xf>
    <xf numFmtId="0" fontId="35" fillId="0" borderId="0" xfId="0" applyFont="1">
      <alignment vertical="center"/>
    </xf>
    <xf numFmtId="0" fontId="36" fillId="17" borderId="0" xfId="0" applyFont="1" applyFill="1" applyAlignment="1">
      <alignment horizontal="center" vertical="center"/>
    </xf>
    <xf numFmtId="0" fontId="36" fillId="22" borderId="0" xfId="0" applyFont="1" applyFill="1" applyAlignment="1">
      <alignment horizontal="center" vertical="center"/>
    </xf>
    <xf numFmtId="0" fontId="35" fillId="18" borderId="0" xfId="0" applyFont="1" applyFill="1" applyAlignment="1">
      <alignment horizontal="center" vertical="center"/>
    </xf>
    <xf numFmtId="0" fontId="35" fillId="23" borderId="0" xfId="0" applyFont="1" applyFill="1" applyAlignment="1">
      <alignment horizontal="center" vertical="center"/>
    </xf>
    <xf numFmtId="0" fontId="35" fillId="0" borderId="0" xfId="0" applyFont="1" applyAlignment="1">
      <alignment vertical="center" wrapText="1"/>
    </xf>
    <xf numFmtId="0" fontId="37" fillId="0" borderId="25" xfId="0" applyFont="1" applyFill="1" applyBorder="1">
      <alignment vertical="center"/>
    </xf>
    <xf numFmtId="0" fontId="38" fillId="0" borderId="24" xfId="0" applyFont="1" applyFill="1" applyBorder="1">
      <alignment vertical="center"/>
    </xf>
    <xf numFmtId="0" fontId="38" fillId="0" borderId="25" xfId="0" applyFont="1" applyBorder="1" applyAlignment="1">
      <alignment horizontal="center" vertical="center"/>
    </xf>
    <xf numFmtId="0" fontId="38" fillId="0" borderId="24" xfId="0" applyFont="1" applyBorder="1" applyAlignment="1">
      <alignment horizontal="center" vertical="center"/>
    </xf>
    <xf numFmtId="0" fontId="38" fillId="0" borderId="25" xfId="0" applyFont="1" applyBorder="1">
      <alignment vertical="center"/>
    </xf>
    <xf numFmtId="0" fontId="39" fillId="24" borderId="53" xfId="3" applyFont="1" applyFill="1" applyBorder="1">
      <alignment vertical="center"/>
      <protection locked="0" hidden="0"/>
    </xf>
    <xf numFmtId="0" fontId="39" fillId="24" borderId="53" xfId="3" applyFont="1" applyFill="1" applyBorder="1">
      <alignment vertical="center"/>
    </xf>
    <xf numFmtId="0" fontId="38" fillId="24" borderId="24" xfId="0" applyFont="1" applyFill="1" applyBorder="1">
      <alignment vertical="center"/>
    </xf>
    <xf numFmtId="0" fontId="38" fillId="0" borderId="8" xfId="0" applyFont="1" applyFill="1" applyBorder="1">
      <alignment vertical="center"/>
    </xf>
    <xf numFmtId="0" fontId="37" fillId="0" borderId="9" xfId="0" applyFont="1" applyFill="1" applyBorder="1">
      <alignment vertical="center"/>
    </xf>
    <xf numFmtId="0" fontId="40" fillId="0" borderId="8" xfId="0" applyFont="1" applyFill="1" applyBorder="1">
      <alignment vertical="center"/>
      <protection locked="0" hidden="0"/>
    </xf>
    <xf numFmtId="0" fontId="40" fillId="0" borderId="9" xfId="0" applyFont="1" applyFill="1" applyBorder="1">
      <alignment vertical="center"/>
      <protection locked="0" hidden="0"/>
    </xf>
    <xf numFmtId="0" fontId="38" fillId="0" borderId="8" xfId="0" applyFont="1" applyBorder="1">
      <alignment vertical="center"/>
    </xf>
    <xf numFmtId="0" fontId="38" fillId="0" borderId="0" xfId="0" applyFont="1">
      <alignment vertical="center"/>
    </xf>
    <xf numFmtId="0" fontId="38" fillId="0" borderId="9" xfId="0" applyFont="1" applyBorder="1">
      <alignment vertical="center"/>
    </xf>
    <xf numFmtId="0" fontId="38" fillId="0" borderId="8" xfId="0" applyFont="1" applyBorder="1">
      <alignment vertical="center"/>
      <protection locked="0" hidden="0"/>
    </xf>
    <xf numFmtId="0" fontId="38" fillId="0" borderId="9" xfId="0" applyFont="1" applyBorder="1">
      <alignment vertical="center"/>
      <protection locked="0" hidden="0"/>
    </xf>
    <xf numFmtId="0" fontId="38" fillId="0" borderId="17" xfId="0" applyFont="1" applyBorder="1">
      <alignment vertical="center"/>
      <protection locked="0" hidden="0"/>
    </xf>
    <xf numFmtId="0" fontId="38" fillId="0" borderId="19" xfId="0" applyFont="1" applyBorder="1">
      <alignment vertical="center"/>
      <protection locked="0" hidden="0"/>
    </xf>
    <xf numFmtId="0" fontId="37" fillId="0" borderId="8" xfId="0" applyFont="1" applyBorder="1">
      <alignment vertical="center"/>
    </xf>
    <xf numFmtId="0" fontId="37" fillId="0" borderId="8" xfId="0" applyFont="1" applyBorder="1">
      <alignment vertical="center"/>
      <protection locked="0" hidden="0"/>
    </xf>
    <xf numFmtId="0" fontId="38" fillId="0" borderId="0" xfId="0" applyFont="1">
      <alignment vertical="center"/>
      <protection locked="0" hidden="0"/>
    </xf>
    <xf numFmtId="0" fontId="38" fillId="0" borderId="9" xfId="0" applyFont="1" applyBorder="1">
      <alignment vertical="center"/>
      <protection locked="0" hidden="0"/>
    </xf>
    <xf numFmtId="0" fontId="37" fillId="0" borderId="8" xfId="0" applyFont="1" applyFill="1" applyBorder="1">
      <alignment vertical="center"/>
      <protection locked="0" hidden="0"/>
    </xf>
    <xf numFmtId="0" fontId="37" fillId="0" borderId="9" xfId="0" applyFont="1" applyFill="1" applyBorder="1">
      <alignment vertical="center"/>
      <protection locked="0" hidden="0"/>
    </xf>
    <xf numFmtId="0" fontId="3" fillId="0" borderId="0" xfId="0">
      <alignment vertical="center"/>
      <protection locked="0" hidden="0"/>
    </xf>
    <xf numFmtId="0" fontId="38" fillId="0" borderId="18" xfId="0" applyFont="1" applyBorder="1">
      <alignment vertical="center"/>
      <protection locked="0" hidden="0"/>
    </xf>
    <xf numFmtId="0" fontId="38" fillId="0" borderId="19" xfId="0" applyFont="1" applyBorder="1">
      <alignment vertical="center"/>
      <protection locked="0" hidden="0"/>
    </xf>
    <xf numFmtId="0" fontId="38" fillId="0" borderId="8" xfId="0" applyFont="1" applyFill="1" applyBorder="1">
      <alignment vertical="center"/>
      <protection locked="0" hidden="0"/>
    </xf>
    <xf numFmtId="0" fontId="38" fillId="0" borderId="9" xfId="0" applyFont="1" applyFill="1" applyBorder="1">
      <alignment vertical="center"/>
      <protection locked="0" hidden="0"/>
    </xf>
    <xf numFmtId="0" fontId="38" fillId="0" borderId="17" xfId="0" applyFont="1" applyFill="1" applyBorder="1">
      <alignment vertical="center"/>
      <protection locked="0" hidden="0"/>
    </xf>
    <xf numFmtId="0" fontId="38" fillId="0" borderId="19" xfId="0" applyFont="1" applyFill="1" applyBorder="1">
      <alignment vertical="center"/>
      <protection locked="0" hidden="0"/>
    </xf>
  </cellXfs>
  <cellStyles count="7">
    <cellStyle name="常规" xfId="0" builtinId="0"/>
    <cellStyle name="一般 2" xfId="1"/>
    <cellStyle name="標題 4 2" xfId="2"/>
    <cellStyle name="标题 4" xfId="3"/>
    <cellStyle name="输入" xfId="4"/>
    <cellStyle name="标题 3" xfId="5"/>
    <cellStyle name="標題 1 2" xfId="6"/>
  </cellStyles>
  <dxfs count="14">
    <dxf>
      <fill>
        <patternFill patternType="solid">
          <bgColor rgb="FFC5D9F1"/>
        </patternFill>
      </fill>
    </dxf>
    <dxf>
      <font>
        <color rgb="FFF2F2F2"/>
      </font>
    </dxf>
    <dxf>
      <fill>
        <patternFill patternType="solid">
          <bgColor rgb="FFDCE6F1"/>
        </patternFill>
      </fill>
    </dxf>
    <dxf>
      <font>
        <color rgb="FFFFFFFF"/>
      </font>
    </dxf>
    <dxf>
      <font>
        <b/>
        <color rgb="FF000000"/>
      </font>
      <fill>
        <patternFill patternType="solid">
          <fgColor rgb="FFDCE6F1"/>
          <bgColor rgb="FFDCE6F1"/>
        </patternFill>
      </fill>
      <border>
        <left/>
        <right/>
        <top/>
        <bottom style="thin">
          <color rgb="FF95B3D7"/>
        </bottom>
        <diagonal/>
      </border>
    </dxf>
    <dxf>
      <font>
        <b/>
        <color rgb="FF000000"/>
      </font>
      <fill>
        <patternFill patternType="solid">
          <fgColor rgb="FFDCE6F1"/>
          <bgColor rgb="FFDCE6F1"/>
        </patternFill>
      </fill>
      <border>
        <left/>
        <right/>
        <top style="thin">
          <color rgb="FF95B3D7"/>
        </top>
        <bottom style="thin">
          <color rgb="FF95B3D7"/>
        </bottom>
        <diagonal/>
      </border>
    </dxf>
    <dxf>
      <fill>
        <patternFill patternType="solid">
          <fgColor rgb="FFDCE6F1"/>
          <bgColor rgb="FFDCE6F1"/>
        </patternFill>
      </fill>
    </dxf>
    <dxf>
      <fill>
        <patternFill patternType="solid">
          <fgColor rgb="FFDCE6F1"/>
          <bgColor rgb="FFDCE6F1"/>
        </patternFill>
      </fill>
    </dxf>
    <dxf>
      <font>
        <b/>
        <color rgb="FF000000"/>
      </font>
      <border>
        <left/>
        <right/>
        <top style="thin">
          <color rgb="FF4F81BD"/>
        </top>
        <bottom style="thin">
          <color rgb="FF4F81BD"/>
        </bottom>
        <diagonal/>
      </border>
    </dxf>
    <dxf>
      <font>
        <b/>
        <color rgb="FF000000"/>
      </font>
    </dxf>
    <dxf>
      <font>
        <color rgb="FF000000"/>
      </font>
      <border>
        <left/>
        <right/>
        <top/>
        <bottom style="thin">
          <color rgb="FF95B3D7"/>
        </bottom>
        <diagonal/>
      </border>
    </dxf>
    <dxf>
      <font>
        <color rgb="FF000000"/>
      </font>
    </dxf>
    <dxf>
      <font>
        <b/>
      </font>
      <fill>
        <patternFill patternType="solid">
          <fgColor rgb="FFDCE6F1"/>
          <bgColor rgb="FFDCE6F1"/>
        </patternFill>
      </fill>
      <border>
        <left/>
        <right/>
        <top/>
        <bottom style="thin">
          <color rgb="FF95B3D7"/>
        </bottom>
        <diagonal/>
      </border>
    </dxf>
    <dxf>
      <fill>
        <patternFill patternType="solid">
          <fgColor rgb="FFDCE6F1"/>
          <bgColor rgb="FFDCE6F1"/>
        </patternFill>
      </fill>
      <border>
        <left/>
        <right/>
        <top/>
        <bottom style="thin">
          <color rgb="FF95B3D7"/>
        </bottom>
        <diagonal/>
      </border>
    </dxf>
  </dxfs>
  <tableStyles defaultTableStyle="TableStyleMedium2" defaultPivotStyle="PivotStylePreset2_Accent1" count="1">
    <tableStyle name="PivotStylePreset2_Accent1" table="0" count="10">
      <tableStyleElement type="headerRow" dxfId="4"/>
      <tableStyleElement type="totalRow" dxfId="5"/>
      <tableStyleElement type="firstRowStripe" dxfId="6"/>
      <tableStyleElement type="firstColumnStripe" dxfId="7"/>
      <tableStyleElement type="firstSubtotalRow" dxfId="8"/>
      <tableStyleElement type="secondSubtotalRow" dxfId="9"/>
      <tableStyleElement type="firstRowSubheading" dxfId="10"/>
      <tableStyleElement type="secondRowSubheading" dxfId="11"/>
      <tableStyleElement type="pageFieldLabels" dxfId="12"/>
      <tableStyleElement type="pageFieldValues" dxfId="13"/>
    </tableStyle>
  </tableStyles>
</styleSheet>
</file>

<file path=xl/_rels/workbook.xml.rels><?xml version="1.0" encoding="UTF-8" standalone="yes"?>
<Relationships xmlns="http://schemas.openxmlformats.org/package/2006/relationships"><Relationship Id="rId1" Type="http://schemas.openxmlformats.org/officeDocument/2006/relationships/externalLink" Target="externalLinks/externalLink1.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www.wps.cn/officeDocument/2020/cellImage" Target="cellimages.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 Id="rId1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0557103064067"/>
          <c:y val="0.0970328789093825"/>
          <c:w val="0.691272051996286"/>
          <c:h val="0.796043838545843"/>
        </c:manualLayout>
      </c:layout>
      <c:radarChart>
        <c:radarStyle val="filled"/>
        <c:varyColors val="0"/>
        <c:ser>
          <c:idx val="0"/>
          <c:order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900" b="1" i="0" u="none" strike="noStrike" kern="1200" baseline="0">
                    <a:solidFill>
                      <a:schemeClr val="tx1"/>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'角色卡 '!$D$14:$I$14</c:f>
              <c:strCache>
                <c:ptCount val="6"/>
                <c:pt idx="0">
                  <c:v>筋力</c:v>
                </c:pt>
                <c:pt idx="1">
                  <c:v>耐久</c:v>
                </c:pt>
                <c:pt idx="2">
                  <c:v>敏捷</c:v>
                </c:pt>
                <c:pt idx="3">
                  <c:v>魔力</c:v>
                </c:pt>
                <c:pt idx="4">
                  <c:v>幸运</c:v>
                </c:pt>
                <c:pt idx="5">
                  <c:v>宝具</c:v>
                </c:pt>
              </c:strCache>
            </c:strRef>
          </c:cat>
          <c:val>
            <c:numRef>
              <c:f>'角色卡 '!$D$15:$I$15</c:f>
              <c:numCache>
                <c:formatCode>General</c:formatCode>
                <c:ptCount val="6"/>
                <c:pt idx="0">
                  <c:v>20.0</c:v>
                </c:pt>
                <c:pt idx="1">
                  <c:v>20.0</c:v>
                </c:pt>
                <c:pt idx="2">
                  <c:v>20.0</c:v>
                </c:pt>
                <c:pt idx="3">
                  <c:v>90.0</c:v>
                </c:pt>
                <c:pt idx="4">
                  <c:v>60.0</c:v>
                </c:pt>
                <c:pt idx="5">
                  <c:v>50.0</c:v>
                </c:pt>
              </c:numCache>
            </c:numRef>
          </c:val>
        </c:ser>
        <c:dLbls>
          <c:showLegendKey val="0"/>
          <c:showVal val="0"/>
          <c:showCatName val="0"/>
          <c:showSerName val="0"/>
          <c:showPercent val="0"/>
          <c:showBubbleSize val="0"/>
        </c:dLbls>
        <c:axId val="1422116447"/>
        <c:axId val="1415808495"/>
      </c:radarChart>
      <c:catAx>
        <c:axId val="142211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50000"/>
                    <a:lumOff val="50000"/>
                  </a:schemeClr>
                </a:solidFill>
                <a:latin typeface="+mn-lt"/>
                <a:ea typeface="+mn-ea"/>
                <a:cs typeface="+mn-cs"/>
              </a:defRPr>
            </a:pPr>
          </a:p>
        </c:txPr>
        <c:crossAx val="1415808495"/>
        <c:crosses val="autoZero"/>
        <c:auto val="1"/>
        <c:lblAlgn val="ctr"/>
        <c:lblOffset val="100"/>
        <c:noMultiLvlLbl val="0"/>
      </c:catAx>
      <c:valAx>
        <c:axId val="1415808495"/>
        <c:scaling>
          <c:orientation val="minMax"/>
          <c:max val="100.0"/>
          <c:min val="0.0"/>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50000"/>
                    <a:lumOff val="50000"/>
                  </a:schemeClr>
                </a:solidFill>
                <a:latin typeface="+mn-lt"/>
                <a:ea typeface="+mn-ea"/>
                <a:cs typeface="+mn-cs"/>
              </a:defRPr>
            </a:pPr>
          </a:p>
        </c:txPr>
        <c:crossAx val="1422116447"/>
        <c:crosses val="autoZero"/>
        <c:crossBetween val="between"/>
        <c:majorUnit val="10.0"/>
        <c:minorUnit val="5.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34</xdr:row>
      <xdr:rowOff>0</xdr:rowOff>
    </xdr:from>
    <xdr:to>
      <xdr:col>12</xdr:col>
      <xdr:colOff>281776</xdr:colOff>
      <xdr:row>42</xdr:row>
      <xdr:rowOff>0</xdr:rowOff>
    </xdr:to>
    <xdr:pic>
      <xdr:nvPicPr>
        <xdr:cNvPr id="2" name="图片 2" descr=" "/>
        <xdr:cNvPicPr/>
      </xdr:nvPicPr>
      <xdr:blipFill>
        <a:blip xmlns:r="http://schemas.openxmlformats.org/officeDocument/2006/relationships" r:embed="rId1"/>
        <a:srcRect/>
        <a:stretch>
          <a:fillRect/>
        </a:stretch>
      </xdr:blipFill>
      <xdr:spPr>
        <a:xfrm>
          <a:off x="635" y="5355590"/>
          <a:ext cx="8553450" cy="1249045"/>
        </a:xfrm>
        <a:prstGeom prst="rect">
          <a:avLst/>
        </a:prstGeom>
        <a:noFill/>
        <a:ln w="9525" cap="flat" cmpd="sng">
          <a:noFill/>
          <a:prstDash val="solid"/>
          <a:miter/>
        </a:ln>
        <a:effectLst/>
      </xdr:spPr>
    </xdr:pic>
    <xdr:clientData/>
  </xdr:twoCellAnchor>
  <xdr:twoCellAnchor>
    <xdr:from>
      <xdr:col>0</xdr:col>
      <xdr:colOff>0</xdr:colOff>
      <xdr:row>30</xdr:row>
      <xdr:rowOff>0</xdr:rowOff>
    </xdr:from>
    <xdr:to>
      <xdr:col>1</xdr:col>
      <xdr:colOff>485949</xdr:colOff>
      <xdr:row>32</xdr:row>
      <xdr:rowOff>0</xdr:rowOff>
    </xdr:to>
    <xdr:pic>
      <xdr:nvPicPr>
        <xdr:cNvPr id="3" name="图片 3" descr=" "/>
        <xdr:cNvPicPr/>
      </xdr:nvPicPr>
      <xdr:blipFill>
        <a:blip xmlns:r="http://schemas.openxmlformats.org/officeDocument/2006/relationships" r:embed="rId2"/>
        <a:srcRect/>
        <a:stretch>
          <a:fillRect/>
        </a:stretch>
      </xdr:blipFill>
      <xdr:spPr>
        <a:xfrm>
          <a:off x="29845" y="4741545"/>
          <a:ext cx="1162050" cy="378460"/>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3</xdr:col>
      <xdr:colOff>557629</xdr:colOff>
      <xdr:row>12</xdr:row>
      <xdr:rowOff>0</xdr:rowOff>
    </xdr:to>
    <xdr:graphicFrame macro="">
      <xdr:nvGraphicFramePr>
        <xdr:cNvPr name="图表 1" id="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ar/mobile/Containers/Data/Application/2C70ECAB-1D04-491F-A4CC-CB75702B7F46/Documents/WpsQingCache_/1319048804/o/LOCAL-28A1B68F-1681-49B3-A7A9-336984ED66C3/n/RC1.13&#20174;&#32773;&#35282;&#33394;&#21345;%2520(1).xlsx/var/mobile/Containers/Data/Application/802D5592-532C-402E-95AB-7AEE559AFA3B/Documents/WpsQingCache_/1319048804/o/LOCAL-1F4EB93F-6833-4A35-9ED1-81E7B4FCA8FA/n/D:/Users/dell/AppData/Local/kingsoft/WPS%2520Cloud%2520Files/userdata/qing/filecache/.262928072/cachedata/A44057FEEDDC4603A9626F826C232D70/&#24481;&#20027;&#35282;&#33394;&#21345;7.0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說明"/>
      <sheetName val="角色卡"/>
      <sheetName val="角色經歷"/>
      <sheetName val="建卡用参考资源"/>
      <sheetName val="数值参考"/>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r="http://schemas.openxmlformats.org/officeDocument/2006/relationships" xmlns="http://schemas.openxmlformats.org/spreadsheetml/2006/main">
  <dimension ref="A1:BK71"/>
  <sheetViews>
    <sheetView workbookViewId="0">
      <selection activeCell="A1" sqref="A1:K5"/>
    </sheetView>
  </sheetViews>
  <sheetFormatPr defaultRowHeight="11.9" defaultColWidth="10"/>
  <sheetData>
    <row r="1" spans="8:8">
      <c r="A1" s="1" t="s">
        <v>0</v>
      </c>
      <c r="B1" s="1"/>
      <c r="C1" s="1"/>
      <c r="D1" s="1"/>
      <c r="E1" s="1"/>
      <c r="F1" s="1"/>
      <c r="G1" s="1"/>
      <c r="H1" s="1"/>
      <c r="I1" s="1"/>
      <c r="J1" s="1"/>
      <c r="K1" s="1"/>
    </row>
    <row r="2" spans="8:8">
      <c r="A2" s="1"/>
      <c r="B2" s="1"/>
      <c r="C2" s="1"/>
      <c r="D2" s="1"/>
      <c r="E2" s="1"/>
      <c r="F2" s="1"/>
      <c r="G2" s="1"/>
      <c r="H2" s="1"/>
      <c r="I2" s="1"/>
      <c r="J2" s="1"/>
      <c r="K2" s="1"/>
    </row>
    <row r="3" spans="8:8">
      <c r="A3" s="1"/>
      <c r="B3" s="1"/>
      <c r="C3" s="1"/>
      <c r="D3" s="1"/>
      <c r="E3" s="1"/>
      <c r="F3" s="1"/>
      <c r="G3" s="1"/>
      <c r="H3" s="1"/>
      <c r="I3" s="1"/>
      <c r="J3" s="1"/>
      <c r="K3" s="1"/>
    </row>
    <row r="4" spans="8:8">
      <c r="A4" s="1"/>
      <c r="B4" s="1"/>
      <c r="C4" s="1"/>
      <c r="D4" s="1"/>
      <c r="E4" s="1"/>
      <c r="F4" s="1"/>
      <c r="G4" s="1"/>
      <c r="H4" s="1"/>
      <c r="I4" s="1"/>
      <c r="J4" s="1"/>
      <c r="K4" s="1"/>
    </row>
    <row r="5" spans="8:8">
      <c r="A5" s="1"/>
      <c r="B5" s="1"/>
      <c r="C5" s="1"/>
      <c r="D5" s="1"/>
      <c r="E5" s="1"/>
      <c r="F5" s="1"/>
      <c r="G5" s="1"/>
      <c r="H5" s="1"/>
      <c r="I5" s="1"/>
      <c r="J5" s="1"/>
      <c r="K5" s="1"/>
    </row>
    <row r="6" spans="8:8" ht="15.75" customHeight="1">
      <c r="A6" s="2" t="s">
        <v>1</v>
      </c>
    </row>
    <row r="7" spans="8:8">
      <c r="A7" s="3">
        <v>5.0</v>
      </c>
      <c r="B7" t="s">
        <v>2</v>
      </c>
    </row>
    <row r="8" spans="8:8">
      <c r="A8" s="3"/>
      <c r="B8" t="s">
        <v>3</v>
      </c>
    </row>
    <row r="9" spans="8:8">
      <c r="A9" s="3"/>
      <c r="B9" t="s">
        <v>4</v>
      </c>
    </row>
    <row r="10" spans="8:8">
      <c r="A10" s="3">
        <v>5.1</v>
      </c>
      <c r="B10" t="s">
        <v>5</v>
      </c>
    </row>
    <row r="11" spans="8:8">
      <c r="A11" s="3">
        <v>5.11</v>
      </c>
      <c r="B11" t="s">
        <v>6</v>
      </c>
    </row>
    <row r="12" spans="8:8">
      <c r="A12" s="3">
        <v>5.2</v>
      </c>
      <c r="B12" t="s">
        <v>7</v>
      </c>
    </row>
    <row r="13" spans="8:8">
      <c r="A13" s="3"/>
      <c r="B13" t="s">
        <v>8</v>
      </c>
    </row>
    <row r="14" spans="8:8">
      <c r="A14" s="3">
        <v>5.22</v>
      </c>
      <c r="B14" s="4" t="s">
        <v>9</v>
      </c>
    </row>
    <row r="15" spans="8:8">
      <c r="A15" s="3">
        <v>5.31</v>
      </c>
      <c r="B15" t="s">
        <v>10</v>
      </c>
    </row>
    <row r="16" spans="8:8">
      <c r="A16" s="3"/>
      <c r="B16" t="s">
        <v>11</v>
      </c>
    </row>
    <row r="17" spans="8:8">
      <c r="A17" s="3">
        <v>5.4</v>
      </c>
      <c r="B17" t="s">
        <v>12</v>
      </c>
    </row>
    <row r="18" spans="8:8">
      <c r="A18" s="3">
        <v>5.5</v>
      </c>
      <c r="B18" t="s">
        <v>13</v>
      </c>
    </row>
    <row r="19" spans="8:8">
      <c r="A19" s="3"/>
      <c r="B19" t="s">
        <v>14</v>
      </c>
    </row>
    <row r="20" spans="8:8">
      <c r="A20" s="3"/>
      <c r="B20" t="s">
        <v>15</v>
      </c>
    </row>
    <row r="21" spans="8:8">
      <c r="A21" s="3"/>
      <c r="B21" s="4" t="s">
        <v>16</v>
      </c>
    </row>
    <row r="22" spans="8:8">
      <c r="A22" s="3"/>
      <c r="B22" t="s">
        <v>17</v>
      </c>
    </row>
    <row r="23" spans="8:8">
      <c r="A23" s="3"/>
      <c r="B23" s="4" t="s">
        <v>18</v>
      </c>
    </row>
    <row r="24" spans="8:8" ht="14.1">
      <c r="A24" s="5" t="s">
        <v>19</v>
      </c>
      <c r="B24" s="6" t="s">
        <v>20</v>
      </c>
    </row>
    <row r="25" spans="8:8" ht="14.1">
      <c r="A25" s="7"/>
      <c r="B25" s="6" t="s">
        <v>21</v>
      </c>
    </row>
    <row r="26" spans="8:8" ht="14.1">
      <c r="A26" s="7"/>
      <c r="B26" s="6" t="s">
        <v>22</v>
      </c>
    </row>
    <row r="27" spans="8:8" ht="14.1">
      <c r="A27" s="7"/>
      <c r="B27" s="6" t="s">
        <v>23</v>
      </c>
    </row>
    <row r="28" spans="8:8" ht="14.1">
      <c r="A28" s="8">
        <v>6.01</v>
      </c>
      <c r="B28" s="9" t="s">
        <v>24</v>
      </c>
    </row>
    <row r="29" spans="8:8">
      <c r="A29" s="10" t="s">
        <v>25</v>
      </c>
      <c r="B29" s="10"/>
      <c r="C29" s="10"/>
      <c r="D29" s="10"/>
      <c r="E29" s="10"/>
      <c r="F29" s="10"/>
      <c r="G29" s="10"/>
    </row>
    <row r="30" spans="8:8">
      <c r="A30" s="10"/>
      <c r="B30" s="10"/>
      <c r="C30" s="10"/>
      <c r="D30" s="10"/>
      <c r="E30" s="10"/>
      <c r="F30" s="10"/>
      <c r="G30" s="10"/>
    </row>
    <row r="34" spans="8:8">
      <c r="A34" t="s">
        <v>26</v>
      </c>
    </row>
    <row r="35" spans="8:8" ht="13.25">
      <c r="A35" s="2"/>
      <c r="B35" s="2"/>
    </row>
    <row r="36" spans="8:8" ht="13.25">
      <c r="A36" s="2"/>
      <c r="B36" s="2"/>
    </row>
    <row r="37" spans="8:8" ht="13.25">
      <c r="A37" s="2"/>
      <c r="B37" s="2"/>
    </row>
    <row r="38" spans="8:8" ht="13.25">
      <c r="A38" s="2"/>
      <c r="B38" s="2"/>
    </row>
    <row r="48" spans="8:8" ht="13.25">
      <c r="A48" s="2" t="s">
        <v>27</v>
      </c>
    </row>
    <row r="49" spans="8:8" ht="13.25">
      <c r="A49" s="2" t="s">
        <v>28</v>
      </c>
    </row>
    <row r="50" spans="8:8" ht="13.25">
      <c r="A50" s="2"/>
    </row>
    <row r="51" spans="8:8" ht="13.25">
      <c r="A51" s="2" t="s">
        <v>29</v>
      </c>
    </row>
    <row r="68" spans="8:8" ht="13.25">
      <c r="C68" s="2"/>
      <c r="D68" s="2"/>
    </row>
    <row r="69" spans="8:8" ht="13.25">
      <c r="C69" s="2"/>
      <c r="D69" s="2"/>
    </row>
    <row r="70" spans="8:8" ht="13.25">
      <c r="C70" s="2"/>
      <c r="D70" s="2"/>
    </row>
    <row r="71" spans="8:8" ht="13.25">
      <c r="C71" s="2"/>
      <c r="D71" s="2"/>
    </row>
  </sheetData>
  <sheetProtection sheet="1" objects="1" scenarios="1"/>
  <mergeCells count="4">
    <mergeCell ref="A12:A13"/>
    <mergeCell ref="A15:A16"/>
    <mergeCell ref="A29:G30"/>
    <mergeCell ref="A1:K5"/>
  </mergeCells>
  <pageMargins left="0.75" right="0.75" top="1.0" bottom="1.0" header="0.511805555555556" footer="0.511805555555556"/>
  <drawing r:id="rId1"/>
</worksheet>
</file>

<file path=xl/worksheets/sheet2.xml><?xml version="1.0" encoding="utf-8"?>
<worksheet xmlns:r="http://schemas.openxmlformats.org/officeDocument/2006/relationships" xmlns="http://schemas.openxmlformats.org/spreadsheetml/2006/main">
  <dimension ref="A1:BY182"/>
  <sheetViews>
    <sheetView workbookViewId="0" topLeftCell="H1" showGridLines="0" zoomScale="40">
      <selection activeCell="M26" sqref="M26:T28"/>
    </sheetView>
  </sheetViews>
  <sheetFormatPr defaultRowHeight="14.1" defaultColWidth="10"/>
  <cols>
    <col min="1" max="1" customWidth="1" width="5.546875" style="11"/>
    <col min="2" max="2" customWidth="1" width="8.5234375" style="11"/>
    <col min="3" max="3" customWidth="1" width="7.2070312" style="11"/>
    <col min="4" max="4" customWidth="1" width="7.5625" style="11"/>
    <col min="5" max="5" customWidth="1" width="6.9023438" style="11"/>
    <col min="6" max="6" customWidth="1" width="8.5546875" style="11"/>
    <col min="7" max="7" customWidth="1" width="8.285156" style="11"/>
    <col min="8" max="8" customWidth="1" width="7.90625" style="11"/>
    <col min="9" max="9" customWidth="1" width="7.8007812" style="11"/>
    <col min="10" max="10" customWidth="1" width="7.7734375" style="11"/>
    <col min="11" max="11" customWidth="1" width="8.328125" style="11"/>
    <col min="12" max="12" customWidth="1" width="8.5234375" style="11"/>
    <col min="13" max="13" customWidth="1" width="3.5234375" style="11"/>
    <col min="14" max="14" customWidth="1" width="9.0" style="11"/>
    <col min="15" max="15" customWidth="1" width="12.222656" style="11"/>
    <col min="16" max="16" customWidth="1" width="9.5625" style="11"/>
    <col min="17" max="17" customWidth="1" width="8.5234375" style="11"/>
    <col min="18" max="18" customWidth="1" width="8.433594" style="11"/>
    <col min="19" max="19" customWidth="1" width="7.6914062" style="11"/>
    <col min="20" max="20" customWidth="1" width="7.9765625" style="11"/>
    <col min="21" max="16384" customWidth="0" width="9.0" style="11"/>
  </cols>
  <sheetData>
    <row r="1" spans="8:8" ht="15.6" customHeight="1">
      <c r="A1" s="12"/>
      <c r="B1" s="12"/>
      <c r="C1" s="13">
        <f t="shared" si="0" ref="C1:I1">C16+C17</f>
        <v>70.0</v>
      </c>
      <c r="D1" s="13">
        <f t="shared" si="0"/>
        <v>20.0</v>
      </c>
      <c r="E1" s="13">
        <f t="shared" si="0"/>
        <v>20.0</v>
      </c>
      <c r="F1" s="13">
        <f t="shared" si="0"/>
        <v>20.0</v>
      </c>
      <c r="G1" s="13">
        <f t="shared" si="0"/>
        <v>90.0</v>
      </c>
      <c r="H1" s="13">
        <f t="shared" si="0"/>
        <v>40.0</v>
      </c>
      <c r="I1" s="13">
        <f t="shared" si="0"/>
        <v>50.0</v>
      </c>
    </row>
    <row r="2" spans="8:8" ht="15.6" customHeight="1">
      <c r="B2" s="14" t="s">
        <v>30</v>
      </c>
      <c r="C2" s="15"/>
      <c r="D2" s="16"/>
      <c r="E2" s="17" t="s">
        <v>31</v>
      </c>
      <c r="F2" s="18"/>
      <c r="G2" s="19"/>
      <c r="H2" s="17" t="s">
        <v>32</v>
      </c>
      <c r="I2" s="18"/>
      <c r="J2" s="19"/>
      <c r="K2" s="20" t="s">
        <v>33</v>
      </c>
      <c r="L2" s="21" t="s">
        <v>34</v>
      </c>
      <c r="M2" s="22"/>
      <c r="N2" s="22"/>
      <c r="O2" s="23"/>
      <c r="P2"/>
      <c r="T2" s="24"/>
    </row>
    <row r="3" spans="8:8" ht="15.6" customHeight="1">
      <c r="B3" s="25" t="str">
        <f>角色經歷!B15</f>
        <v>混沌-中庸</v>
      </c>
      <c r="C3" s="26"/>
      <c r="D3" s="27"/>
      <c r="E3" s="28"/>
      <c r="F3" s="29"/>
      <c r="G3" s="30"/>
      <c r="H3" s="31"/>
      <c r="I3" s="32"/>
      <c r="J3" s="33"/>
      <c r="K3" s="34">
        <v>24.0</v>
      </c>
      <c r="L3" s="35" t="s">
        <v>35</v>
      </c>
      <c r="M3" s="36"/>
      <c r="N3" s="37" t="str">
        <f>F10</f>
        <v>Caster</v>
      </c>
      <c r="O3" s="38"/>
    </row>
    <row r="4" spans="8:8" ht="15.6" customHeight="1">
      <c r="B4" s="39"/>
      <c r="C4" s="40"/>
      <c r="D4" s="41"/>
      <c r="E4" s="42"/>
      <c r="F4" s="43"/>
      <c r="G4" s="44"/>
      <c r="H4" s="31"/>
      <c r="I4" s="32"/>
      <c r="J4" s="33"/>
      <c r="K4" s="45"/>
      <c r="L4" s="46" t="s">
        <v>36</v>
      </c>
      <c r="M4" s="47"/>
      <c r="N4" s="48" t="str">
        <f>F11</f>
        <v>英灵</v>
      </c>
      <c r="O4" s="49"/>
    </row>
    <row r="5" spans="8:8" ht="15.6" customHeight="1">
      <c r="B5" s="50"/>
      <c r="C5" s="51"/>
      <c r="D5" s="52"/>
      <c r="E5" s="42"/>
      <c r="F5" s="43"/>
      <c r="G5" s="44"/>
      <c r="H5" s="31"/>
      <c r="I5" s="32"/>
      <c r="J5" s="33"/>
      <c r="K5" s="20" t="s">
        <v>37</v>
      </c>
      <c r="L5" s="35" t="s">
        <v>30</v>
      </c>
      <c r="M5" s="36"/>
      <c r="N5" s="37" t="str">
        <f>角色經歷!B15</f>
        <v>混沌-中庸</v>
      </c>
      <c r="O5" s="38"/>
    </row>
    <row r="6" spans="8:8" ht="15.6" customHeight="1">
      <c r="B6" s="50"/>
      <c r="C6" s="51"/>
      <c r="D6" s="52"/>
      <c r="E6" s="53"/>
      <c r="F6" s="54"/>
      <c r="G6" s="55"/>
      <c r="H6" s="31"/>
      <c r="I6" s="32"/>
      <c r="J6" s="33"/>
      <c r="K6" s="56">
        <f>K3-IF(J18&gt;0,K9,K9-J18/10)</f>
        <v>0.0</v>
      </c>
      <c r="L6" s="46" t="s">
        <v>38</v>
      </c>
      <c r="M6" s="47"/>
      <c r="N6" s="48" t="str">
        <f>F12</f>
        <v>人型</v>
      </c>
      <c r="O6" s="49">
        <f>G12</f>
        <v>0.0</v>
      </c>
    </row>
    <row r="7" spans="8:8" ht="15.6" customHeight="1">
      <c r="B7" s="50"/>
      <c r="C7" s="51"/>
      <c r="D7" s="52"/>
      <c r="E7" s="57" t="s">
        <v>39</v>
      </c>
      <c r="F7" s="58"/>
      <c r="G7" s="59"/>
      <c r="H7" s="31"/>
      <c r="I7" s="32"/>
      <c r="J7" s="33"/>
      <c r="K7" s="60"/>
      <c r="L7" s="46" t="s">
        <v>40</v>
      </c>
      <c r="M7" s="47"/>
      <c r="N7" s="61" t="s">
        <v>41</v>
      </c>
      <c r="O7" s="62"/>
    </row>
    <row r="8" spans="8:8" ht="15.6" customHeight="1">
      <c r="B8" s="50"/>
      <c r="C8" s="51"/>
      <c r="D8" s="52"/>
      <c r="E8" s="63"/>
      <c r="F8" s="64"/>
      <c r="G8" s="65"/>
      <c r="H8" s="31"/>
      <c r="I8" s="32"/>
      <c r="J8" s="33"/>
      <c r="K8" s="66" t="s">
        <v>42</v>
      </c>
      <c r="L8" s="46" t="s">
        <v>43</v>
      </c>
      <c r="M8" s="47"/>
      <c r="N8" s="61" t="s">
        <v>44</v>
      </c>
      <c r="O8" s="62"/>
    </row>
    <row r="9" spans="8:8" ht="15.6" customHeight="1">
      <c r="B9" s="50"/>
      <c r="C9" s="51"/>
      <c r="D9" s="52"/>
      <c r="E9" s="67"/>
      <c r="F9" s="68"/>
      <c r="G9" s="69"/>
      <c r="H9" s="31"/>
      <c r="I9" s="32"/>
      <c r="J9" s="33"/>
      <c r="K9" s="70">
        <f>J20+J29+J38+J48+J57+J66+T20+T29+T38+T48+T57+T66+K12</f>
        <v>24.0</v>
      </c>
      <c r="L9" s="35" t="s">
        <v>45</v>
      </c>
      <c r="M9" s="36"/>
      <c r="N9" s="37" t="str">
        <f>角色經歷!C27</f>
        <v>男</v>
      </c>
      <c r="O9" s="38"/>
    </row>
    <row r="10" spans="8:8" ht="15.6" customHeight="1">
      <c r="B10" s="50"/>
      <c r="C10" s="51"/>
      <c r="D10" s="52"/>
      <c r="E10" s="57" t="s">
        <v>35</v>
      </c>
      <c r="F10" s="71" t="s">
        <v>154</v>
      </c>
      <c r="G10" s="72"/>
      <c r="H10" s="31"/>
      <c r="I10" s="32"/>
      <c r="J10" s="33"/>
      <c r="K10" s="73"/>
      <c r="L10" s="74" t="s">
        <v>47</v>
      </c>
      <c r="M10" s="75"/>
      <c r="N10" s="76" t="str">
        <f>F13</f>
        <v>通常</v>
      </c>
      <c r="O10" s="77"/>
    </row>
    <row r="11" spans="8:8" ht="15.6" customHeight="1">
      <c r="B11" s="50"/>
      <c r="C11" s="51"/>
      <c r="D11" s="52"/>
      <c r="E11" s="78" t="s">
        <v>36</v>
      </c>
      <c r="F11" s="61" t="s">
        <v>48</v>
      </c>
      <c r="G11" s="62"/>
      <c r="H11" s="31"/>
      <c r="I11" s="32"/>
      <c r="J11" s="33"/>
      <c r="K11" s="66" t="s">
        <v>49</v>
      </c>
      <c r="L11" s="79" t="s">
        <v>50</v>
      </c>
      <c r="M11" s="80"/>
      <c r="N11" s="80"/>
      <c r="O11" s="81"/>
    </row>
    <row r="12" spans="8:8" ht="15.6" customHeight="1">
      <c r="B12" s="50"/>
      <c r="C12" s="51"/>
      <c r="D12" s="52"/>
      <c r="E12" s="78" t="s">
        <v>38</v>
      </c>
      <c r="F12" s="61" t="s">
        <v>51</v>
      </c>
      <c r="G12" s="62"/>
      <c r="H12" s="31"/>
      <c r="I12" s="32"/>
      <c r="J12" s="33"/>
      <c r="K12" s="70">
        <f>H20+H29+H38+H48+H57+H66+R20+R29+R38+R48+R57+R66</f>
        <v>4.0</v>
      </c>
      <c r="L12" s="82" t="s">
        <v>52</v>
      </c>
      <c r="M12" s="83"/>
      <c r="N12" s="84"/>
      <c r="O12" s="85"/>
    </row>
    <row r="13" spans="8:8" ht="15.6" customHeight="1">
      <c r="B13" s="86"/>
      <c r="C13" s="87"/>
      <c r="D13" s="88"/>
      <c r="E13" s="89" t="s">
        <v>47</v>
      </c>
      <c r="F13" s="90" t="s">
        <v>53</v>
      </c>
      <c r="G13" s="91"/>
      <c r="H13" s="92"/>
      <c r="I13" s="93"/>
      <c r="J13" s="94"/>
      <c r="K13" s="73"/>
      <c r="L13" s="95"/>
      <c r="M13" s="96"/>
      <c r="N13" s="97"/>
      <c r="O13" s="98"/>
    </row>
    <row r="14" spans="8:8" ht="15.6" customHeight="1">
      <c r="B14" s="99"/>
      <c r="C14" s="100" t="s">
        <v>54</v>
      </c>
      <c r="D14" s="100" t="s">
        <v>55</v>
      </c>
      <c r="E14" s="100" t="s">
        <v>56</v>
      </c>
      <c r="F14" s="100" t="s">
        <v>57</v>
      </c>
      <c r="G14" s="100" t="s">
        <v>58</v>
      </c>
      <c r="H14" s="100" t="s">
        <v>59</v>
      </c>
      <c r="I14" s="100" t="s">
        <v>60</v>
      </c>
      <c r="J14" s="101" t="s">
        <v>61</v>
      </c>
      <c r="K14" s="73"/>
      <c r="L14" s="73"/>
      <c r="M14" s="73"/>
      <c r="N14" s="73"/>
      <c r="O14" s="73"/>
      <c r="P14" s="102"/>
      <c r="Q14" s="103"/>
    </row>
    <row r="15" spans="8:8" ht="15.6" customHeight="1">
      <c r="B15" s="104" t="s">
        <v>62</v>
      </c>
      <c r="C15" s="105">
        <f t="shared" si="1" ref="C15:I15">C16+C17+C18</f>
        <v>70.0</v>
      </c>
      <c r="D15" s="106">
        <f t="shared" si="1"/>
        <v>20.0</v>
      </c>
      <c r="E15" s="106">
        <f t="shared" si="1"/>
        <v>20.0</v>
      </c>
      <c r="F15" s="106">
        <f t="shared" si="1"/>
        <v>20.0</v>
      </c>
      <c r="G15" s="106">
        <f t="shared" si="1"/>
        <v>90.0</v>
      </c>
      <c r="H15" s="106">
        <f t="shared" si="1"/>
        <v>60.0</v>
      </c>
      <c r="I15" s="106">
        <f t="shared" si="1"/>
        <v>50.0</v>
      </c>
      <c r="J15" s="107">
        <f>20+C17*2</f>
        <v>160.0</v>
      </c>
      <c r="K15" s="108" t="s">
        <v>63</v>
      </c>
      <c r="L15" s="73"/>
      <c r="M15" s="73"/>
      <c r="N15" s="73"/>
      <c r="O15" s="73"/>
      <c r="P15" s="102"/>
      <c r="Q15" s="103"/>
    </row>
    <row r="16" spans="8:8" ht="15.6" customHeight="1">
      <c r="B16" s="104" t="s">
        <v>35</v>
      </c>
      <c r="C16" s="109"/>
      <c r="D16" s="110">
        <f>INDEX(數值參考!F2:M10,MATCH($F$10,數值參考!F2:F10,0),2)</f>
        <v>0.0</v>
      </c>
      <c r="E16" s="111">
        <f>INDEX(數值參考!F2:M10,MATCH($F$10,數值參考!F2:F10,0),3)</f>
        <v>0.0</v>
      </c>
      <c r="F16" s="111">
        <f>INDEX(數值參考!F2:M10,MATCH($F$10,數值參考!F2:F10,0),4)</f>
        <v>0.0</v>
      </c>
      <c r="G16" s="111">
        <f>INDEX(數值參考!F2:M10,MATCH($F$10,數值參考!F2:F10,0),5)</f>
        <v>30.0</v>
      </c>
      <c r="H16" s="111">
        <f>INDEX(數值參考!F2:M10,MATCH($F$10,數值參考!F2:F10,0),6)</f>
        <v>0.0</v>
      </c>
      <c r="I16" s="111"/>
      <c r="J16" s="112">
        <f>SUM(C16:I16)</f>
        <v>30.0</v>
      </c>
      <c r="K16" s="113">
        <v>0.0</v>
      </c>
      <c r="L16" s="73"/>
      <c r="M16" s="73"/>
      <c r="N16" s="73"/>
      <c r="O16" s="73"/>
      <c r="P16" s="114"/>
      <c r="Q16" s="114"/>
      <c r="R16" s="115"/>
      <c r="S16" s="115"/>
    </row>
    <row r="17" spans="8:8" ht="15.6" customHeight="1">
      <c r="B17" s="104" t="s">
        <v>64</v>
      </c>
      <c r="C17" s="116">
        <v>70.0</v>
      </c>
      <c r="D17" s="117">
        <v>20.0</v>
      </c>
      <c r="E17" s="118">
        <v>20.0</v>
      </c>
      <c r="F17" s="118">
        <v>20.0</v>
      </c>
      <c r="G17" s="118">
        <v>60.0</v>
      </c>
      <c r="H17" s="61">
        <v>40.0</v>
      </c>
      <c r="I17" s="61">
        <v>50.0</v>
      </c>
      <c r="J17" s="119" t="s">
        <v>65</v>
      </c>
      <c r="K17" s="120" t="s">
        <v>66</v>
      </c>
      <c r="L17" s="73"/>
      <c r="M17" s="73"/>
      <c r="N17" s="73"/>
      <c r="O17" s="73"/>
      <c r="P17" s="121"/>
      <c r="Q17" s="121"/>
      <c r="R17" s="121"/>
      <c r="S17" s="121"/>
    </row>
    <row r="18" spans="8:8" ht="15.6" customHeight="1">
      <c r="B18" s="122" t="s">
        <v>67</v>
      </c>
      <c r="C18" s="123"/>
      <c r="D18" s="123"/>
      <c r="E18" s="124"/>
      <c r="F18" s="124"/>
      <c r="G18" s="124"/>
      <c r="H18" s="124">
        <v>20.0</v>
      </c>
      <c r="I18" s="124"/>
      <c r="J18" s="125">
        <f>J15-D17-E17-F17-G17-H17</f>
        <v>0.0</v>
      </c>
      <c r="K18" s="126">
        <v>60.0</v>
      </c>
      <c r="L18" s="73"/>
      <c r="M18" s="73"/>
      <c r="N18" s="73"/>
      <c r="O18" s="73"/>
      <c r="P18" s="121"/>
      <c r="Q18" s="121"/>
      <c r="R18" s="121"/>
      <c r="S18" s="121"/>
    </row>
    <row r="19" spans="8:8" ht="15.6" customHeight="1">
      <c r="B19" s="127" t="s">
        <v>68</v>
      </c>
      <c r="C19" s="128"/>
      <c r="D19" s="128"/>
      <c r="E19" s="128"/>
      <c r="F19" s="129"/>
      <c r="G19" s="128"/>
      <c r="H19" s="128"/>
      <c r="I19" s="128"/>
      <c r="J19" s="130"/>
      <c r="K19" s="73"/>
      <c r="L19" s="131" t="s">
        <v>60</v>
      </c>
      <c r="M19" s="132"/>
      <c r="N19" s="133"/>
      <c r="O19" s="133"/>
      <c r="P19" s="133"/>
      <c r="Q19" s="133"/>
      <c r="R19" s="133"/>
      <c r="S19" s="133"/>
      <c r="T19" s="134"/>
    </row>
    <row r="20" spans="8:8" ht="25.55">
      <c r="B20" s="135" t="s">
        <v>69</v>
      </c>
      <c r="C20" s="136" t="s">
        <v>437</v>
      </c>
      <c r="D20" s="136"/>
      <c r="E20" s="137" t="s">
        <v>54</v>
      </c>
      <c r="F20" s="138" t="s">
        <v>404</v>
      </c>
      <c r="G20" s="139" t="s">
        <v>49</v>
      </c>
      <c r="H20" s="140"/>
      <c r="I20" s="139" t="s">
        <v>72</v>
      </c>
      <c r="J20" s="141">
        <f>_xlfn.IFNA(VLOOKUP(F20,數值參考!$J$23:$K$38,2,FALSE),0)</f>
        <v>0.0</v>
      </c>
      <c r="L20" s="142" t="s">
        <v>69</v>
      </c>
      <c r="M20" s="136" t="s">
        <v>492</v>
      </c>
      <c r="N20" s="136"/>
      <c r="O20" s="143" t="s">
        <v>54</v>
      </c>
      <c r="P20" s="138" t="s">
        <v>71</v>
      </c>
      <c r="Q20" s="144" t="s">
        <v>49</v>
      </c>
      <c r="R20" s="140"/>
      <c r="S20" s="144" t="s">
        <v>72</v>
      </c>
      <c r="T20" s="141">
        <f>_xlfn.IFNA(VLOOKUP(P20,數值參考!$H$23:$I$38,2,FALSE),0)</f>
        <v>5.0</v>
      </c>
    </row>
    <row r="21" spans="8:8" ht="15.6" customHeight="1">
      <c r="B21" s="135" t="s">
        <v>75</v>
      </c>
      <c r="C21" s="145"/>
      <c r="D21" s="146"/>
      <c r="E21" s="137" t="s">
        <v>76</v>
      </c>
      <c r="F21" s="136" t="s">
        <v>77</v>
      </c>
      <c r="G21" s="136"/>
      <c r="H21" s="139" t="s">
        <v>78</v>
      </c>
      <c r="I21" s="147">
        <v>3.0</v>
      </c>
      <c r="J21" s="148"/>
      <c r="L21" s="142" t="s">
        <v>75</v>
      </c>
      <c r="M21" s="145" t="s">
        <v>493</v>
      </c>
      <c r="N21" s="146"/>
      <c r="O21" s="143" t="s">
        <v>76</v>
      </c>
      <c r="P21" s="136" t="s">
        <v>79</v>
      </c>
      <c r="Q21" s="136"/>
      <c r="R21" s="144" t="s">
        <v>78</v>
      </c>
      <c r="S21" s="147">
        <v>6.0</v>
      </c>
      <c r="T21" s="148"/>
    </row>
    <row r="22" spans="8:8" ht="15.2">
      <c r="B22" s="135"/>
      <c r="C22" s="149"/>
      <c r="D22" s="150"/>
      <c r="E22" s="139" t="s">
        <v>80</v>
      </c>
      <c r="F22" s="136" t="s">
        <v>179</v>
      </c>
      <c r="G22" s="136"/>
      <c r="H22" s="139" t="s">
        <v>82</v>
      </c>
      <c r="I22" s="147">
        <v>20.0</v>
      </c>
      <c r="J22" s="151" t="str">
        <f>IF(F22="常驻","每日","每次")</f>
        <v>每次</v>
      </c>
      <c r="L22" s="142"/>
      <c r="M22" s="149"/>
      <c r="N22" s="150"/>
      <c r="O22" s="144" t="s">
        <v>80</v>
      </c>
      <c r="P22" s="136" t="s">
        <v>507</v>
      </c>
      <c r="Q22" s="136"/>
      <c r="R22" s="144" t="s">
        <v>82</v>
      </c>
      <c r="S22" s="147">
        <v>60.0</v>
      </c>
      <c r="T22" s="151" t="str">
        <f>IF(P22="常驻","每日","每次")</f>
        <v>每次</v>
      </c>
      <c r="V22" s="121"/>
      <c r="W22" s="121"/>
      <c r="X22" s="121"/>
      <c r="Y22" s="121"/>
    </row>
    <row r="23" spans="8:8">
      <c r="B23" s="135" t="s">
        <v>83</v>
      </c>
      <c r="C23" s="136" t="s">
        <v>512</v>
      </c>
      <c r="D23" s="136"/>
      <c r="E23" s="136"/>
      <c r="F23" s="136"/>
      <c r="G23" s="136"/>
      <c r="H23" s="136"/>
      <c r="I23" s="136"/>
      <c r="J23" s="152"/>
      <c r="L23" s="142" t="s">
        <v>83</v>
      </c>
      <c r="M23" s="136" t="s">
        <v>516</v>
      </c>
      <c r="N23" s="136"/>
      <c r="O23" s="136"/>
      <c r="P23" s="136"/>
      <c r="Q23" s="136"/>
      <c r="R23" s="136"/>
      <c r="S23" s="136"/>
      <c r="T23" s="152"/>
      <c r="V23" s="121"/>
      <c r="W23" s="121"/>
      <c r="X23" s="121"/>
      <c r="Y23" s="121"/>
    </row>
    <row r="24" spans="8:8">
      <c r="B24" s="135"/>
      <c r="C24" s="136"/>
      <c r="D24" s="136"/>
      <c r="E24" s="136"/>
      <c r="F24" s="136"/>
      <c r="G24" s="136"/>
      <c r="H24" s="136"/>
      <c r="I24" s="136"/>
      <c r="J24" s="152"/>
      <c r="L24" s="142"/>
      <c r="M24" s="136"/>
      <c r="N24" s="136"/>
      <c r="O24" s="136"/>
      <c r="P24" s="136"/>
      <c r="Q24" s="136"/>
      <c r="R24" s="136"/>
      <c r="S24" s="136"/>
      <c r="T24" s="152"/>
      <c r="V24" s="121"/>
      <c r="W24" s="121"/>
      <c r="X24" s="121"/>
      <c r="Y24" s="121"/>
    </row>
    <row r="25" spans="8:8" ht="204.05" customHeight="1">
      <c r="B25" s="135"/>
      <c r="C25" s="136"/>
      <c r="D25" s="136"/>
      <c r="E25" s="136"/>
      <c r="F25" s="136"/>
      <c r="G25" s="136"/>
      <c r="H25" s="136"/>
      <c r="I25" s="136"/>
      <c r="J25" s="152"/>
      <c r="L25" s="142"/>
      <c r="M25" s="136"/>
      <c r="N25" s="136"/>
      <c r="O25" s="136"/>
      <c r="P25" s="136"/>
      <c r="Q25" s="136"/>
      <c r="R25" s="136"/>
      <c r="S25" s="136"/>
      <c r="T25" s="152"/>
      <c r="V25" s="121"/>
      <c r="W25" s="121"/>
      <c r="X25" s="121"/>
      <c r="Y25" s="121"/>
    </row>
    <row r="26" spans="8:8" ht="298.45" customHeight="1">
      <c r="B26" s="135" t="s">
        <v>86</v>
      </c>
      <c r="C26" s="136" t="s">
        <v>497</v>
      </c>
      <c r="D26" s="136"/>
      <c r="E26" s="136"/>
      <c r="F26" s="136"/>
      <c r="G26" s="136"/>
      <c r="H26" s="136"/>
      <c r="I26" s="136"/>
      <c r="J26" s="152"/>
      <c r="L26" s="142" t="s">
        <v>86</v>
      </c>
      <c r="M26" s="136" t="s">
        <v>441</v>
      </c>
      <c r="N26" s="136"/>
      <c r="O26" s="136"/>
      <c r="P26" s="136"/>
      <c r="Q26" s="136"/>
      <c r="R26" s="136"/>
      <c r="S26" s="136"/>
      <c r="T26" s="152"/>
    </row>
    <row r="27" spans="8:8" ht="245.15" customHeight="1">
      <c r="B27" s="135"/>
      <c r="C27" s="136"/>
      <c r="D27" s="136"/>
      <c r="E27" s="136"/>
      <c r="F27" s="136"/>
      <c r="G27" s="136"/>
      <c r="H27" s="136"/>
      <c r="I27" s="136"/>
      <c r="J27" s="152"/>
      <c r="L27" s="142"/>
      <c r="M27" s="136"/>
      <c r="N27" s="136"/>
      <c r="O27" s="136"/>
      <c r="P27" s="136"/>
      <c r="Q27" s="136"/>
      <c r="R27" s="136"/>
      <c r="S27" s="136"/>
      <c r="T27" s="152"/>
    </row>
    <row r="28" spans="8:8">
      <c r="B28" s="135"/>
      <c r="C28" s="136"/>
      <c r="D28" s="136"/>
      <c r="E28" s="136"/>
      <c r="F28" s="136"/>
      <c r="G28" s="136"/>
      <c r="H28" s="136"/>
      <c r="I28" s="136"/>
      <c r="J28" s="152"/>
      <c r="L28" s="142"/>
      <c r="M28" s="136"/>
      <c r="N28" s="136"/>
      <c r="O28" s="136"/>
      <c r="P28" s="136"/>
      <c r="Q28" s="136"/>
      <c r="R28" s="136"/>
      <c r="S28" s="136"/>
      <c r="T28" s="152"/>
    </row>
    <row r="29" spans="8:8" ht="18.75">
      <c r="B29" s="135" t="s">
        <v>69</v>
      </c>
      <c r="C29" s="136" t="s">
        <v>282</v>
      </c>
      <c r="D29" s="136"/>
      <c r="E29" s="137" t="s">
        <v>54</v>
      </c>
      <c r="F29" s="138" t="s">
        <v>404</v>
      </c>
      <c r="G29" s="139" t="s">
        <v>49</v>
      </c>
      <c r="H29" s="140"/>
      <c r="I29" s="139" t="s">
        <v>72</v>
      </c>
      <c r="J29" s="141">
        <f>_xlfn.IFNA(VLOOKUP(F29,數值參考!$J$23:$K$38,2,FALSE),0)</f>
        <v>0.0</v>
      </c>
      <c r="L29" s="142" t="s">
        <v>69</v>
      </c>
      <c r="M29" s="136" t="s">
        <v>495</v>
      </c>
      <c r="N29" s="136"/>
      <c r="O29" s="143" t="s">
        <v>54</v>
      </c>
      <c r="P29" s="138" t="s">
        <v>262</v>
      </c>
      <c r="Q29" s="144" t="s">
        <v>49</v>
      </c>
      <c r="R29" s="140">
        <v>2.0</v>
      </c>
      <c r="S29" s="144" t="s">
        <v>72</v>
      </c>
      <c r="T29" s="141">
        <f>_xlfn.IFNA(VLOOKUP(P29,數值參考!$H$23:$I$38,2,FALSE),0)</f>
        <v>4.0</v>
      </c>
    </row>
    <row r="30" spans="8:8" ht="15.3">
      <c r="A30" s="153"/>
      <c r="B30" s="135" t="s">
        <v>75</v>
      </c>
      <c r="C30" s="145"/>
      <c r="D30" s="146"/>
      <c r="E30" s="137" t="s">
        <v>76</v>
      </c>
      <c r="F30" s="136" t="s">
        <v>35</v>
      </c>
      <c r="G30" s="136"/>
      <c r="H30" s="139" t="s">
        <v>78</v>
      </c>
      <c r="I30" s="147">
        <v>0.0</v>
      </c>
      <c r="J30" s="154"/>
      <c r="L30" s="142" t="s">
        <v>75</v>
      </c>
      <c r="M30" s="145" t="s">
        <v>461</v>
      </c>
      <c r="N30" s="146"/>
      <c r="O30" s="143" t="s">
        <v>76</v>
      </c>
      <c r="P30" s="136" t="s">
        <v>88</v>
      </c>
      <c r="Q30" s="136"/>
      <c r="R30" s="144" t="s">
        <v>78</v>
      </c>
      <c r="S30" s="147">
        <v>0.0</v>
      </c>
      <c r="T30" s="148"/>
    </row>
    <row r="31" spans="8:8" ht="15.3">
      <c r="A31" s="153"/>
      <c r="B31" s="135"/>
      <c r="C31" s="149"/>
      <c r="D31" s="150"/>
      <c r="E31" s="139" t="s">
        <v>80</v>
      </c>
      <c r="F31" s="136" t="s">
        <v>81</v>
      </c>
      <c r="G31" s="136"/>
      <c r="H31" s="139" t="s">
        <v>82</v>
      </c>
      <c r="I31" s="147">
        <v>0.0</v>
      </c>
      <c r="J31" s="151" t="str">
        <f>IF(F31="常驻","每日","每次")</f>
        <v>每日</v>
      </c>
      <c r="L31" s="142"/>
      <c r="M31" s="149"/>
      <c r="N31" s="150"/>
      <c r="O31" s="144" t="s">
        <v>80</v>
      </c>
      <c r="P31" s="136" t="s">
        <v>81</v>
      </c>
      <c r="Q31" s="136"/>
      <c r="R31" s="144" t="s">
        <v>82</v>
      </c>
      <c r="S31" s="147">
        <v>20.0</v>
      </c>
      <c r="T31" s="151" t="str">
        <f>IF(P31="常驻","每日","每次")</f>
        <v>每日</v>
      </c>
    </row>
    <row r="32" spans="8:8">
      <c r="B32" s="135" t="s">
        <v>83</v>
      </c>
      <c r="C32" s="136" t="s">
        <v>513</v>
      </c>
      <c r="D32" s="136"/>
      <c r="E32" s="136"/>
      <c r="F32" s="136"/>
      <c r="G32" s="136"/>
      <c r="H32" s="136"/>
      <c r="I32" s="136"/>
      <c r="J32" s="152"/>
      <c r="L32" s="142" t="s">
        <v>83</v>
      </c>
      <c r="M32" s="136" t="s">
        <v>509</v>
      </c>
      <c r="N32" s="136"/>
      <c r="O32" s="136"/>
      <c r="P32" s="136"/>
      <c r="Q32" s="136"/>
      <c r="R32" s="136"/>
      <c r="S32" s="136"/>
      <c r="T32" s="152"/>
    </row>
    <row r="33" spans="8:8" ht="111.25" customHeight="1">
      <c r="B33" s="135"/>
      <c r="C33" s="136"/>
      <c r="D33" s="136"/>
      <c r="E33" s="136"/>
      <c r="F33" s="136"/>
      <c r="G33" s="136"/>
      <c r="H33" s="136"/>
      <c r="I33" s="136"/>
      <c r="J33" s="152"/>
      <c r="L33" s="142"/>
      <c r="M33" s="136"/>
      <c r="N33" s="136"/>
      <c r="O33" s="136"/>
      <c r="P33" s="136"/>
      <c r="Q33" s="136"/>
      <c r="R33" s="136"/>
      <c r="S33" s="136"/>
      <c r="T33" s="152"/>
    </row>
    <row r="34" spans="8:8">
      <c r="B34" s="135"/>
      <c r="C34" s="136"/>
      <c r="D34" s="136"/>
      <c r="E34" s="136"/>
      <c r="F34" s="136"/>
      <c r="G34" s="136"/>
      <c r="H34" s="136"/>
      <c r="I34" s="136"/>
      <c r="J34" s="152"/>
      <c r="L34" s="142"/>
      <c r="M34" s="136"/>
      <c r="N34" s="136"/>
      <c r="O34" s="136"/>
      <c r="P34" s="136"/>
      <c r="Q34" s="136"/>
      <c r="R34" s="136"/>
      <c r="S34" s="136"/>
      <c r="T34" s="152"/>
    </row>
    <row r="35" spans="8:8" ht="380.8" customHeight="1">
      <c r="B35" s="135" t="s">
        <v>86</v>
      </c>
      <c r="C35" s="136" t="s">
        <v>498</v>
      </c>
      <c r="D35" s="136"/>
      <c r="E35" s="136"/>
      <c r="F35" s="136"/>
      <c r="G35" s="136"/>
      <c r="H35" s="136"/>
      <c r="I35" s="136"/>
      <c r="J35" s="152"/>
      <c r="L35" s="142" t="s">
        <v>86</v>
      </c>
      <c r="M35" s="136" t="s">
        <v>496</v>
      </c>
      <c r="N35" s="136"/>
      <c r="O35" s="136"/>
      <c r="P35" s="136"/>
      <c r="Q35" s="136"/>
      <c r="R35" s="136"/>
      <c r="S35" s="136"/>
      <c r="T35" s="152"/>
    </row>
    <row r="36" spans="8:8">
      <c r="B36" s="135"/>
      <c r="C36" s="136"/>
      <c r="D36" s="136"/>
      <c r="E36" s="136"/>
      <c r="F36" s="136"/>
      <c r="G36" s="136"/>
      <c r="H36" s="136"/>
      <c r="I36" s="136"/>
      <c r="J36" s="152"/>
      <c r="L36" s="142"/>
      <c r="M36" s="136"/>
      <c r="N36" s="136"/>
      <c r="O36" s="136"/>
      <c r="P36" s="136"/>
      <c r="Q36" s="136"/>
      <c r="R36" s="136"/>
      <c r="S36" s="136"/>
      <c r="T36" s="152"/>
    </row>
    <row r="37" spans="8:8">
      <c r="B37" s="135"/>
      <c r="C37" s="136"/>
      <c r="D37" s="136"/>
      <c r="E37" s="136"/>
      <c r="F37" s="136"/>
      <c r="G37" s="136"/>
      <c r="H37" s="136"/>
      <c r="I37" s="136"/>
      <c r="J37" s="152"/>
      <c r="L37" s="142"/>
      <c r="M37" s="136"/>
      <c r="N37" s="136"/>
      <c r="O37" s="136"/>
      <c r="P37" s="136"/>
      <c r="Q37" s="136"/>
      <c r="R37" s="136"/>
      <c r="S37" s="136"/>
      <c r="T37" s="152"/>
    </row>
    <row r="38" spans="8:8" ht="25.8">
      <c r="B38" s="135" t="s">
        <v>69</v>
      </c>
      <c r="C38" s="136"/>
      <c r="D38" s="136"/>
      <c r="E38" s="137" t="s">
        <v>54</v>
      </c>
      <c r="F38" s="138"/>
      <c r="G38" s="139" t="s">
        <v>49</v>
      </c>
      <c r="H38" s="140"/>
      <c r="I38" s="139" t="s">
        <v>72</v>
      </c>
      <c r="J38" s="141">
        <f>_xlfn.IFNA(VLOOKUP(F38,數值參考!$J$23:$K$38,2,FALSE),0)</f>
        <v>0.0</v>
      </c>
      <c r="L38" s="142" t="s">
        <v>69</v>
      </c>
      <c r="M38" s="136" t="s">
        <v>521</v>
      </c>
      <c r="N38" s="136"/>
      <c r="O38" s="143" t="s">
        <v>54</v>
      </c>
      <c r="P38" s="138" t="s">
        <v>74</v>
      </c>
      <c r="Q38" s="144" t="s">
        <v>49</v>
      </c>
      <c r="R38" s="140">
        <v>2.0</v>
      </c>
      <c r="S38" s="144" t="s">
        <v>72</v>
      </c>
      <c r="T38" s="141">
        <f>_xlfn.IFNA(VLOOKUP(P38,數值參考!$H$23:$I$38,2,FALSE),0)</f>
        <v>3.0</v>
      </c>
    </row>
    <row r="39" spans="8:8" ht="14.9">
      <c r="B39" s="135" t="s">
        <v>75</v>
      </c>
      <c r="C39" s="145"/>
      <c r="D39" s="146"/>
      <c r="E39" s="137" t="s">
        <v>76</v>
      </c>
      <c r="F39" s="136"/>
      <c r="G39" s="136"/>
      <c r="H39" s="139" t="s">
        <v>78</v>
      </c>
      <c r="I39" s="155"/>
      <c r="J39" s="148"/>
      <c r="L39" s="142" t="s">
        <v>75</v>
      </c>
      <c r="M39" s="145" t="s">
        <v>515</v>
      </c>
      <c r="N39" s="146"/>
      <c r="O39" s="143" t="s">
        <v>76</v>
      </c>
      <c r="P39" s="136" t="s">
        <v>79</v>
      </c>
      <c r="Q39" s="136"/>
      <c r="R39" s="144" t="s">
        <v>78</v>
      </c>
      <c r="S39" s="155">
        <v>9.0</v>
      </c>
      <c r="T39" s="148"/>
    </row>
    <row r="40" spans="8:8" ht="15.6" customHeight="1">
      <c r="B40" s="135"/>
      <c r="C40" s="149"/>
      <c r="D40" s="150"/>
      <c r="E40" s="139" t="s">
        <v>80</v>
      </c>
      <c r="F40" s="136"/>
      <c r="G40" s="136"/>
      <c r="H40" s="139" t="s">
        <v>82</v>
      </c>
      <c r="I40" s="155"/>
      <c r="J40" s="156"/>
      <c r="L40" s="142"/>
      <c r="M40" s="149"/>
      <c r="N40" s="150"/>
      <c r="O40" s="144" t="s">
        <v>80</v>
      </c>
      <c r="P40" s="136" t="s">
        <v>518</v>
      </c>
      <c r="Q40" s="136"/>
      <c r="R40" s="144" t="s">
        <v>82</v>
      </c>
      <c r="S40" s="155">
        <v>60.0</v>
      </c>
      <c r="T40" s="151" t="str">
        <f>IF(P40="常驻","每日","每次")</f>
        <v>每次</v>
      </c>
    </row>
    <row r="41" spans="8:8">
      <c r="B41" s="135" t="s">
        <v>83</v>
      </c>
      <c r="C41" s="136"/>
      <c r="D41" s="136"/>
      <c r="E41" s="136"/>
      <c r="F41" s="136"/>
      <c r="G41" s="136"/>
      <c r="H41" s="136"/>
      <c r="I41" s="136"/>
      <c r="J41" s="152"/>
      <c r="L41" s="142" t="s">
        <v>83</v>
      </c>
      <c r="M41" s="136" t="s">
        <v>520</v>
      </c>
      <c r="N41" s="136"/>
      <c r="O41" s="136"/>
      <c r="P41" s="136"/>
      <c r="Q41" s="136"/>
      <c r="R41" s="136"/>
      <c r="S41" s="136"/>
      <c r="T41" s="152"/>
    </row>
    <row r="42" spans="8:8" ht="316.4" customHeight="1">
      <c r="B42" s="135"/>
      <c r="C42" s="136"/>
      <c r="D42" s="136"/>
      <c r="E42" s="136"/>
      <c r="F42" s="136"/>
      <c r="G42" s="136"/>
      <c r="H42" s="136"/>
      <c r="I42" s="136"/>
      <c r="J42" s="152"/>
      <c r="L42" s="142"/>
      <c r="M42" s="136"/>
      <c r="N42" s="136"/>
      <c r="O42" s="136"/>
      <c r="P42" s="136"/>
      <c r="Q42" s="136"/>
      <c r="R42" s="136"/>
      <c r="S42" s="136"/>
      <c r="T42" s="152"/>
    </row>
    <row r="43" spans="8:8">
      <c r="B43" s="135"/>
      <c r="C43" s="136"/>
      <c r="D43" s="136"/>
      <c r="E43" s="136"/>
      <c r="F43" s="136"/>
      <c r="G43" s="136"/>
      <c r="H43" s="136"/>
      <c r="I43" s="136"/>
      <c r="J43" s="152"/>
      <c r="L43" s="142"/>
      <c r="M43" s="136"/>
      <c r="N43" s="136"/>
      <c r="O43" s="136"/>
      <c r="P43" s="136"/>
      <c r="Q43" s="136"/>
      <c r="R43" s="136"/>
      <c r="S43" s="136"/>
      <c r="T43" s="152"/>
    </row>
    <row r="44" spans="8:8" ht="370.35" customHeight="1">
      <c r="B44" s="135" t="s">
        <v>86</v>
      </c>
      <c r="C44" s="136"/>
      <c r="D44" s="136"/>
      <c r="E44" s="136"/>
      <c r="F44" s="136"/>
      <c r="G44" s="136"/>
      <c r="H44" s="136"/>
      <c r="I44" s="136"/>
      <c r="J44" s="152"/>
      <c r="L44" s="142" t="s">
        <v>86</v>
      </c>
      <c r="M44" s="136" t="s">
        <v>522</v>
      </c>
      <c r="N44" s="136"/>
      <c r="O44" s="136"/>
      <c r="P44" s="136"/>
      <c r="Q44" s="136"/>
      <c r="R44" s="136"/>
      <c r="S44" s="136"/>
      <c r="T44" s="152"/>
    </row>
    <row r="45" spans="8:8" ht="346.0" customHeight="1">
      <c r="B45" s="135"/>
      <c r="C45" s="136"/>
      <c r="D45" s="136"/>
      <c r="E45" s="136"/>
      <c r="F45" s="136"/>
      <c r="G45" s="136"/>
      <c r="H45" s="136"/>
      <c r="I45" s="136"/>
      <c r="J45" s="152"/>
      <c r="L45" s="142"/>
      <c r="M45" s="136"/>
      <c r="N45" s="136"/>
      <c r="O45" s="136"/>
      <c r="P45" s="136"/>
      <c r="Q45" s="136"/>
      <c r="R45" s="136"/>
      <c r="S45" s="136"/>
      <c r="T45" s="152"/>
    </row>
    <row r="46" spans="8:8" ht="409.6" customHeight="1">
      <c r="B46" s="157"/>
      <c r="C46" s="158"/>
      <c r="D46" s="158"/>
      <c r="E46" s="158"/>
      <c r="F46" s="158"/>
      <c r="G46" s="158"/>
      <c r="H46" s="158"/>
      <c r="I46" s="158"/>
      <c r="J46" s="159"/>
      <c r="L46" s="160"/>
      <c r="M46" s="158"/>
      <c r="N46" s="158"/>
      <c r="O46" s="158"/>
      <c r="P46" s="158"/>
      <c r="Q46" s="158"/>
      <c r="R46" s="158"/>
      <c r="S46" s="158"/>
      <c r="T46" s="159"/>
    </row>
    <row r="47" spans="8:8">
      <c r="B47" s="161" t="s">
        <v>90</v>
      </c>
      <c r="C47" s="162"/>
      <c r="D47" s="163"/>
      <c r="E47" s="163"/>
      <c r="F47" s="163"/>
      <c r="G47" s="163"/>
      <c r="H47" s="163"/>
      <c r="I47" s="163"/>
      <c r="J47" s="164"/>
      <c r="K47" s="165"/>
      <c r="L47" s="166" t="s">
        <v>91</v>
      </c>
      <c r="M47" s="167"/>
      <c r="N47" s="168"/>
      <c r="O47" s="168"/>
      <c r="P47" s="168"/>
      <c r="Q47" s="168"/>
      <c r="R47" s="168"/>
      <c r="S47" s="168"/>
      <c r="T47" s="169"/>
    </row>
    <row r="48" spans="8:8">
      <c r="B48" s="170" t="s">
        <v>69</v>
      </c>
      <c r="C48" s="171"/>
      <c r="D48" s="171"/>
      <c r="E48" s="172" t="s">
        <v>54</v>
      </c>
      <c r="F48" s="173" t="s">
        <v>74</v>
      </c>
      <c r="G48" s="172" t="s">
        <v>49</v>
      </c>
      <c r="H48" s="174"/>
      <c r="I48" s="172" t="s">
        <v>72</v>
      </c>
      <c r="J48" s="175">
        <f>_xlfn.IFNA(VLOOKUP(F48,數值參考!$F$23:$G$38,2,FALSE),0)</f>
        <v>3.0</v>
      </c>
      <c r="K48" s="176"/>
      <c r="L48" s="177" t="s">
        <v>69</v>
      </c>
      <c r="M48" s="171"/>
      <c r="N48" s="171"/>
      <c r="O48" s="178" t="s">
        <v>54</v>
      </c>
      <c r="P48" s="173" t="s">
        <v>93</v>
      </c>
      <c r="Q48" s="178" t="s">
        <v>49</v>
      </c>
      <c r="R48" s="174"/>
      <c r="S48" s="178" t="s">
        <v>72</v>
      </c>
      <c r="T48" s="175"/>
    </row>
    <row r="49" spans="8:8">
      <c r="B49" s="170" t="s">
        <v>75</v>
      </c>
      <c r="C49" s="179" t="s">
        <v>445</v>
      </c>
      <c r="D49" s="180"/>
      <c r="E49" s="172" t="s">
        <v>76</v>
      </c>
      <c r="F49" s="171" t="s">
        <v>501</v>
      </c>
      <c r="G49" s="171"/>
      <c r="H49" s="172" t="s">
        <v>78</v>
      </c>
      <c r="I49" s="181">
        <v>3.0</v>
      </c>
      <c r="J49" s="182"/>
      <c r="K49" s="176"/>
      <c r="L49" s="177" t="s">
        <v>75</v>
      </c>
      <c r="M49" s="183"/>
      <c r="N49" s="184"/>
      <c r="O49" s="178" t="s">
        <v>76</v>
      </c>
      <c r="P49" s="171"/>
      <c r="Q49" s="171"/>
      <c r="R49" s="178" t="s">
        <v>78</v>
      </c>
      <c r="S49" s="181"/>
      <c r="T49" s="182"/>
    </row>
    <row r="50" spans="8:8">
      <c r="B50" s="170"/>
      <c r="C50" s="185"/>
      <c r="D50" s="186"/>
      <c r="E50" s="172" t="s">
        <v>80</v>
      </c>
      <c r="F50" s="171" t="s">
        <v>89</v>
      </c>
      <c r="G50" s="171"/>
      <c r="H50" s="172" t="s">
        <v>82</v>
      </c>
      <c r="I50" s="181">
        <v>15.0</v>
      </c>
      <c r="J50" s="187" t="str">
        <f>IF(F50="常驻","每日","每次")</f>
        <v>每次</v>
      </c>
      <c r="K50" s="176"/>
      <c r="L50" s="177"/>
      <c r="M50" s="188"/>
      <c r="N50" s="189"/>
      <c r="O50" s="178" t="s">
        <v>80</v>
      </c>
      <c r="P50" s="171"/>
      <c r="Q50" s="171"/>
      <c r="R50" s="178" t="s">
        <v>82</v>
      </c>
      <c r="S50" s="181"/>
      <c r="T50" s="187"/>
    </row>
    <row r="51" spans="8:8">
      <c r="B51" s="170" t="s">
        <v>83</v>
      </c>
      <c r="C51" s="171" t="s">
        <v>502</v>
      </c>
      <c r="D51" s="171"/>
      <c r="E51" s="171"/>
      <c r="F51" s="171"/>
      <c r="G51" s="171"/>
      <c r="H51" s="171"/>
      <c r="I51" s="171"/>
      <c r="J51" s="190"/>
      <c r="K51" s="176"/>
      <c r="L51" s="177" t="s">
        <v>83</v>
      </c>
      <c r="M51" s="171" t="s">
        <v>95</v>
      </c>
      <c r="N51" s="171"/>
      <c r="O51" s="171"/>
      <c r="P51" s="171"/>
      <c r="Q51" s="171"/>
      <c r="R51" s="171"/>
      <c r="S51" s="171"/>
      <c r="T51" s="190"/>
    </row>
    <row r="52" spans="8:8">
      <c r="B52" s="170"/>
      <c r="C52" s="171"/>
      <c r="D52" s="171"/>
      <c r="E52" s="171"/>
      <c r="F52" s="171"/>
      <c r="G52" s="171"/>
      <c r="H52" s="171"/>
      <c r="I52" s="171"/>
      <c r="J52" s="190"/>
      <c r="K52" s="176"/>
      <c r="L52" s="177"/>
      <c r="M52" s="171"/>
      <c r="N52" s="171"/>
      <c r="O52" s="171"/>
      <c r="P52" s="171"/>
      <c r="Q52" s="171"/>
      <c r="R52" s="171"/>
      <c r="S52" s="171"/>
      <c r="T52" s="190"/>
    </row>
    <row r="53" spans="8:8" ht="68.35" customHeight="1">
      <c r="B53" s="170"/>
      <c r="C53" s="171"/>
      <c r="D53" s="171"/>
      <c r="E53" s="171"/>
      <c r="F53" s="171"/>
      <c r="G53" s="171"/>
      <c r="H53" s="171"/>
      <c r="I53" s="171"/>
      <c r="J53" s="190"/>
      <c r="K53" s="176"/>
      <c r="L53" s="177"/>
      <c r="M53" s="171"/>
      <c r="N53" s="171"/>
      <c r="O53" s="171"/>
      <c r="P53" s="171"/>
      <c r="Q53" s="171"/>
      <c r="R53" s="171"/>
      <c r="S53" s="171"/>
      <c r="T53" s="190"/>
    </row>
    <row r="54" spans="8:8" ht="14.3">
      <c r="B54" s="170" t="s">
        <v>86</v>
      </c>
      <c r="C54" s="171" t="s">
        <v>447</v>
      </c>
      <c r="D54" s="171"/>
      <c r="E54" s="171"/>
      <c r="F54" s="171"/>
      <c r="G54" s="171"/>
      <c r="H54" s="171"/>
      <c r="I54" s="171"/>
      <c r="J54" s="190"/>
      <c r="K54" s="176"/>
      <c r="L54" s="177" t="s">
        <v>86</v>
      </c>
      <c r="M54" s="171"/>
      <c r="N54" s="171"/>
      <c r="O54" s="171"/>
      <c r="P54" s="171"/>
      <c r="Q54" s="171"/>
      <c r="R54" s="171"/>
      <c r="S54" s="171"/>
      <c r="T54" s="190"/>
    </row>
    <row r="55" spans="8:8" ht="409.6" customHeight="1">
      <c r="B55" s="170"/>
      <c r="C55" s="171"/>
      <c r="D55" s="171"/>
      <c r="E55" s="171"/>
      <c r="F55" s="171"/>
      <c r="G55" s="171"/>
      <c r="H55" s="171"/>
      <c r="I55" s="171"/>
      <c r="J55" s="190"/>
      <c r="K55" s="176"/>
      <c r="L55" s="177"/>
      <c r="M55" s="171"/>
      <c r="N55" s="171"/>
      <c r="O55" s="171"/>
      <c r="P55" s="171"/>
      <c r="Q55" s="171"/>
      <c r="R55" s="171"/>
      <c r="S55" s="171"/>
      <c r="T55" s="190"/>
    </row>
    <row r="56" spans="8:8">
      <c r="B56" s="170"/>
      <c r="C56" s="171"/>
      <c r="D56" s="171"/>
      <c r="E56" s="171"/>
      <c r="F56" s="171"/>
      <c r="G56" s="171"/>
      <c r="H56" s="171"/>
      <c r="I56" s="171"/>
      <c r="J56" s="190"/>
      <c r="K56" s="176"/>
      <c r="L56" s="177"/>
      <c r="M56" s="171"/>
      <c r="N56" s="171"/>
      <c r="O56" s="171"/>
      <c r="P56" s="171"/>
      <c r="Q56" s="171"/>
      <c r="R56" s="171"/>
      <c r="S56" s="171"/>
      <c r="T56" s="190"/>
    </row>
    <row r="57" spans="8:8" ht="15.5">
      <c r="B57" s="170" t="s">
        <v>69</v>
      </c>
      <c r="C57" s="171" t="s">
        <v>407</v>
      </c>
      <c r="D57" s="171"/>
      <c r="E57" s="172" t="s">
        <v>54</v>
      </c>
      <c r="F57" s="173" t="s">
        <v>71</v>
      </c>
      <c r="G57" s="172" t="s">
        <v>49</v>
      </c>
      <c r="H57" s="174"/>
      <c r="I57" s="172" t="s">
        <v>72</v>
      </c>
      <c r="J57" s="175">
        <f>_xlfn.IFNA(VLOOKUP(F57,數值參考!$F$23:$G$38,2,FALSE),0)</f>
        <v>5.0</v>
      </c>
      <c r="K57" s="176"/>
      <c r="L57" s="177" t="s">
        <v>69</v>
      </c>
      <c r="M57" s="171"/>
      <c r="N57" s="171"/>
      <c r="O57" s="178" t="s">
        <v>54</v>
      </c>
      <c r="P57" s="173" t="s">
        <v>93</v>
      </c>
      <c r="Q57" s="178" t="s">
        <v>49</v>
      </c>
      <c r="R57" s="174"/>
      <c r="S57" s="178" t="s">
        <v>72</v>
      </c>
      <c r="T57" s="175"/>
    </row>
    <row r="58" spans="8:8" ht="15.5">
      <c r="B58" s="191" t="s">
        <v>75</v>
      </c>
      <c r="C58" s="192" t="s">
        <v>448</v>
      </c>
      <c r="D58" s="193"/>
      <c r="E58" s="194" t="s">
        <v>76</v>
      </c>
      <c r="F58" s="195" t="s">
        <v>185</v>
      </c>
      <c r="G58" s="195"/>
      <c r="H58" s="194" t="s">
        <v>78</v>
      </c>
      <c r="I58" s="196">
        <v>1.0</v>
      </c>
      <c r="J58" s="197"/>
      <c r="K58" s="165"/>
      <c r="L58" s="198" t="s">
        <v>75</v>
      </c>
      <c r="M58" s="192"/>
      <c r="N58" s="193"/>
      <c r="O58" s="199" t="s">
        <v>76</v>
      </c>
      <c r="P58" s="200"/>
      <c r="Q58" s="200"/>
      <c r="R58" s="199" t="s">
        <v>78</v>
      </c>
      <c r="S58" s="201"/>
      <c r="T58" s="197"/>
    </row>
    <row r="59" spans="8:8" ht="15.5">
      <c r="B59" s="191"/>
      <c r="C59" s="202"/>
      <c r="D59" s="203"/>
      <c r="E59" s="194" t="s">
        <v>80</v>
      </c>
      <c r="F59" s="195" t="s">
        <v>89</v>
      </c>
      <c r="G59" s="195"/>
      <c r="H59" s="194" t="s">
        <v>82</v>
      </c>
      <c r="I59" s="196">
        <v>20.0</v>
      </c>
      <c r="J59" s="204" t="str">
        <f>IF(F59="常驻","每日","每次")</f>
        <v>每次</v>
      </c>
      <c r="K59" s="165"/>
      <c r="L59" s="198"/>
      <c r="M59" s="202"/>
      <c r="N59" s="203"/>
      <c r="O59" s="199" t="s">
        <v>80</v>
      </c>
      <c r="P59" s="200"/>
      <c r="Q59" s="200"/>
      <c r="R59" s="199" t="s">
        <v>82</v>
      </c>
      <c r="S59" s="201"/>
      <c r="T59" s="205"/>
    </row>
    <row r="60" spans="8:8" ht="210.1" customHeight="1">
      <c r="B60" s="191" t="s">
        <v>83</v>
      </c>
      <c r="C60" s="195" t="s">
        <v>503</v>
      </c>
      <c r="D60" s="195"/>
      <c r="E60" s="195"/>
      <c r="F60" s="195"/>
      <c r="G60" s="195"/>
      <c r="H60" s="195"/>
      <c r="I60" s="195"/>
      <c r="J60" s="206"/>
      <c r="K60" s="165"/>
      <c r="L60" s="198" t="s">
        <v>83</v>
      </c>
      <c r="M60" s="200"/>
      <c r="N60" s="200"/>
      <c r="O60" s="200"/>
      <c r="P60" s="200"/>
      <c r="Q60" s="200"/>
      <c r="R60" s="200"/>
      <c r="S60" s="200"/>
      <c r="T60" s="207"/>
    </row>
    <row r="61" spans="8:8">
      <c r="B61" s="191"/>
      <c r="C61" s="195"/>
      <c r="D61" s="195"/>
      <c r="E61" s="195"/>
      <c r="F61" s="195"/>
      <c r="G61" s="195"/>
      <c r="H61" s="195"/>
      <c r="I61" s="195"/>
      <c r="J61" s="206"/>
      <c r="K61" s="165"/>
      <c r="L61" s="198"/>
      <c r="M61" s="200"/>
      <c r="N61" s="200"/>
      <c r="O61" s="200"/>
      <c r="P61" s="200"/>
      <c r="Q61" s="200"/>
      <c r="R61" s="200"/>
      <c r="S61" s="200"/>
      <c r="T61" s="207"/>
    </row>
    <row r="62" spans="8:8">
      <c r="B62" s="191"/>
      <c r="C62" s="195"/>
      <c r="D62" s="195"/>
      <c r="E62" s="195"/>
      <c r="F62" s="195"/>
      <c r="G62" s="195"/>
      <c r="H62" s="195"/>
      <c r="I62" s="195"/>
      <c r="J62" s="206"/>
      <c r="K62" s="165"/>
      <c r="L62" s="198"/>
      <c r="M62" s="200"/>
      <c r="N62" s="200"/>
      <c r="O62" s="200"/>
      <c r="P62" s="200"/>
      <c r="Q62" s="200"/>
      <c r="R62" s="200"/>
      <c r="S62" s="200"/>
      <c r="T62" s="207"/>
    </row>
    <row r="63" spans="8:8" ht="14.55">
      <c r="B63" s="191" t="s">
        <v>86</v>
      </c>
      <c r="C63" s="195" t="s">
        <v>449</v>
      </c>
      <c r="D63" s="195"/>
      <c r="E63" s="195"/>
      <c r="F63" s="195"/>
      <c r="G63" s="195"/>
      <c r="H63" s="195"/>
      <c r="I63" s="195"/>
      <c r="J63" s="206"/>
      <c r="K63" s="165"/>
      <c r="L63" s="198" t="s">
        <v>86</v>
      </c>
      <c r="M63" s="200"/>
      <c r="N63" s="200"/>
      <c r="O63" s="200"/>
      <c r="P63" s="200"/>
      <c r="Q63" s="200"/>
      <c r="R63" s="200"/>
      <c r="S63" s="200"/>
      <c r="T63" s="207"/>
    </row>
    <row r="64" spans="8:8" ht="247.5" customHeight="1">
      <c r="B64" s="191"/>
      <c r="C64" s="195"/>
      <c r="D64" s="195"/>
      <c r="E64" s="195"/>
      <c r="F64" s="195"/>
      <c r="G64" s="195"/>
      <c r="H64" s="195"/>
      <c r="I64" s="195"/>
      <c r="J64" s="206"/>
      <c r="K64" s="165"/>
      <c r="L64" s="198"/>
      <c r="M64" s="200"/>
      <c r="N64" s="200"/>
      <c r="O64" s="200"/>
      <c r="P64" s="200"/>
      <c r="Q64" s="200"/>
      <c r="R64" s="200"/>
      <c r="S64" s="200"/>
      <c r="T64" s="207"/>
    </row>
    <row r="65" spans="8:8">
      <c r="B65" s="191"/>
      <c r="C65" s="195"/>
      <c r="D65" s="195"/>
      <c r="E65" s="195"/>
      <c r="F65" s="195"/>
      <c r="G65" s="195"/>
      <c r="H65" s="195"/>
      <c r="I65" s="195"/>
      <c r="J65" s="206"/>
      <c r="K65" s="165"/>
      <c r="L65" s="198"/>
      <c r="M65" s="200"/>
      <c r="N65" s="200"/>
      <c r="O65" s="200"/>
      <c r="P65" s="200"/>
      <c r="Q65" s="200"/>
      <c r="R65" s="200"/>
      <c r="S65" s="200"/>
      <c r="T65" s="207"/>
    </row>
    <row r="66" spans="8:8" ht="15.0">
      <c r="B66" s="191" t="s">
        <v>69</v>
      </c>
      <c r="C66" s="195" t="s">
        <v>504</v>
      </c>
      <c r="D66" s="195"/>
      <c r="E66" s="194" t="s">
        <v>54</v>
      </c>
      <c r="F66" s="208"/>
      <c r="G66" s="194" t="s">
        <v>49</v>
      </c>
      <c r="H66" s="209"/>
      <c r="I66" s="194" t="s">
        <v>72</v>
      </c>
      <c r="J66" s="210">
        <f>_xlfn.IFNA(VLOOKUP(F66,數值參考!$F$23:$G$38,2,FALSE),0)</f>
        <v>0.0</v>
      </c>
      <c r="K66" s="165"/>
      <c r="L66" s="198" t="s">
        <v>69</v>
      </c>
      <c r="M66" s="200"/>
      <c r="N66" s="200"/>
      <c r="O66" s="199" t="s">
        <v>54</v>
      </c>
      <c r="P66" s="211" t="s">
        <v>93</v>
      </c>
      <c r="Q66" s="199" t="s">
        <v>49</v>
      </c>
      <c r="R66" s="212"/>
      <c r="S66" s="199" t="s">
        <v>72</v>
      </c>
      <c r="T66" s="213"/>
    </row>
    <row r="67" spans="8:8" ht="15.1">
      <c r="B67" s="191" t="s">
        <v>75</v>
      </c>
      <c r="C67" s="192" t="s">
        <v>458</v>
      </c>
      <c r="D67" s="193"/>
      <c r="E67" s="194" t="s">
        <v>76</v>
      </c>
      <c r="F67" s="195" t="s">
        <v>94</v>
      </c>
      <c r="G67" s="195"/>
      <c r="H67" s="194" t="s">
        <v>78</v>
      </c>
      <c r="I67" s="196">
        <v>1.0</v>
      </c>
      <c r="J67" s="214"/>
      <c r="K67" s="165"/>
      <c r="L67" s="198" t="s">
        <v>75</v>
      </c>
      <c r="M67" s="192"/>
      <c r="N67" s="193"/>
      <c r="O67" s="199" t="s">
        <v>76</v>
      </c>
      <c r="P67" s="200"/>
      <c r="Q67" s="200"/>
      <c r="R67" s="199" t="s">
        <v>78</v>
      </c>
      <c r="S67" s="201"/>
      <c r="T67" s="197"/>
    </row>
    <row r="68" spans="8:8" ht="15.1">
      <c r="B68" s="191"/>
      <c r="C68" s="202"/>
      <c r="D68" s="203"/>
      <c r="E68" s="194" t="s">
        <v>435</v>
      </c>
      <c r="F68" s="195" t="s">
        <v>89</v>
      </c>
      <c r="G68" s="195"/>
      <c r="H68" s="194" t="s">
        <v>82</v>
      </c>
      <c r="I68" s="196">
        <v>5.0</v>
      </c>
      <c r="J68" s="204" t="str">
        <f>IF(F68="常驻","每日","每次")</f>
        <v>每次</v>
      </c>
      <c r="K68" s="165"/>
      <c r="L68" s="198"/>
      <c r="M68" s="202"/>
      <c r="N68" s="203"/>
      <c r="O68" s="199" t="s">
        <v>80</v>
      </c>
      <c r="P68" s="200"/>
      <c r="Q68" s="200"/>
      <c r="R68" s="199" t="s">
        <v>82</v>
      </c>
      <c r="S68" s="201"/>
      <c r="T68" s="205"/>
    </row>
    <row r="69" spans="8:8" ht="14.3">
      <c r="B69" s="191" t="s">
        <v>83</v>
      </c>
      <c r="C69" s="195" t="s">
        <v>517</v>
      </c>
      <c r="D69" s="195"/>
      <c r="E69" s="195"/>
      <c r="F69" s="195"/>
      <c r="G69" s="195"/>
      <c r="H69" s="195"/>
      <c r="I69" s="195"/>
      <c r="J69" s="206"/>
      <c r="K69" s="165"/>
      <c r="L69" s="198" t="s">
        <v>83</v>
      </c>
      <c r="M69" s="200"/>
      <c r="N69" s="200"/>
      <c r="O69" s="200"/>
      <c r="P69" s="200"/>
      <c r="Q69" s="200"/>
      <c r="R69" s="200"/>
      <c r="S69" s="200"/>
      <c r="T69" s="207"/>
    </row>
    <row r="70" spans="8:8">
      <c r="B70" s="191"/>
      <c r="C70" s="195"/>
      <c r="D70" s="195"/>
      <c r="E70" s="195"/>
      <c r="F70" s="195"/>
      <c r="G70" s="195"/>
      <c r="H70" s="195"/>
      <c r="I70" s="195"/>
      <c r="J70" s="206"/>
      <c r="K70" s="165"/>
      <c r="L70" s="198"/>
      <c r="M70" s="200"/>
      <c r="N70" s="200"/>
      <c r="O70" s="200"/>
      <c r="P70" s="200"/>
      <c r="Q70" s="200"/>
      <c r="R70" s="200"/>
      <c r="S70" s="200"/>
      <c r="T70" s="207"/>
    </row>
    <row r="71" spans="8:8">
      <c r="B71" s="191"/>
      <c r="C71" s="195"/>
      <c r="D71" s="195"/>
      <c r="E71" s="195"/>
      <c r="F71" s="195"/>
      <c r="G71" s="195"/>
      <c r="H71" s="195"/>
      <c r="I71" s="195"/>
      <c r="J71" s="206"/>
      <c r="K71" s="165"/>
      <c r="L71" s="198"/>
      <c r="M71" s="200"/>
      <c r="N71" s="200"/>
      <c r="O71" s="200"/>
      <c r="P71" s="200"/>
      <c r="Q71" s="200"/>
      <c r="R71" s="200"/>
      <c r="S71" s="200"/>
      <c r="T71" s="207"/>
    </row>
    <row r="72" spans="8:8">
      <c r="B72" s="191" t="s">
        <v>86</v>
      </c>
      <c r="C72" s="195" t="s">
        <v>459</v>
      </c>
      <c r="D72" s="195"/>
      <c r="E72" s="195"/>
      <c r="F72" s="195"/>
      <c r="G72" s="195"/>
      <c r="H72" s="195"/>
      <c r="I72" s="195"/>
      <c r="J72" s="206"/>
      <c r="K72" s="165"/>
      <c r="L72" s="198" t="s">
        <v>86</v>
      </c>
      <c r="M72" s="200"/>
      <c r="N72" s="200"/>
      <c r="O72" s="200"/>
      <c r="P72" s="200"/>
      <c r="Q72" s="200"/>
      <c r="R72" s="200"/>
      <c r="S72" s="200"/>
      <c r="T72" s="207"/>
    </row>
    <row r="73" spans="8:8" ht="409.6" customHeight="1">
      <c r="B73" s="191"/>
      <c r="C73" s="195"/>
      <c r="D73" s="195"/>
      <c r="E73" s="195"/>
      <c r="F73" s="195"/>
      <c r="G73" s="195"/>
      <c r="H73" s="195"/>
      <c r="I73" s="195"/>
      <c r="J73" s="206"/>
      <c r="K73" s="165"/>
      <c r="L73" s="198"/>
      <c r="M73" s="200"/>
      <c r="N73" s="200"/>
      <c r="O73" s="200"/>
      <c r="P73" s="200"/>
      <c r="Q73" s="200"/>
      <c r="R73" s="200"/>
      <c r="S73" s="200"/>
      <c r="T73" s="207"/>
    </row>
    <row r="74" spans="8:8" ht="198.9" customHeight="1">
      <c r="B74" s="215"/>
      <c r="C74" s="216"/>
      <c r="D74" s="216"/>
      <c r="E74" s="216"/>
      <c r="F74" s="216"/>
      <c r="G74" s="216"/>
      <c r="H74" s="216"/>
      <c r="I74" s="216"/>
      <c r="J74" s="217"/>
      <c r="K74" s="165"/>
      <c r="L74" s="218"/>
      <c r="M74" s="219"/>
      <c r="N74" s="219"/>
      <c r="O74" s="219"/>
      <c r="P74" s="219"/>
      <c r="Q74" s="219"/>
      <c r="R74" s="219"/>
      <c r="S74" s="219"/>
      <c r="T74" s="220"/>
    </row>
    <row r="75" spans="8:8" ht="15.6" customHeight="1">
      <c r="B75"/>
    </row>
    <row r="76" spans="8:8" ht="15.6" customHeight="1">
      <c r="K76" s="121"/>
      <c r="L76" s="121"/>
      <c r="M76" s="121"/>
      <c r="N76" s="121"/>
      <c r="O76" s="121"/>
      <c r="P76" s="121"/>
      <c r="Q76" s="121"/>
      <c r="R76" s="121"/>
      <c r="S76" s="121"/>
      <c r="T76" s="121"/>
    </row>
    <row r="77" spans="8:8" ht="15.6" customHeight="1">
      <c r="K77" s="121"/>
      <c r="L77" s="121"/>
      <c r="M77" s="121"/>
      <c r="N77" s="121"/>
      <c r="O77" s="121"/>
      <c r="P77" s="121"/>
      <c r="Q77" s="121"/>
      <c r="R77" s="121"/>
      <c r="S77" s="121"/>
      <c r="T77" s="121"/>
    </row>
    <row r="78" spans="8:8" ht="15.6" customHeight="1">
      <c r="K78" s="121"/>
      <c r="L78" s="121"/>
      <c r="M78" s="121"/>
      <c r="N78" s="121"/>
      <c r="O78" s="121"/>
      <c r="P78" s="121"/>
      <c r="Q78" s="121"/>
      <c r="R78" s="121"/>
      <c r="S78" s="121"/>
      <c r="T78" s="121"/>
    </row>
    <row r="79" spans="8:8" ht="15.6" customHeight="1">
      <c r="K79" s="121"/>
      <c r="L79" s="121"/>
      <c r="M79" s="121"/>
      <c r="N79" s="121"/>
      <c r="O79" s="121"/>
      <c r="P79" s="121"/>
      <c r="Q79" s="121"/>
      <c r="R79" s="121"/>
      <c r="S79" s="121"/>
      <c r="T79" s="121"/>
    </row>
    <row r="80" spans="8:8" ht="15.6" customHeight="1">
      <c r="K80" s="121"/>
      <c r="L80" s="121"/>
      <c r="M80" s="121"/>
      <c r="N80" s="121"/>
      <c r="O80" s="121"/>
      <c r="P80" s="121"/>
      <c r="Q80" s="121"/>
      <c r="R80" s="121"/>
      <c r="S80" s="121"/>
      <c r="T80" s="121"/>
    </row>
    <row r="81" spans="8:8" ht="15.6" customHeight="1">
      <c r="K81" s="121"/>
      <c r="L81" s="121"/>
      <c r="M81" s="121"/>
      <c r="N81" s="121"/>
      <c r="O81" s="121"/>
      <c r="P81" s="121"/>
      <c r="Q81" s="121"/>
      <c r="R81" s="121"/>
      <c r="S81" s="121"/>
      <c r="T81" s="121"/>
    </row>
    <row r="82" spans="8:8" ht="15.6" customHeight="1">
      <c r="K82" s="121"/>
      <c r="L82" s="121"/>
      <c r="M82" s="121"/>
      <c r="N82" s="121"/>
      <c r="O82" s="121"/>
      <c r="P82" s="121"/>
      <c r="Q82" s="121"/>
      <c r="R82" s="121"/>
      <c r="S82" s="121"/>
      <c r="T82" s="121"/>
    </row>
    <row r="83" spans="8:8" ht="15.6" customHeight="1">
      <c r="K83" s="121"/>
      <c r="L83" s="121"/>
      <c r="M83" s="121"/>
      <c r="N83" s="121"/>
      <c r="O83" s="121"/>
      <c r="P83" s="121"/>
      <c r="Q83" s="121"/>
      <c r="R83" s="121"/>
      <c r="S83" s="121"/>
      <c r="T83" s="121"/>
    </row>
    <row r="84" spans="8:8" ht="15.6" customHeight="1">
      <c r="K84" s="121"/>
      <c r="L84" s="121"/>
      <c r="M84" s="121"/>
      <c r="N84" s="121"/>
      <c r="O84" s="121"/>
      <c r="P84" s="121"/>
      <c r="Q84" s="121"/>
      <c r="R84" s="121"/>
      <c r="S84" s="121"/>
      <c r="T84" s="121"/>
    </row>
    <row r="85" spans="8:8" ht="15.6" customHeight="1">
      <c r="K85" s="121"/>
      <c r="L85" s="121"/>
      <c r="M85" s="121"/>
      <c r="N85" s="121"/>
      <c r="O85" s="121"/>
      <c r="P85" s="121"/>
      <c r="Q85" s="121"/>
      <c r="R85" s="121"/>
      <c r="S85" s="121"/>
      <c r="T85" s="121"/>
    </row>
    <row r="86" spans="8:8" ht="15.6" customHeight="1">
      <c r="K86" s="121"/>
      <c r="L86" s="121"/>
      <c r="M86" s="121"/>
      <c r="N86" s="121"/>
      <c r="O86" s="121"/>
      <c r="P86" s="121"/>
      <c r="Q86" s="121"/>
      <c r="R86" s="121"/>
      <c r="S86" s="121"/>
      <c r="T86" s="121"/>
    </row>
    <row r="87" spans="8:8" ht="15.6" customHeight="1">
      <c r="K87" s="121"/>
      <c r="L87" s="121"/>
      <c r="M87" s="121"/>
      <c r="N87" s="121"/>
      <c r="O87" s="121"/>
      <c r="P87" s="121"/>
      <c r="Q87" s="121"/>
      <c r="R87" s="121"/>
      <c r="S87" s="121"/>
      <c r="T87" s="121"/>
    </row>
    <row r="88" spans="8:8" ht="15.6" customHeight="1">
      <c r="K88" s="121"/>
      <c r="L88" s="121"/>
      <c r="M88" s="121"/>
      <c r="N88" s="121"/>
      <c r="O88" s="121"/>
      <c r="P88" s="121"/>
      <c r="Q88" s="121"/>
      <c r="R88" s="121"/>
      <c r="S88" s="121"/>
      <c r="T88" s="121"/>
    </row>
    <row r="89" spans="8:8" ht="15.6" customHeight="1">
      <c r="K89" s="121"/>
      <c r="L89" s="121"/>
      <c r="M89" s="121"/>
      <c r="N89" s="121"/>
      <c r="O89" s="121"/>
      <c r="P89" s="121"/>
      <c r="Q89" s="121"/>
      <c r="R89" s="121"/>
      <c r="S89" s="121"/>
      <c r="T89" s="121"/>
    </row>
    <row r="90" spans="8:8" ht="15.6" customHeight="1">
      <c r="K90" s="121"/>
      <c r="L90" s="121"/>
      <c r="M90" s="121"/>
      <c r="N90" s="121"/>
      <c r="O90" s="121"/>
      <c r="P90" s="121"/>
      <c r="Q90" s="121"/>
      <c r="R90" s="121"/>
      <c r="S90" s="121"/>
      <c r="T90" s="121"/>
    </row>
    <row r="91" spans="8:8" ht="15.6" customHeight="1">
      <c r="K91" s="121"/>
      <c r="L91" s="121"/>
      <c r="M91" s="121"/>
      <c r="N91" s="121"/>
      <c r="O91" s="121"/>
      <c r="P91" s="121"/>
      <c r="Q91" s="121"/>
      <c r="R91" s="121"/>
      <c r="S91" s="121"/>
      <c r="T91" s="121"/>
    </row>
    <row r="92" spans="8:8" ht="15.6" customHeight="1">
      <c r="K92" s="121"/>
      <c r="L92" s="121"/>
      <c r="M92" s="121"/>
      <c r="N92" s="121"/>
      <c r="O92" s="121"/>
      <c r="P92" s="121"/>
      <c r="Q92" s="121"/>
      <c r="R92" s="121"/>
      <c r="S92" s="121"/>
      <c r="T92" s="121"/>
    </row>
    <row r="93" spans="8:8" ht="15.6" customHeight="1">
      <c r="K93" s="121"/>
      <c r="L93" s="121"/>
      <c r="M93" s="121"/>
      <c r="N93" s="121"/>
      <c r="O93" s="121"/>
      <c r="P93" s="121"/>
      <c r="Q93" s="121"/>
      <c r="R93" s="121"/>
      <c r="S93" s="121"/>
      <c r="T93" s="121"/>
    </row>
    <row r="94" spans="8:8">
      <c r="K94" s="121"/>
      <c r="L94" s="121"/>
      <c r="M94" s="121"/>
      <c r="N94" s="121"/>
      <c r="O94" s="121"/>
      <c r="P94" s="121"/>
      <c r="Q94" s="121"/>
      <c r="R94" s="121"/>
      <c r="S94" s="121"/>
      <c r="T94" s="121"/>
    </row>
    <row r="95" spans="8:8">
      <c r="K95" s="121"/>
      <c r="L95" s="121"/>
      <c r="M95" s="121"/>
      <c r="N95" s="121"/>
      <c r="O95" s="121"/>
      <c r="P95" s="121"/>
      <c r="Q95" s="121"/>
      <c r="R95" s="121"/>
      <c r="S95" s="121"/>
      <c r="T95" s="121"/>
    </row>
    <row r="96" spans="8:8">
      <c r="K96" s="121"/>
      <c r="L96" s="121"/>
      <c r="M96" s="121"/>
      <c r="N96" s="121"/>
      <c r="O96" s="121"/>
      <c r="P96" s="121"/>
      <c r="Q96" s="121"/>
      <c r="R96" s="121"/>
      <c r="S96" s="121"/>
      <c r="T96" s="121"/>
    </row>
    <row r="97" spans="8:8">
      <c r="K97" s="121"/>
      <c r="L97" s="121"/>
      <c r="M97" s="121"/>
      <c r="N97" s="121"/>
      <c r="O97" s="121"/>
      <c r="P97" s="121"/>
      <c r="Q97" s="121"/>
      <c r="R97" s="121"/>
      <c r="S97" s="121"/>
      <c r="T97" s="121"/>
    </row>
    <row r="98" spans="8:8">
      <c r="K98" s="121"/>
      <c r="L98" s="121"/>
      <c r="M98" s="121"/>
      <c r="N98" s="121"/>
      <c r="O98" s="121"/>
      <c r="P98" s="121"/>
      <c r="Q98" s="121"/>
      <c r="R98" s="121"/>
      <c r="S98" s="121"/>
      <c r="T98" s="121"/>
    </row>
    <row r="99" spans="8:8">
      <c r="K99" s="121"/>
      <c r="L99" s="121"/>
      <c r="M99" s="121"/>
      <c r="N99" s="121"/>
      <c r="O99" s="121"/>
      <c r="P99" s="121"/>
      <c r="Q99" s="121"/>
      <c r="R99" s="121"/>
      <c r="S99" s="121"/>
      <c r="T99" s="121"/>
    </row>
    <row r="100" spans="8:8">
      <c r="K100" s="121"/>
      <c r="L100" s="121"/>
      <c r="M100" s="121"/>
      <c r="N100" s="121"/>
      <c r="O100" s="121"/>
      <c r="P100" s="121"/>
      <c r="Q100" s="121"/>
      <c r="R100" s="121"/>
      <c r="S100" s="121"/>
      <c r="T100" s="121"/>
    </row>
    <row r="101" spans="8:8">
      <c r="K101" s="121"/>
      <c r="L101" s="121"/>
      <c r="M101" s="121"/>
      <c r="N101" s="121"/>
      <c r="O101" s="121"/>
      <c r="P101" s="121"/>
      <c r="Q101" s="121"/>
      <c r="R101" s="121"/>
      <c r="S101" s="121"/>
      <c r="T101" s="121"/>
    </row>
    <row r="102" spans="8:8" ht="15.6" customHeight="1">
      <c r="K102" s="121"/>
      <c r="L102" s="121"/>
      <c r="M102" s="121"/>
      <c r="N102" s="121"/>
      <c r="O102" s="121"/>
      <c r="P102" s="121"/>
      <c r="Q102" s="121"/>
      <c r="R102" s="121"/>
      <c r="S102" s="121"/>
      <c r="T102" s="121"/>
    </row>
    <row r="103" spans="8:8">
      <c r="K103" s="121"/>
      <c r="L103" s="121"/>
      <c r="M103" s="121"/>
      <c r="N103" s="121"/>
      <c r="O103" s="121"/>
      <c r="P103" s="121"/>
      <c r="Q103" s="121"/>
      <c r="R103" s="121"/>
      <c r="S103" s="121"/>
      <c r="T103" s="121"/>
    </row>
    <row r="104" spans="8:8">
      <c r="K104" s="121"/>
      <c r="L104" s="121"/>
      <c r="M104" s="121"/>
      <c r="N104" s="121"/>
      <c r="O104" s="121"/>
      <c r="P104" s="121"/>
      <c r="Q104" s="121"/>
      <c r="R104" s="121"/>
      <c r="S104" s="121"/>
      <c r="T104" s="121"/>
    </row>
    <row r="105" spans="8:8">
      <c r="K105" s="121"/>
      <c r="L105" s="121"/>
      <c r="M105" s="121"/>
      <c r="N105" s="121"/>
      <c r="O105" s="121"/>
      <c r="P105" s="121"/>
      <c r="Q105" s="121"/>
      <c r="R105" s="121"/>
      <c r="S105" s="121"/>
      <c r="T105" s="121"/>
    </row>
    <row r="106" spans="8:8">
      <c r="K106" s="121"/>
      <c r="L106" s="121"/>
      <c r="M106" s="121"/>
      <c r="N106" s="121"/>
      <c r="O106" s="121"/>
      <c r="P106" s="121"/>
      <c r="Q106" s="121"/>
      <c r="R106" s="121"/>
      <c r="S106" s="121"/>
      <c r="T106" s="121"/>
    </row>
    <row r="107" spans="8:8">
      <c r="K107" s="121"/>
      <c r="L107" s="121"/>
      <c r="M107" s="121"/>
      <c r="N107" s="121"/>
      <c r="O107" s="121"/>
      <c r="P107" s="121"/>
      <c r="Q107" s="121"/>
      <c r="R107" s="121"/>
      <c r="S107" s="121"/>
      <c r="T107" s="121"/>
    </row>
    <row r="108" spans="8:8">
      <c r="K108" s="121"/>
      <c r="L108" s="121"/>
      <c r="M108" s="121"/>
      <c r="N108" s="121"/>
      <c r="O108" s="121"/>
      <c r="P108" s="121"/>
      <c r="Q108" s="121"/>
      <c r="R108" s="121"/>
      <c r="S108" s="121"/>
      <c r="T108" s="121"/>
    </row>
    <row r="109" spans="8:8">
      <c r="K109" s="121"/>
      <c r="L109" s="121"/>
      <c r="M109" s="121"/>
      <c r="N109" s="121"/>
      <c r="O109" s="121"/>
      <c r="P109" s="121"/>
      <c r="Q109" s="121"/>
      <c r="R109" s="121"/>
      <c r="S109" s="121"/>
      <c r="T109" s="121"/>
    </row>
    <row r="110" spans="8:8">
      <c r="K110" s="121"/>
      <c r="L110" s="121"/>
      <c r="M110" s="121"/>
      <c r="N110" s="121"/>
      <c r="O110" s="121"/>
      <c r="P110" s="121"/>
      <c r="Q110" s="121"/>
      <c r="R110" s="121"/>
      <c r="S110" s="121"/>
      <c r="T110" s="121"/>
    </row>
    <row r="111" spans="8:8">
      <c r="K111" s="121"/>
      <c r="L111" s="121"/>
      <c r="M111" s="121"/>
      <c r="N111" s="121"/>
      <c r="O111" s="121"/>
      <c r="P111" s="121"/>
      <c r="Q111" s="121"/>
      <c r="R111" s="121"/>
      <c r="S111" s="121"/>
      <c r="T111" s="121"/>
    </row>
    <row r="112" spans="8:8">
      <c r="K112" s="121"/>
      <c r="L112" s="121"/>
      <c r="M112" s="121"/>
      <c r="N112" s="121"/>
      <c r="O112" s="121"/>
      <c r="P112" s="121"/>
      <c r="Q112" s="121"/>
      <c r="R112" s="121"/>
      <c r="S112" s="121"/>
      <c r="T112" s="121"/>
    </row>
    <row r="113" spans="8:8">
      <c r="K113" s="121"/>
      <c r="L113" s="121"/>
      <c r="M113" s="121"/>
      <c r="N113" s="121"/>
      <c r="O113" s="121"/>
      <c r="P113" s="121"/>
      <c r="Q113" s="121"/>
      <c r="R113" s="121"/>
      <c r="S113" s="121"/>
      <c r="T113" s="121"/>
    </row>
    <row r="114" spans="8:8">
      <c r="K114" s="121"/>
      <c r="L114" s="121"/>
      <c r="M114" s="121"/>
      <c r="N114" s="121"/>
      <c r="O114" s="121"/>
      <c r="P114" s="121"/>
      <c r="Q114" s="121"/>
      <c r="R114" s="121"/>
      <c r="S114" s="121"/>
      <c r="T114" s="121"/>
    </row>
    <row r="115" spans="8:8">
      <c r="K115" s="121"/>
      <c r="L115" s="121"/>
      <c r="M115" s="121"/>
      <c r="N115" s="121"/>
      <c r="O115" s="121"/>
      <c r="P115" s="121"/>
      <c r="Q115" s="121"/>
      <c r="R115" s="121"/>
      <c r="S115" s="121"/>
      <c r="T115" s="121"/>
    </row>
    <row r="116" spans="8:8">
      <c r="K116" s="121"/>
      <c r="L116" s="121"/>
      <c r="M116" s="121"/>
      <c r="N116" s="121"/>
      <c r="O116" s="121"/>
      <c r="P116" s="121"/>
      <c r="Q116" s="121"/>
      <c r="R116" s="121"/>
      <c r="S116" s="121"/>
      <c r="T116" s="121"/>
    </row>
    <row r="117" spans="8:8">
      <c r="K117" s="121"/>
      <c r="L117" s="121"/>
      <c r="M117" s="121"/>
      <c r="N117" s="121"/>
      <c r="O117" s="121"/>
      <c r="P117" s="121"/>
      <c r="Q117" s="121"/>
      <c r="R117" s="121"/>
      <c r="S117" s="121"/>
      <c r="T117" s="121"/>
    </row>
    <row r="118" spans="8:8">
      <c r="K118" s="121"/>
      <c r="L118" s="121"/>
      <c r="M118" s="121"/>
      <c r="N118" s="121"/>
      <c r="O118" s="121"/>
      <c r="P118" s="121"/>
      <c r="Q118" s="121"/>
      <c r="R118" s="121"/>
      <c r="S118" s="121"/>
      <c r="T118" s="121"/>
    </row>
    <row r="119" spans="8:8">
      <c r="K119" s="121"/>
      <c r="L119" s="121"/>
      <c r="M119" s="121"/>
      <c r="N119" s="121"/>
      <c r="O119" s="121"/>
      <c r="P119" s="121"/>
      <c r="Q119" s="121"/>
      <c r="R119" s="121"/>
      <c r="S119" s="121"/>
      <c r="T119" s="121"/>
    </row>
    <row r="120" spans="8:8">
      <c r="K120" s="121"/>
      <c r="L120" s="121"/>
      <c r="M120" s="121"/>
      <c r="N120" s="121"/>
      <c r="O120" s="121"/>
      <c r="P120" s="121"/>
      <c r="Q120" s="121"/>
      <c r="R120" s="121"/>
      <c r="S120" s="121"/>
      <c r="T120" s="121"/>
    </row>
    <row r="121" spans="8:8">
      <c r="K121" s="121"/>
      <c r="L121" s="121"/>
      <c r="M121" s="121"/>
      <c r="N121" s="121"/>
      <c r="O121" s="121"/>
      <c r="P121" s="121"/>
      <c r="Q121" s="121"/>
      <c r="R121" s="121"/>
      <c r="S121" s="121"/>
      <c r="T121" s="121"/>
    </row>
    <row r="122" spans="8:8">
      <c r="K122" s="121"/>
      <c r="L122" s="121"/>
      <c r="M122" s="121"/>
      <c r="N122" s="121"/>
      <c r="O122" s="121"/>
      <c r="P122" s="121"/>
      <c r="Q122" s="121"/>
      <c r="R122" s="121"/>
      <c r="S122" s="121"/>
      <c r="T122" s="121"/>
    </row>
    <row r="123" spans="8:8">
      <c r="K123" s="121"/>
      <c r="L123" s="121"/>
      <c r="M123" s="121"/>
      <c r="N123" s="121"/>
      <c r="O123" s="121"/>
      <c r="P123" s="121"/>
      <c r="Q123" s="121"/>
      <c r="R123" s="121"/>
      <c r="S123" s="121"/>
      <c r="T123" s="121"/>
    </row>
    <row r="124" spans="8:8">
      <c r="K124" s="121"/>
      <c r="L124" s="121"/>
      <c r="M124" s="121"/>
      <c r="N124" s="121"/>
      <c r="O124" s="121"/>
      <c r="P124" s="121"/>
      <c r="Q124" s="121"/>
      <c r="R124" s="121"/>
      <c r="S124" s="121"/>
      <c r="T124" s="121"/>
    </row>
    <row r="125" spans="8:8">
      <c r="K125" s="121"/>
      <c r="L125" s="121"/>
      <c r="M125" s="121"/>
      <c r="N125" s="121"/>
      <c r="O125" s="121"/>
      <c r="P125" s="121"/>
      <c r="Q125" s="121"/>
      <c r="R125" s="121"/>
      <c r="S125" s="121"/>
      <c r="T125" s="121"/>
    </row>
    <row r="126" spans="8:8">
      <c r="K126" s="121"/>
      <c r="L126" s="121"/>
      <c r="M126" s="121"/>
      <c r="N126" s="121"/>
      <c r="O126" s="121"/>
      <c r="P126" s="121"/>
      <c r="Q126" s="121"/>
      <c r="R126" s="121"/>
      <c r="S126" s="121"/>
      <c r="T126" s="121"/>
    </row>
    <row r="127" spans="8:8">
      <c r="K127" s="121"/>
      <c r="L127" s="121"/>
      <c r="M127" s="121"/>
      <c r="N127" s="121"/>
      <c r="O127" s="121"/>
      <c r="P127" s="121"/>
      <c r="Q127" s="121"/>
      <c r="R127" s="121"/>
      <c r="S127" s="121"/>
      <c r="T127" s="121"/>
    </row>
    <row r="128" spans="8:8">
      <c r="K128" s="121"/>
      <c r="L128" s="121"/>
      <c r="M128" s="121"/>
      <c r="N128" s="121"/>
      <c r="O128" s="121"/>
      <c r="P128" s="121"/>
      <c r="Q128" s="121"/>
      <c r="R128" s="121"/>
      <c r="S128" s="121"/>
      <c r="T128" s="121"/>
    </row>
    <row r="129" spans="8:8">
      <c r="K129" s="121"/>
      <c r="L129" s="121"/>
      <c r="M129" s="121"/>
      <c r="N129" s="121"/>
      <c r="O129" s="121"/>
      <c r="P129" s="121"/>
      <c r="Q129" s="121"/>
      <c r="R129" s="121"/>
      <c r="S129" s="121"/>
      <c r="T129" s="121"/>
    </row>
    <row r="130" spans="8:8">
      <c r="K130" s="121"/>
      <c r="L130" s="121"/>
      <c r="M130" s="121"/>
      <c r="N130" s="121"/>
      <c r="O130" s="121"/>
      <c r="P130" s="121"/>
      <c r="Q130" s="121"/>
      <c r="R130" s="121"/>
      <c r="S130" s="121"/>
      <c r="T130" s="121"/>
    </row>
    <row r="131" spans="8:8">
      <c r="B131" s="121"/>
      <c r="C131" s="121"/>
      <c r="D131" s="121"/>
      <c r="E131" s="121"/>
      <c r="F131" s="121"/>
      <c r="G131" s="121"/>
      <c r="H131" s="121"/>
      <c r="I131" s="121"/>
      <c r="J131" s="121"/>
      <c r="K131" s="121"/>
      <c r="L131" s="121"/>
      <c r="M131" s="121"/>
      <c r="N131" s="121"/>
      <c r="O131" s="121"/>
      <c r="P131" s="121"/>
      <c r="Q131" s="121"/>
      <c r="R131" s="121"/>
      <c r="S131" s="121"/>
      <c r="T131" s="121"/>
    </row>
    <row r="132" spans="8:8">
      <c r="B132" s="121"/>
      <c r="C132" s="121"/>
      <c r="D132" s="121"/>
      <c r="E132" s="121"/>
      <c r="F132" s="121"/>
      <c r="G132" s="121"/>
      <c r="H132" s="121"/>
      <c r="I132" s="121"/>
      <c r="J132" s="121"/>
      <c r="K132" s="121"/>
      <c r="L132" s="121"/>
      <c r="M132" s="121"/>
      <c r="N132" s="121"/>
      <c r="O132" s="121"/>
      <c r="P132" s="121"/>
      <c r="Q132" s="121"/>
      <c r="R132" s="121"/>
      <c r="S132" s="121"/>
      <c r="T132" s="121"/>
    </row>
    <row r="133" spans="8:8">
      <c r="K133" s="121"/>
      <c r="L133" s="121"/>
      <c r="M133" s="121"/>
      <c r="N133" s="121"/>
    </row>
    <row r="134" spans="8:8">
      <c r="K134" s="121"/>
      <c r="L134" s="121"/>
      <c r="M134" s="121"/>
      <c r="N134" s="121"/>
    </row>
    <row r="135" spans="8:8">
      <c r="K135" s="121"/>
      <c r="L135" s="121"/>
      <c r="M135" s="121"/>
      <c r="N135" s="121"/>
    </row>
    <row r="136" spans="8:8">
      <c r="K136" s="121"/>
      <c r="L136" s="121"/>
      <c r="M136" s="121"/>
      <c r="N136" s="121"/>
    </row>
    <row r="137" spans="8:8">
      <c r="K137" s="121"/>
      <c r="L137" s="121"/>
      <c r="M137" s="121"/>
      <c r="N137" s="121"/>
    </row>
    <row r="138" spans="8:8">
      <c r="K138" s="121"/>
      <c r="L138" s="121"/>
      <c r="M138" s="121"/>
      <c r="N138" s="121"/>
    </row>
    <row r="139" spans="8:8">
      <c r="K139" s="121"/>
      <c r="L139" s="121"/>
      <c r="M139" s="121"/>
      <c r="N139" s="121"/>
    </row>
    <row r="140" spans="8:8">
      <c r="K140" s="121"/>
      <c r="L140" s="121"/>
      <c r="M140" s="121"/>
      <c r="N140" s="121"/>
    </row>
    <row r="141" spans="8:8">
      <c r="K141" s="121"/>
      <c r="L141" s="121"/>
      <c r="M141" s="121"/>
      <c r="N141" s="121"/>
    </row>
    <row r="142" spans="8:8">
      <c r="K142" s="121"/>
      <c r="L142" s="121"/>
      <c r="M142" s="121"/>
      <c r="N142" s="121"/>
    </row>
    <row r="143" spans="8:8">
      <c r="K143" s="121"/>
      <c r="L143" s="121"/>
      <c r="M143" s="121"/>
      <c r="N143" s="121"/>
    </row>
    <row r="144" spans="8:8">
      <c r="K144" s="121"/>
      <c r="L144" s="121"/>
      <c r="M144" s="121"/>
      <c r="N144" s="121"/>
    </row>
    <row r="145" spans="8:8">
      <c r="K145" s="121"/>
      <c r="L145" s="121"/>
      <c r="M145" s="121"/>
      <c r="N145" s="121"/>
    </row>
    <row r="146" spans="8:8">
      <c r="K146" s="121"/>
      <c r="L146" s="121"/>
      <c r="M146" s="121"/>
      <c r="N146" s="121"/>
    </row>
    <row r="147" spans="8:8">
      <c r="K147" s="121"/>
      <c r="L147" s="121"/>
      <c r="M147" s="121"/>
      <c r="N147" s="121"/>
    </row>
    <row r="148" spans="8:8">
      <c r="K148" s="121"/>
      <c r="L148" s="121"/>
      <c r="M148" s="121"/>
      <c r="N148" s="121"/>
    </row>
    <row r="149" spans="8:8">
      <c r="K149" s="121"/>
      <c r="L149" s="121"/>
      <c r="M149" s="121"/>
      <c r="N149" s="121"/>
    </row>
    <row r="150" spans="8:8">
      <c r="K150" s="121"/>
      <c r="L150" s="121"/>
      <c r="M150" s="121"/>
      <c r="N150" s="121"/>
    </row>
    <row r="151" spans="8:8">
      <c r="K151" s="121"/>
      <c r="L151" s="121"/>
      <c r="M151" s="121"/>
      <c r="N151" s="121"/>
    </row>
    <row r="152" spans="8:8">
      <c r="K152" s="121"/>
      <c r="L152" s="121"/>
      <c r="M152" s="121"/>
      <c r="N152" s="121"/>
    </row>
    <row r="153" spans="8:8">
      <c r="K153" s="121"/>
      <c r="L153" s="121"/>
      <c r="M153" s="121"/>
      <c r="N153" s="121"/>
    </row>
    <row r="154" spans="8:8">
      <c r="K154" s="121"/>
      <c r="L154" s="121"/>
      <c r="M154" s="121"/>
      <c r="N154" s="121"/>
    </row>
    <row r="155" spans="8:8">
      <c r="K155" s="121"/>
      <c r="L155" s="121"/>
      <c r="M155" s="121"/>
      <c r="N155" s="121"/>
    </row>
    <row r="156" spans="8:8">
      <c r="K156" s="121"/>
      <c r="L156" s="121"/>
      <c r="M156" s="121"/>
      <c r="N156" s="121"/>
    </row>
    <row r="157" spans="8:8">
      <c r="K157" s="121"/>
      <c r="L157" s="121"/>
      <c r="M157" s="121"/>
      <c r="N157" s="121"/>
    </row>
    <row r="158" spans="8:8">
      <c r="K158" s="121"/>
      <c r="L158" s="121"/>
      <c r="M158" s="121"/>
      <c r="N158" s="121"/>
    </row>
    <row r="159" spans="8:8">
      <c r="K159" s="121"/>
      <c r="L159" s="121"/>
      <c r="M159" s="121"/>
      <c r="N159" s="121"/>
    </row>
    <row r="160" spans="8:8">
      <c r="K160" s="121"/>
      <c r="L160" s="121"/>
      <c r="M160" s="121"/>
      <c r="N160" s="121"/>
    </row>
    <row r="161" spans="8:8">
      <c r="K161" s="121"/>
      <c r="L161" s="121"/>
      <c r="M161" s="121"/>
      <c r="N161" s="121"/>
    </row>
    <row r="162" spans="8:8">
      <c r="K162" s="121"/>
      <c r="L162" s="121"/>
      <c r="M162" s="121"/>
      <c r="N162" s="121"/>
    </row>
    <row r="163" spans="8:8">
      <c r="K163" s="121"/>
      <c r="L163" s="121"/>
      <c r="M163" s="121"/>
      <c r="N163" s="121"/>
    </row>
    <row r="164" spans="8:8">
      <c r="K164" s="121"/>
      <c r="L164" s="121"/>
      <c r="M164" s="121"/>
      <c r="N164" s="121"/>
    </row>
    <row r="165" spans="8:8">
      <c r="K165" s="121"/>
      <c r="L165" s="121"/>
      <c r="M165" s="121"/>
      <c r="N165" s="121"/>
    </row>
    <row r="166" spans="8:8">
      <c r="K166" s="121"/>
      <c r="L166" s="121"/>
      <c r="M166" s="121"/>
      <c r="N166" s="121"/>
    </row>
    <row r="167" spans="8:8">
      <c r="K167" s="121"/>
      <c r="L167" s="121"/>
      <c r="M167" s="121"/>
      <c r="N167" s="121"/>
    </row>
    <row r="168" spans="8:8">
      <c r="K168" s="121"/>
      <c r="L168" s="121"/>
      <c r="M168" s="121"/>
      <c r="N168" s="121"/>
    </row>
    <row r="169" spans="8:8">
      <c r="K169" s="121"/>
      <c r="L169" s="121"/>
      <c r="M169" s="121"/>
      <c r="N169" s="121"/>
    </row>
    <row r="170" spans="8:8">
      <c r="K170" s="121"/>
      <c r="L170" s="121"/>
      <c r="M170" s="121"/>
      <c r="N170" s="121"/>
    </row>
    <row r="171" spans="8:8">
      <c r="K171" s="121"/>
      <c r="L171" s="121"/>
      <c r="M171" s="121"/>
      <c r="N171" s="121"/>
    </row>
    <row r="172" spans="8:8">
      <c r="K172" s="121"/>
      <c r="L172" s="121"/>
      <c r="M172" s="121"/>
      <c r="N172" s="121"/>
    </row>
    <row r="173" spans="8:8">
      <c r="K173" s="121"/>
      <c r="L173" s="121"/>
      <c r="M173" s="121"/>
      <c r="N173" s="121"/>
    </row>
    <row r="174" spans="8:8">
      <c r="K174" s="121"/>
      <c r="L174" s="121"/>
      <c r="M174" s="121"/>
      <c r="N174" s="121"/>
    </row>
    <row r="175" spans="8:8">
      <c r="K175" s="121"/>
      <c r="L175" s="121"/>
      <c r="M175" s="121"/>
      <c r="N175" s="121"/>
    </row>
    <row r="176" spans="8:8">
      <c r="K176" s="121"/>
      <c r="L176" s="121"/>
      <c r="M176" s="121"/>
      <c r="N176" s="121"/>
    </row>
    <row r="177" spans="8:8">
      <c r="K177" s="121"/>
      <c r="L177" s="121"/>
      <c r="M177" s="121"/>
      <c r="N177" s="121"/>
    </row>
    <row r="178" spans="8:8">
      <c r="K178" s="121"/>
      <c r="L178" s="121"/>
      <c r="M178" s="121"/>
      <c r="N178" s="121"/>
    </row>
    <row r="179" spans="8:8">
      <c r="K179" s="121"/>
      <c r="L179" s="121"/>
      <c r="M179" s="121"/>
      <c r="N179" s="121"/>
    </row>
    <row r="180" spans="8:8">
      <c r="K180" s="121"/>
      <c r="L180" s="121"/>
      <c r="M180" s="121"/>
      <c r="N180" s="121"/>
    </row>
    <row r="181" spans="8:8">
      <c r="K181" s="121"/>
      <c r="L181" s="121"/>
      <c r="M181" s="121"/>
      <c r="N181" s="121"/>
    </row>
    <row r="182" spans="8:8">
      <c r="K182" s="121"/>
      <c r="L182" s="121"/>
      <c r="M182" s="121"/>
      <c r="N182" s="121"/>
    </row>
  </sheetData>
  <sheetProtection sheet="0" formatColumns="0" formatRows="0" insertColumns="0" insertRows="0" insertHyperlinks="0"/>
  <mergeCells count="142">
    <mergeCell ref="B49:B50"/>
    <mergeCell ref="E2:G2"/>
    <mergeCell ref="C35:J37"/>
    <mergeCell ref="C51:J53"/>
    <mergeCell ref="B51:B53"/>
    <mergeCell ref="B44:B46"/>
    <mergeCell ref="L69:L71"/>
    <mergeCell ref="P30:Q30"/>
    <mergeCell ref="L5:M5"/>
    <mergeCell ref="M63:T65"/>
    <mergeCell ref="L23:L25"/>
    <mergeCell ref="M44:T46"/>
    <mergeCell ref="M51:T53"/>
    <mergeCell ref="P68:Q68"/>
    <mergeCell ref="N9:O9"/>
    <mergeCell ref="L44:L46"/>
    <mergeCell ref="L54:L56"/>
    <mergeCell ref="L26:L28"/>
    <mergeCell ref="L3:M3"/>
    <mergeCell ref="C67:D68"/>
    <mergeCell ref="M60:T62"/>
    <mergeCell ref="B60:B62"/>
    <mergeCell ref="M72:T74"/>
    <mergeCell ref="N7:O7"/>
    <mergeCell ref="L30:L31"/>
    <mergeCell ref="C69:J71"/>
    <mergeCell ref="F13:G13"/>
    <mergeCell ref="B21:B22"/>
    <mergeCell ref="C49:D50"/>
    <mergeCell ref="B47:J47"/>
    <mergeCell ref="B39:B40"/>
    <mergeCell ref="F67:G67"/>
    <mergeCell ref="B54:B56"/>
    <mergeCell ref="F10:G10"/>
    <mergeCell ref="L72:L74"/>
    <mergeCell ref="M26:T28"/>
    <mergeCell ref="L2:O2"/>
    <mergeCell ref="L47:T47"/>
    <mergeCell ref="L12:O13"/>
    <mergeCell ref="L67:L68"/>
    <mergeCell ref="M69:T71"/>
    <mergeCell ref="C58:D59"/>
    <mergeCell ref="F11:G11"/>
    <mergeCell ref="C41:J43"/>
    <mergeCell ref="B3:D4"/>
    <mergeCell ref="C57:D57"/>
    <mergeCell ref="C26:J28"/>
    <mergeCell ref="C20:D20"/>
    <mergeCell ref="B26:B28"/>
    <mergeCell ref="E7:G7"/>
    <mergeCell ref="M67:N68"/>
    <mergeCell ref="P50:Q50"/>
    <mergeCell ref="N3:O3"/>
    <mergeCell ref="M54:T56"/>
    <mergeCell ref="B69:B71"/>
    <mergeCell ref="B41:B43"/>
    <mergeCell ref="C72:J74"/>
    <mergeCell ref="B72:B74"/>
    <mergeCell ref="H3:J13"/>
    <mergeCell ref="B32:B34"/>
    <mergeCell ref="F40:G40"/>
    <mergeCell ref="C23:J25"/>
    <mergeCell ref="H2:J2"/>
    <mergeCell ref="B19:J19"/>
    <mergeCell ref="B30:B31"/>
    <mergeCell ref="E8:G9"/>
    <mergeCell ref="L51:L53"/>
    <mergeCell ref="P39:Q39"/>
    <mergeCell ref="M38:N38"/>
    <mergeCell ref="M48:N48"/>
    <mergeCell ref="M39:N40"/>
    <mergeCell ref="M66:N66"/>
    <mergeCell ref="L9:M9"/>
    <mergeCell ref="N10:O10"/>
    <mergeCell ref="L19:T19"/>
    <mergeCell ref="P49:Q49"/>
    <mergeCell ref="L10:M10"/>
    <mergeCell ref="C66:D66"/>
    <mergeCell ref="F21:G21"/>
    <mergeCell ref="B2:D2"/>
    <mergeCell ref="B63:B65"/>
    <mergeCell ref="F68:G68"/>
    <mergeCell ref="M41:T43"/>
    <mergeCell ref="L32:L34"/>
    <mergeCell ref="B35:B37"/>
    <mergeCell ref="C32:J34"/>
    <mergeCell ref="C21:D22"/>
    <mergeCell ref="F30:G30"/>
    <mergeCell ref="F31:G31"/>
    <mergeCell ref="C29:D29"/>
    <mergeCell ref="M20:N20"/>
    <mergeCell ref="P58:Q58"/>
    <mergeCell ref="L60:L62"/>
    <mergeCell ref="N8:O8"/>
    <mergeCell ref="L21:L22"/>
    <mergeCell ref="B67:B68"/>
    <mergeCell ref="E3:G6"/>
    <mergeCell ref="C54:J56"/>
    <mergeCell ref="P21:Q21"/>
    <mergeCell ref="L58:L59"/>
    <mergeCell ref="N4:O4"/>
    <mergeCell ref="L7:M7"/>
    <mergeCell ref="M21:N22"/>
    <mergeCell ref="L6:M6"/>
    <mergeCell ref="M23:T25"/>
    <mergeCell ref="M32:T34"/>
    <mergeCell ref="M58:N59"/>
    <mergeCell ref="M35:T37"/>
    <mergeCell ref="M29:N29"/>
    <mergeCell ref="L41:L43"/>
    <mergeCell ref="P31:Q31"/>
    <mergeCell ref="C63:J65"/>
    <mergeCell ref="F22:G22"/>
    <mergeCell ref="B58:B59"/>
    <mergeCell ref="N5:O5"/>
    <mergeCell ref="L63:L65"/>
    <mergeCell ref="P40:Q40"/>
    <mergeCell ref="L4:M4"/>
    <mergeCell ref="P67:Q67"/>
    <mergeCell ref="L35:L37"/>
    <mergeCell ref="M57:N57"/>
    <mergeCell ref="F49:G49"/>
    <mergeCell ref="B23:B25"/>
    <mergeCell ref="F59:G59"/>
    <mergeCell ref="C44:J46"/>
    <mergeCell ref="B5:D13"/>
    <mergeCell ref="P22:Q22"/>
    <mergeCell ref="M49:N50"/>
    <mergeCell ref="P59:Q59"/>
    <mergeCell ref="L39:L40"/>
    <mergeCell ref="M30:N31"/>
    <mergeCell ref="L49:L50"/>
    <mergeCell ref="L11:O11"/>
    <mergeCell ref="L8:M8"/>
    <mergeCell ref="C60:J62"/>
    <mergeCell ref="C30:D31"/>
    <mergeCell ref="C39:D40"/>
    <mergeCell ref="F50:G50"/>
    <mergeCell ref="C48:D48"/>
    <mergeCell ref="F58:G58"/>
    <mergeCell ref="F39:G39"/>
    <mergeCell ref="C38:D38"/>
  </mergeCells>
  <conditionalFormatting sqref="C18:I18">
    <cfRule type="cellIs" operator="notEqual" priority="7" dxfId="0">
      <formula>0</formula>
    </cfRule>
  </conditionalFormatting>
  <conditionalFormatting sqref="N3:O10">
    <cfRule type="cellIs" operator="equal" priority="3" dxfId="1">
      <formula>0</formula>
    </cfRule>
  </conditionalFormatting>
  <conditionalFormatting sqref="C16:I16">
    <cfRule type="cellIs" operator="notEqual" priority="5" dxfId="2">
      <formula>0</formula>
    </cfRule>
  </conditionalFormatting>
  <conditionalFormatting sqref="J20 J29 T20 T29 T38 J38 J48 T48 T66 J66 J57 T57">
    <cfRule type="cellIs" operator="equal" priority="4" dxfId="3">
      <formula>0</formula>
    </cfRule>
  </conditionalFormatting>
  <dataValidations count="11">
    <dataValidation allowBlank="1" type="list" errorStyle="stop" showInputMessage="1" showErrorMessage="1" sqref="F13:G13">
      <formula1>"袖珍,通常,巨大,超巨大"</formula1>
    </dataValidation>
    <dataValidation allowBlank="1" type="decimal" operator="between" errorStyle="warning" showInputMessage="1" sqref="F18">
      <formula1>0</formula1>
      <formula2>E17</formula2>
    </dataValidation>
    <dataValidation allowBlank="1" type="list" errorStyle="stop" showInputMessage="1" showErrorMessage="1" sqref="F11:G11">
      <formula1>"神灵,英灵,幻灵,精灵,亡灵,守护者"</formula1>
    </dataValidation>
    <dataValidation allowBlank="1" type="list" errorStyle="stop" showInputMessage="1" showErrorMessage="1" sqref="F10:G10">
      <formula1>"Saber,Saber(骑乘),Lancer,Archer,Rider,Caster,Berserker,Assassin"</formula1>
    </dataValidation>
    <dataValidation allowBlank="1" type="list" errorStyle="stop" showInputMessage="1" showErrorMessage="1" sqref="C17">
      <formula1>"70,60,50,40,30"</formula1>
    </dataValidation>
    <dataValidation allowBlank="1" type="list" errorStyle="stop" showInputMessage="1" showErrorMessage="1" sqref="F12">
      <formula1>"人型,神性,魔性,龙种,猛兽,魔兽,构装体"</formula1>
    </dataValidation>
    <dataValidation allowBlank="1" type="list" errorStyle="stop" showInputMessage="1" showErrorMessage="1" sqref="G12">
      <formula1>"人型,神性,魔性,龙种,猛兽,魔兽,构装体"</formula1>
    </dataValidation>
    <dataValidation allowBlank="1" type="list" errorStyle="stop" showInputMessage="1" showErrorMessage="1" sqref="N7:O7">
      <formula1>"过去,现在,未来,虚造,异闻带"</formula1>
    </dataValidation>
    <dataValidation allowBlank="1" type="any" operator="between" errorStyle="stop" showInputMessage="1" showErrorMessage="1" sqref="N4:O4"/>
    <dataValidation allowBlank="1" type="any" operator="between" errorStyle="stop" showInputMessage="1" showErrorMessage="1" sqref="N6:O6"/>
    <dataValidation allowBlank="1" type="any" operator="between" errorStyle="stop" showInputMessage="1" showErrorMessage="1" sqref="N10:O10"/>
  </dataValidations>
  <pageMargins left="0.699305555555556" right="0.699305555555556" top="0.75" bottom="0.75" header="0.3" footer="0.3"/>
  <pageSetup paperSize="9" scale="88"/>
  <drawing r:id="rId1"/>
  <legacyDrawing r:id="rId2"/>
</worksheet>
</file>

<file path=xl/worksheets/sheet3.xml><?xml version="1.0" encoding="utf-8"?>
<worksheet xmlns:r="http://schemas.openxmlformats.org/officeDocument/2006/relationships" xmlns="http://schemas.openxmlformats.org/spreadsheetml/2006/main">
  <dimension ref="B1:BT107"/>
  <sheetViews>
    <sheetView tabSelected="1" workbookViewId="0" showGridLines="0" zoomScale="34">
      <selection activeCell="B3" sqref="B3:J5"/>
    </sheetView>
  </sheetViews>
  <sheetFormatPr defaultRowHeight="11.9" defaultColWidth="10"/>
  <cols>
    <col min="1" max="1" customWidth="1" width="5.546875" style="0"/>
    <col min="11" max="11" customWidth="1" width="5.546875" style="0"/>
    <col min="21" max="21" customWidth="1" width="5.546875" style="0"/>
  </cols>
  <sheetData>
    <row r="1" spans="8:8" ht="15.6" customHeight="1">
      <c r="I1" s="221"/>
    </row>
    <row r="2" spans="8:8" ht="15.6" customHeight="1">
      <c r="B2" s="222" t="s">
        <v>99</v>
      </c>
      <c r="C2" s="223"/>
      <c r="D2" s="223"/>
      <c r="E2" s="223"/>
      <c r="F2" s="223"/>
      <c r="G2" s="223"/>
      <c r="H2" s="223"/>
      <c r="I2" s="223"/>
      <c r="J2" s="224"/>
      <c r="K2" s="225"/>
      <c r="L2" s="226" t="s">
        <v>100</v>
      </c>
      <c r="M2" s="227"/>
      <c r="N2" s="227"/>
      <c r="O2" s="227"/>
      <c r="P2" s="227"/>
      <c r="Q2" s="227"/>
      <c r="R2" s="227"/>
      <c r="S2" s="227"/>
      <c r="T2" s="228"/>
    </row>
    <row r="3" spans="8:8" ht="15.6" customHeight="1">
      <c r="B3" s="229" t="s">
        <v>487</v>
      </c>
      <c r="C3" s="230"/>
      <c r="D3" s="230"/>
      <c r="E3" s="230"/>
      <c r="F3" s="230"/>
      <c r="G3" s="230"/>
      <c r="H3" s="230"/>
      <c r="I3" s="230"/>
      <c r="J3" s="231"/>
      <c r="K3" s="6"/>
      <c r="L3" s="232" t="s">
        <v>491</v>
      </c>
      <c r="M3" s="233"/>
      <c r="N3" s="233"/>
      <c r="O3" s="233"/>
      <c r="P3" s="233"/>
      <c r="Q3" s="233"/>
      <c r="R3" s="233"/>
      <c r="S3" s="233"/>
      <c r="T3" s="234"/>
    </row>
    <row r="4" spans="8:8" ht="15.6" customHeight="1">
      <c r="B4" s="229"/>
      <c r="C4" s="230"/>
      <c r="D4" s="230"/>
      <c r="E4" s="230"/>
      <c r="F4" s="230"/>
      <c r="G4" s="230"/>
      <c r="H4" s="230"/>
      <c r="I4" s="230"/>
      <c r="J4" s="231"/>
      <c r="K4" s="6"/>
      <c r="L4" s="235"/>
      <c r="M4" s="233"/>
      <c r="N4" s="233"/>
      <c r="O4" s="233"/>
      <c r="P4" s="233"/>
      <c r="Q4" s="233"/>
      <c r="R4" s="233"/>
      <c r="S4" s="233"/>
      <c r="T4" s="234"/>
    </row>
    <row r="5" spans="8:8" ht="15.6" customHeight="1">
      <c r="B5" s="236"/>
      <c r="C5" s="237"/>
      <c r="D5" s="237"/>
      <c r="E5" s="237"/>
      <c r="F5" s="237"/>
      <c r="G5" s="237"/>
      <c r="H5" s="237"/>
      <c r="I5" s="237"/>
      <c r="J5" s="238"/>
      <c r="K5" s="6"/>
      <c r="L5" s="235"/>
      <c r="M5" s="233"/>
      <c r="N5" s="233"/>
      <c r="O5" s="233"/>
      <c r="P5" s="233"/>
      <c r="Q5" s="233"/>
      <c r="R5" s="233"/>
      <c r="S5" s="233"/>
      <c r="T5" s="234"/>
    </row>
    <row r="6" spans="8:8" ht="15.6" customHeight="1">
      <c r="B6" s="239" t="s">
        <v>35</v>
      </c>
      <c r="C6" s="240" t="s">
        <v>36</v>
      </c>
      <c r="D6" s="240" t="s">
        <v>54</v>
      </c>
      <c r="E6" s="240" t="s">
        <v>55</v>
      </c>
      <c r="F6" s="240" t="s">
        <v>102</v>
      </c>
      <c r="G6" s="240" t="s">
        <v>57</v>
      </c>
      <c r="H6" s="240" t="s">
        <v>58</v>
      </c>
      <c r="I6" s="240" t="s">
        <v>59</v>
      </c>
      <c r="J6" s="241" t="s">
        <v>60</v>
      </c>
      <c r="K6" s="6"/>
      <c r="L6" s="235"/>
      <c r="M6" s="233"/>
      <c r="N6" s="233"/>
      <c r="O6" s="233"/>
      <c r="P6" s="233"/>
      <c r="Q6" s="233"/>
      <c r="R6" s="233"/>
      <c r="S6" s="233"/>
      <c r="T6" s="234"/>
    </row>
    <row r="7" spans="8:8" ht="15.6" customHeight="1">
      <c r="B7" s="242" t="str">
        <f>'角色卡 '!F10</f>
        <v>Caster</v>
      </c>
      <c r="C7" s="243" t="s">
        <v>48</v>
      </c>
      <c r="D7" s="244">
        <f>'角色卡 '!C15</f>
        <v>70.0</v>
      </c>
      <c r="E7" s="243" t="str">
        <f>_xlfn.IFS('角色卡 '!$D$15&lt;21,"E",'角色卡 '!$D$15&lt;41,"D",'角色卡 '!$D$15&lt;61,"C",'角色卡 '!$D$15&lt;81,"B",'角色卡 '!$D$15&lt;101,"A",'角色卡 '!$D$15&lt;121,"A+",'角色卡 '!$D$15&gt;120,"EX")</f>
        <v>E</v>
      </c>
      <c r="F7" s="243" t="str">
        <f>_xlfn.IFS('角色卡 '!$E$15&lt;21,"E",'角色卡 '!$E$15&lt;41,"D",'角色卡 '!$E$15&lt;61,"C",'角色卡 '!$E$15&lt;81,"B",'角色卡 '!$E$15&lt;101,"A",'角色卡 '!$E$15&lt;121,"A+",'角色卡 '!$E$15&gt;120,"EX")</f>
        <v>E</v>
      </c>
      <c r="G7" s="243" t="str">
        <f>_xlfn.IFS('角色卡 '!$F$15&lt;21,"E",'角色卡 '!$F$15&lt;41,"D",'角色卡 '!$F$15&lt;61,"C",'角色卡 '!$F$15&lt;81,"B",'角色卡 '!$F$15&lt;101,"A",'角色卡 '!$F$15&lt;121,"A+",'角色卡 '!$F$15&gt;120,"EX")</f>
        <v>E</v>
      </c>
      <c r="H7" s="243" t="str">
        <f>_xlfn.IFS('角色卡 '!$G$15&lt;21,"E",'角色卡 '!$G$15&lt;41,"D",'角色卡 '!$G$15&lt;61,"C",'角色卡 '!$G$15&lt;81,"B",'角色卡 '!$G$15&lt;101,"A",'角色卡 '!$G$15&lt;121,"A+",'角色卡 '!$G$15&gt;120,"EX")</f>
        <v>A</v>
      </c>
      <c r="I7" s="243" t="str">
        <f>_xlfn.IFS('角色卡 '!$H$15&lt;21,"E",'角色卡 '!$H$15&lt;41,"D",'角色卡 '!$H$15&lt;61,"C",'角色卡 '!$H$15&lt;81,"B",'角色卡 '!$H$15&lt;101,"A",'角色卡 '!$H$15&lt;121,"A+",'角色卡 '!$H$15&gt;120,"EX")</f>
        <v>C</v>
      </c>
      <c r="J7" s="245" t="str">
        <f>_xlfn.IFS('角色卡 '!$I$15&lt;11,"E",'角色卡 '!$I$15&lt;21,"D",'角色卡 '!$I$15&lt;31,"C",'角色卡 '!$I$15&lt;41,"B",'角色卡 '!$I$15&lt;51,"A",'角色卡 '!$I$15&lt;56,"A+",'角色卡 '!$I$15&gt;55,"EX")</f>
        <v>A</v>
      </c>
      <c r="K7" s="6"/>
      <c r="L7" s="235"/>
      <c r="M7" s="233"/>
      <c r="N7" s="233"/>
      <c r="O7" s="233"/>
      <c r="P7" s="233"/>
      <c r="Q7" s="233"/>
      <c r="R7" s="233"/>
      <c r="S7" s="233"/>
      <c r="T7" s="234"/>
    </row>
    <row r="8" spans="8:8" ht="15.6" customHeight="1">
      <c r="B8" s="246" t="s">
        <v>45</v>
      </c>
      <c r="C8" s="247" t="str">
        <f>C27</f>
        <v>男</v>
      </c>
      <c r="D8" s="247"/>
      <c r="E8" s="248" t="s">
        <v>103</v>
      </c>
      <c r="F8" s="249"/>
      <c r="G8" s="250"/>
      <c r="H8" s="250"/>
      <c r="I8" s="250"/>
      <c r="J8" s="251"/>
      <c r="K8" s="6"/>
      <c r="L8" s="235"/>
      <c r="M8" s="233"/>
      <c r="N8" s="233"/>
      <c r="O8" s="233"/>
      <c r="P8" s="233"/>
      <c r="Q8" s="233"/>
      <c r="R8" s="233"/>
      <c r="S8" s="233"/>
      <c r="T8" s="234"/>
    </row>
    <row r="9" spans="8:8" ht="15.6" customHeight="1">
      <c r="B9" s="252" t="s">
        <v>104</v>
      </c>
      <c r="C9" s="233">
        <v>170.0</v>
      </c>
      <c r="D9" s="233"/>
      <c r="E9" s="253" t="s">
        <v>489</v>
      </c>
      <c r="F9" s="253"/>
      <c r="G9" s="254"/>
      <c r="H9" s="254"/>
      <c r="I9" s="254"/>
      <c r="J9" s="255"/>
      <c r="K9" s="6"/>
      <c r="L9" s="235"/>
      <c r="M9" s="233"/>
      <c r="N9" s="233"/>
      <c r="O9" s="233"/>
      <c r="P9" s="233"/>
      <c r="Q9" s="233"/>
      <c r="R9" s="233"/>
      <c r="S9" s="233"/>
      <c r="T9" s="234"/>
    </row>
    <row r="10" spans="8:8" ht="15.6" customHeight="1">
      <c r="B10" s="252" t="s">
        <v>105</v>
      </c>
      <c r="C10" s="233">
        <v>57.0</v>
      </c>
      <c r="D10" s="233"/>
      <c r="E10" s="253"/>
      <c r="F10" s="253"/>
      <c r="G10" s="253"/>
      <c r="H10" s="253"/>
      <c r="I10" s="253"/>
      <c r="J10" s="256"/>
      <c r="K10" s="6"/>
      <c r="L10" s="235"/>
      <c r="M10" s="233"/>
      <c r="N10" s="233"/>
      <c r="O10" s="233"/>
      <c r="P10" s="233"/>
      <c r="Q10" s="233"/>
      <c r="R10" s="233"/>
      <c r="S10" s="233"/>
      <c r="T10" s="234"/>
    </row>
    <row r="11" spans="8:8" ht="15.6" customHeight="1">
      <c r="B11" s="257" t="s">
        <v>106</v>
      </c>
      <c r="C11" s="258"/>
      <c r="D11" s="258"/>
      <c r="E11" s="259" t="s">
        <v>107</v>
      </c>
      <c r="F11" s="260"/>
      <c r="G11" s="261"/>
      <c r="H11" s="261"/>
      <c r="I11" s="261"/>
      <c r="J11" s="262"/>
      <c r="K11" s="6"/>
      <c r="L11" s="235"/>
      <c r="M11" s="233"/>
      <c r="N11" s="233"/>
      <c r="O11" s="233"/>
      <c r="P11" s="233"/>
      <c r="Q11" s="233"/>
      <c r="R11" s="233"/>
      <c r="S11" s="233"/>
      <c r="T11" s="234"/>
    </row>
    <row r="12" spans="8:8" ht="15.6" customHeight="1">
      <c r="B12" s="263" t="s">
        <v>488</v>
      </c>
      <c r="C12" s="264"/>
      <c r="D12" s="264"/>
      <c r="E12" s="265" t="s">
        <v>484</v>
      </c>
      <c r="F12" s="265"/>
      <c r="G12" s="266"/>
      <c r="H12" s="266"/>
      <c r="I12" s="266"/>
      <c r="J12" s="267"/>
      <c r="K12" s="6"/>
      <c r="L12" s="235"/>
      <c r="M12" s="233"/>
      <c r="N12" s="233"/>
      <c r="O12" s="233"/>
      <c r="P12" s="233"/>
      <c r="Q12" s="233"/>
      <c r="R12" s="233"/>
      <c r="S12" s="233"/>
      <c r="T12" s="234"/>
    </row>
    <row r="13" spans="8:8" ht="15.6" customHeight="1">
      <c r="B13" s="263"/>
      <c r="C13" s="264"/>
      <c r="D13" s="264"/>
      <c r="E13" s="265"/>
      <c r="F13" s="265"/>
      <c r="G13" s="265"/>
      <c r="H13" s="265"/>
      <c r="I13" s="265"/>
      <c r="J13" s="268"/>
      <c r="K13" s="6"/>
      <c r="L13" s="235"/>
      <c r="M13" s="233"/>
      <c r="N13" s="233"/>
      <c r="O13" s="233"/>
      <c r="P13" s="233"/>
      <c r="Q13" s="233"/>
      <c r="R13" s="233"/>
      <c r="S13" s="233"/>
      <c r="T13" s="234"/>
    </row>
    <row r="14" spans="8:8" ht="15.6" customHeight="1">
      <c r="B14" s="269" t="s">
        <v>30</v>
      </c>
      <c r="C14" s="270"/>
      <c r="D14" s="270"/>
      <c r="E14" s="259" t="s">
        <v>108</v>
      </c>
      <c r="F14" s="260"/>
      <c r="G14" s="261"/>
      <c r="H14" s="261"/>
      <c r="I14" s="261"/>
      <c r="J14" s="262"/>
      <c r="K14" s="6"/>
      <c r="L14" s="235"/>
      <c r="M14" s="233"/>
      <c r="N14" s="233"/>
      <c r="O14" s="233"/>
      <c r="P14" s="233"/>
      <c r="Q14" s="233"/>
      <c r="R14" s="233"/>
      <c r="S14" s="233"/>
      <c r="T14" s="234"/>
    </row>
    <row r="15" spans="8:8" ht="15.6" customHeight="1">
      <c r="B15" s="271" t="s">
        <v>476</v>
      </c>
      <c r="C15" s="272"/>
      <c r="D15" s="272"/>
      <c r="E15" s="265" t="s">
        <v>486</v>
      </c>
      <c r="F15" s="265"/>
      <c r="G15" s="266"/>
      <c r="H15" s="266"/>
      <c r="I15" s="266"/>
      <c r="J15" s="267"/>
      <c r="K15" s="6"/>
      <c r="L15" s="235"/>
      <c r="M15" s="233"/>
      <c r="N15" s="233"/>
      <c r="O15" s="233"/>
      <c r="P15" s="233"/>
      <c r="Q15" s="233"/>
      <c r="R15" s="233"/>
      <c r="S15" s="233"/>
      <c r="T15" s="234"/>
    </row>
    <row r="16" spans="8:8" ht="15.6" customHeight="1">
      <c r="B16" s="273"/>
      <c r="C16" s="274"/>
      <c r="D16" s="274"/>
      <c r="E16" s="275"/>
      <c r="F16" s="275"/>
      <c r="G16" s="275"/>
      <c r="H16" s="275"/>
      <c r="I16" s="275"/>
      <c r="J16" s="276"/>
      <c r="K16" s="6"/>
      <c r="L16" s="235"/>
      <c r="M16" s="233"/>
      <c r="N16" s="233"/>
      <c r="O16" s="233"/>
      <c r="P16" s="233"/>
      <c r="Q16" s="233"/>
      <c r="R16" s="233"/>
      <c r="S16" s="233"/>
      <c r="T16" s="234"/>
    </row>
    <row r="17" spans="8:8" ht="15.6" customHeight="1">
      <c r="B17" s="277" t="s">
        <v>110</v>
      </c>
      <c r="C17" s="278"/>
      <c r="D17" s="278"/>
      <c r="E17" s="279" t="s">
        <v>111</v>
      </c>
      <c r="F17" s="279"/>
      <c r="G17" s="279"/>
      <c r="H17" s="280"/>
      <c r="I17" s="278"/>
      <c r="J17" s="281"/>
      <c r="K17" s="6"/>
      <c r="L17" s="235"/>
      <c r="M17" s="233"/>
      <c r="N17" s="233"/>
      <c r="O17" s="233"/>
      <c r="P17" s="233"/>
      <c r="Q17" s="233"/>
      <c r="R17" s="233"/>
      <c r="S17" s="233"/>
      <c r="T17" s="234"/>
    </row>
    <row r="18" spans="8:8" ht="15.6" customHeight="1">
      <c r="B18" s="277"/>
      <c r="C18" s="278"/>
      <c r="D18" s="278"/>
      <c r="E18" s="282" t="s">
        <v>112</v>
      </c>
      <c r="F18" s="282"/>
      <c r="G18" s="282"/>
      <c r="H18" s="280"/>
      <c r="I18" s="278"/>
      <c r="J18" s="281"/>
      <c r="K18" s="6"/>
      <c r="L18" s="235"/>
      <c r="M18" s="233"/>
      <c r="N18" s="233"/>
      <c r="O18" s="233"/>
      <c r="P18" s="233"/>
      <c r="Q18" s="233"/>
      <c r="R18" s="233"/>
      <c r="S18" s="233"/>
      <c r="T18" s="234"/>
    </row>
    <row r="19" spans="8:8" ht="15.6" customHeight="1">
      <c r="B19" s="277"/>
      <c r="C19" s="278"/>
      <c r="D19" s="278"/>
      <c r="E19" s="283" t="s">
        <v>75</v>
      </c>
      <c r="F19" s="283"/>
      <c r="G19" s="283"/>
      <c r="H19" s="280"/>
      <c r="I19" s="278"/>
      <c r="J19" s="281"/>
      <c r="K19" s="6"/>
      <c r="L19" s="235"/>
      <c r="M19" s="233"/>
      <c r="N19" s="233"/>
      <c r="O19" s="233"/>
      <c r="P19" s="233"/>
      <c r="Q19" s="233"/>
      <c r="R19" s="233"/>
      <c r="S19" s="233"/>
      <c r="T19" s="234"/>
    </row>
    <row r="20" spans="8:8" ht="15.6" customHeight="1">
      <c r="B20" s="277"/>
      <c r="C20" s="278"/>
      <c r="D20" s="278"/>
      <c r="E20" s="282"/>
      <c r="F20" s="282"/>
      <c r="G20" s="282"/>
      <c r="H20" s="280"/>
      <c r="I20" s="278"/>
      <c r="J20" s="281"/>
      <c r="K20" s="6"/>
      <c r="L20" s="235"/>
      <c r="M20" s="233"/>
      <c r="N20" s="233"/>
      <c r="O20" s="233"/>
      <c r="P20" s="233"/>
      <c r="Q20" s="233"/>
      <c r="R20" s="233"/>
      <c r="S20" s="233"/>
      <c r="T20" s="234"/>
    </row>
    <row r="21" spans="8:8" ht="15.6" customHeight="1">
      <c r="B21" s="277"/>
      <c r="C21" s="278"/>
      <c r="D21" s="278"/>
      <c r="E21" s="284" t="s">
        <v>113</v>
      </c>
      <c r="F21" s="233"/>
      <c r="G21" s="233"/>
      <c r="H21" s="280"/>
      <c r="I21" s="278"/>
      <c r="J21" s="281"/>
      <c r="K21" s="6"/>
      <c r="L21" s="235"/>
      <c r="M21" s="233"/>
      <c r="N21" s="233"/>
      <c r="O21" s="233"/>
      <c r="P21" s="233"/>
      <c r="Q21" s="233"/>
      <c r="R21" s="233"/>
      <c r="S21" s="233"/>
      <c r="T21" s="234"/>
    </row>
    <row r="22" spans="8:8" ht="15.6" customHeight="1">
      <c r="B22" s="277"/>
      <c r="C22" s="278"/>
      <c r="D22" s="278"/>
      <c r="E22" s="284" t="s">
        <v>114</v>
      </c>
      <c r="F22" s="233"/>
      <c r="G22" s="233"/>
      <c r="H22" s="280"/>
      <c r="I22" s="278"/>
      <c r="J22" s="281"/>
      <c r="K22" s="6"/>
      <c r="L22" s="235"/>
      <c r="M22" s="233"/>
      <c r="N22" s="233"/>
      <c r="O22" s="233"/>
      <c r="P22" s="233"/>
      <c r="Q22" s="233"/>
      <c r="R22" s="233"/>
      <c r="S22" s="233"/>
      <c r="T22" s="234"/>
    </row>
    <row r="23" spans="8:8" ht="15.6" customHeight="1">
      <c r="B23" s="277"/>
      <c r="C23" s="278"/>
      <c r="D23" s="278"/>
      <c r="E23" s="284" t="s">
        <v>115</v>
      </c>
      <c r="F23" s="233"/>
      <c r="G23" s="233"/>
      <c r="H23" s="280"/>
      <c r="I23" s="278"/>
      <c r="J23" s="281"/>
      <c r="K23" s="6"/>
      <c r="L23" s="235"/>
      <c r="M23" s="233"/>
      <c r="N23" s="233"/>
      <c r="O23" s="233"/>
      <c r="P23" s="233"/>
      <c r="Q23" s="233"/>
      <c r="R23" s="233"/>
      <c r="S23" s="233"/>
      <c r="T23" s="234"/>
    </row>
    <row r="24" spans="8:8" ht="15.6" customHeight="1">
      <c r="B24" s="285"/>
      <c r="C24" s="286"/>
      <c r="D24" s="286"/>
      <c r="E24" s="287" t="s">
        <v>116</v>
      </c>
      <c r="F24" s="288"/>
      <c r="G24" s="288"/>
      <c r="H24" s="289"/>
      <c r="I24" s="286"/>
      <c r="J24" s="290"/>
      <c r="K24" s="6"/>
      <c r="L24" s="235"/>
      <c r="M24" s="233"/>
      <c r="N24" s="233"/>
      <c r="O24" s="233"/>
      <c r="P24" s="233"/>
      <c r="Q24" s="233"/>
      <c r="R24" s="233"/>
      <c r="S24" s="233"/>
      <c r="T24" s="234"/>
    </row>
    <row r="25" spans="8:8" ht="15.6" customHeight="1">
      <c r="B25" s="291" t="s">
        <v>117</v>
      </c>
      <c r="C25" s="292" t="s">
        <v>472</v>
      </c>
      <c r="D25" s="293"/>
      <c r="E25" s="294" t="s">
        <v>118</v>
      </c>
      <c r="F25" s="294"/>
      <c r="G25" s="294"/>
      <c r="H25" s="294"/>
      <c r="I25" s="294"/>
      <c r="J25" s="295"/>
      <c r="K25" s="6"/>
      <c r="L25" s="296" t="s">
        <v>119</v>
      </c>
      <c r="M25" s="297"/>
      <c r="N25" s="297"/>
      <c r="O25" s="297"/>
      <c r="P25" s="297"/>
      <c r="Q25" s="297"/>
      <c r="R25" s="297"/>
      <c r="S25" s="297"/>
      <c r="T25" s="298"/>
    </row>
    <row r="26" spans="8:8" ht="15.6" customHeight="1">
      <c r="B26" s="299" t="s">
        <v>120</v>
      </c>
      <c r="C26" s="300" t="s">
        <v>473</v>
      </c>
      <c r="D26" s="301"/>
      <c r="E26" s="302" t="s">
        <v>480</v>
      </c>
      <c r="F26" s="302"/>
      <c r="G26" s="302"/>
      <c r="H26" s="302"/>
      <c r="I26" s="302"/>
      <c r="J26" s="303"/>
      <c r="K26" s="6"/>
      <c r="L26" s="235" t="s">
        <v>481</v>
      </c>
      <c r="M26" s="233"/>
      <c r="N26" s="233"/>
      <c r="O26" s="233"/>
      <c r="P26" s="233"/>
      <c r="Q26" s="233"/>
      <c r="R26" s="233"/>
      <c r="S26" s="233"/>
      <c r="T26" s="234"/>
    </row>
    <row r="27" spans="8:8" ht="15.6" customHeight="1">
      <c r="B27" s="304" t="s">
        <v>45</v>
      </c>
      <c r="C27" s="300" t="s">
        <v>471</v>
      </c>
      <c r="D27" s="301"/>
      <c r="E27" s="302"/>
      <c r="F27" s="302"/>
      <c r="G27" s="302"/>
      <c r="H27" s="302"/>
      <c r="I27" s="302"/>
      <c r="J27" s="303"/>
      <c r="K27" s="6"/>
      <c r="L27" s="235"/>
      <c r="M27" s="233"/>
      <c r="N27" s="233"/>
      <c r="O27" s="233"/>
      <c r="P27" s="233"/>
      <c r="Q27" s="233"/>
      <c r="R27" s="233"/>
      <c r="S27" s="233"/>
      <c r="T27" s="234"/>
    </row>
    <row r="28" spans="8:8" ht="15.6" customHeight="1">
      <c r="B28" s="304" t="s">
        <v>123</v>
      </c>
      <c r="C28" s="300" t="s">
        <v>474</v>
      </c>
      <c r="D28" s="301"/>
      <c r="E28" s="302"/>
      <c r="F28" s="302"/>
      <c r="G28" s="302"/>
      <c r="H28" s="302"/>
      <c r="I28" s="302"/>
      <c r="J28" s="303"/>
      <c r="K28" s="6"/>
      <c r="L28" s="235"/>
      <c r="M28" s="233"/>
      <c r="N28" s="233"/>
      <c r="O28" s="233"/>
      <c r="P28" s="233"/>
      <c r="Q28" s="233"/>
      <c r="R28" s="233"/>
      <c r="S28" s="233"/>
      <c r="T28" s="234"/>
    </row>
    <row r="29" spans="8:8" ht="15.6" customHeight="1">
      <c r="B29" s="304" t="s">
        <v>124</v>
      </c>
      <c r="C29" s="300"/>
      <c r="D29" s="301"/>
      <c r="E29" s="302"/>
      <c r="F29" s="302"/>
      <c r="G29" s="302"/>
      <c r="H29" s="302"/>
      <c r="I29" s="302"/>
      <c r="J29" s="303"/>
      <c r="K29" s="6"/>
      <c r="L29" s="296" t="s">
        <v>125</v>
      </c>
      <c r="M29" s="297"/>
      <c r="N29" s="297"/>
      <c r="O29" s="297"/>
      <c r="P29" s="297"/>
      <c r="Q29" s="297"/>
      <c r="R29" s="297"/>
      <c r="S29" s="297"/>
      <c r="T29" s="298"/>
    </row>
    <row r="30" spans="8:8" ht="15.6" customHeight="1">
      <c r="B30" s="305" t="s">
        <v>126</v>
      </c>
      <c r="C30" s="306"/>
      <c r="D30" s="307"/>
      <c r="E30" s="308"/>
      <c r="F30" s="308"/>
      <c r="G30" s="308"/>
      <c r="H30" s="308"/>
      <c r="I30" s="308"/>
      <c r="J30" s="309"/>
      <c r="K30" s="6"/>
      <c r="L30" s="235" t="s">
        <v>482</v>
      </c>
      <c r="M30" s="233"/>
      <c r="N30" s="233"/>
      <c r="O30" s="233"/>
      <c r="P30" s="233"/>
      <c r="Q30" s="233"/>
      <c r="R30" s="233"/>
      <c r="S30" s="233"/>
      <c r="T30" s="234"/>
    </row>
    <row r="31" spans="8:8" ht="15.6" customHeight="1">
      <c r="B31" s="310" t="s">
        <v>127</v>
      </c>
      <c r="C31" s="311"/>
      <c r="D31" s="311"/>
      <c r="E31" s="311"/>
      <c r="F31" s="311"/>
      <c r="G31" s="311"/>
      <c r="H31" s="311"/>
      <c r="I31" s="311"/>
      <c r="J31" s="312"/>
      <c r="K31" s="6"/>
      <c r="L31" s="235"/>
      <c r="M31" s="233"/>
      <c r="N31" s="233"/>
      <c r="O31" s="233"/>
      <c r="P31" s="233"/>
      <c r="Q31" s="233"/>
      <c r="R31" s="233"/>
      <c r="S31" s="233"/>
      <c r="T31" s="234"/>
    </row>
    <row r="32" spans="8:8" ht="15.6" customHeight="1">
      <c r="B32" s="313" t="s">
        <v>490</v>
      </c>
      <c r="C32" s="314"/>
      <c r="D32" s="315"/>
      <c r="E32" s="315"/>
      <c r="F32" s="315"/>
      <c r="G32" s="315"/>
      <c r="H32" s="315"/>
      <c r="I32" s="315"/>
      <c r="J32" s="316"/>
      <c r="K32" s="6"/>
      <c r="L32" s="235"/>
      <c r="M32" s="233"/>
      <c r="N32" s="233"/>
      <c r="O32" s="233"/>
      <c r="P32" s="233"/>
      <c r="Q32" s="233"/>
      <c r="R32" s="233"/>
      <c r="S32" s="233"/>
      <c r="T32" s="234"/>
    </row>
    <row r="33" spans="8:8" ht="15.6" customHeight="1">
      <c r="B33" s="317"/>
      <c r="C33" s="314"/>
      <c r="D33" s="315"/>
      <c r="E33" s="315"/>
      <c r="F33" s="315"/>
      <c r="G33" s="315"/>
      <c r="H33" s="315"/>
      <c r="I33" s="315"/>
      <c r="J33" s="316"/>
      <c r="K33" s="6"/>
      <c r="L33" s="296" t="s">
        <v>129</v>
      </c>
      <c r="M33" s="297"/>
      <c r="N33" s="297"/>
      <c r="O33" s="297"/>
      <c r="P33" s="297"/>
      <c r="Q33" s="297"/>
      <c r="R33" s="297"/>
      <c r="S33" s="297"/>
      <c r="T33" s="298"/>
    </row>
    <row r="34" spans="8:8" ht="15.6" customHeight="1">
      <c r="B34" s="317"/>
      <c r="C34" s="314"/>
      <c r="D34" s="315"/>
      <c r="E34" s="315"/>
      <c r="F34" s="315"/>
      <c r="G34" s="315"/>
      <c r="H34" s="315"/>
      <c r="I34" s="315"/>
      <c r="J34" s="316"/>
      <c r="K34" s="6"/>
      <c r="L34" s="235" t="s">
        <v>483</v>
      </c>
      <c r="M34" s="233"/>
      <c r="N34" s="233"/>
      <c r="O34" s="233"/>
      <c r="P34" s="233"/>
      <c r="Q34" s="233"/>
      <c r="R34" s="233"/>
      <c r="S34" s="233"/>
      <c r="T34" s="234"/>
    </row>
    <row r="35" spans="8:8" ht="15.6" customHeight="1">
      <c r="B35" s="317"/>
      <c r="C35" s="314"/>
      <c r="D35" s="315"/>
      <c r="E35" s="315"/>
      <c r="F35" s="315"/>
      <c r="G35" s="315"/>
      <c r="H35" s="315"/>
      <c r="I35" s="315"/>
      <c r="J35" s="316"/>
      <c r="K35" s="6"/>
      <c r="L35" s="235"/>
      <c r="M35" s="233"/>
      <c r="N35" s="233"/>
      <c r="O35" s="233"/>
      <c r="P35" s="233"/>
      <c r="Q35" s="233"/>
      <c r="R35" s="233"/>
      <c r="S35" s="233"/>
      <c r="T35" s="234"/>
    </row>
    <row r="36" spans="8:8" ht="15.6" customHeight="1">
      <c r="B36" s="317"/>
      <c r="C36" s="315"/>
      <c r="D36" s="315"/>
      <c r="E36" s="318"/>
      <c r="F36" s="318"/>
      <c r="G36" s="318"/>
      <c r="H36" s="318"/>
      <c r="I36" s="315"/>
      <c r="J36" s="316"/>
      <c r="K36" s="6"/>
      <c r="L36" s="235"/>
      <c r="M36" s="233"/>
      <c r="N36" s="233"/>
      <c r="O36" s="233"/>
      <c r="P36" s="233"/>
      <c r="Q36" s="233"/>
      <c r="R36" s="233"/>
      <c r="S36" s="233"/>
      <c r="T36" s="234"/>
    </row>
    <row r="37" spans="8:8" ht="15.6" customHeight="1">
      <c r="B37" s="319"/>
      <c r="C37" s="320"/>
      <c r="D37" s="320"/>
      <c r="E37" s="320"/>
      <c r="F37" s="320"/>
      <c r="G37" s="320"/>
      <c r="H37" s="320"/>
      <c r="I37" s="315"/>
      <c r="J37" s="316"/>
      <c r="K37" s="6"/>
      <c r="L37" s="296" t="s">
        <v>130</v>
      </c>
      <c r="M37" s="297"/>
      <c r="N37" s="297"/>
      <c r="O37" s="297"/>
      <c r="P37" s="297"/>
      <c r="Q37" s="297"/>
      <c r="R37" s="297"/>
      <c r="S37" s="297"/>
      <c r="T37" s="298"/>
    </row>
    <row r="38" spans="8:8" ht="15.6" customHeight="1">
      <c r="B38" s="319"/>
      <c r="C38" s="320"/>
      <c r="D38" s="320"/>
      <c r="E38" s="320"/>
      <c r="F38" s="320"/>
      <c r="G38" s="320"/>
      <c r="H38" s="320"/>
      <c r="I38" s="315"/>
      <c r="J38" s="316"/>
      <c r="K38" s="6"/>
      <c r="L38" s="235"/>
      <c r="M38" s="233"/>
      <c r="N38" s="233"/>
      <c r="O38" s="233"/>
      <c r="P38" s="233"/>
      <c r="Q38" s="233"/>
      <c r="R38" s="233"/>
      <c r="S38" s="233"/>
      <c r="T38" s="234"/>
    </row>
    <row r="39" spans="8:8" ht="15.6" customHeight="1">
      <c r="B39" s="319"/>
      <c r="C39" s="320"/>
      <c r="D39" s="320"/>
      <c r="E39" s="320"/>
      <c r="F39" s="320"/>
      <c r="G39" s="320"/>
      <c r="H39" s="320"/>
      <c r="I39" s="315"/>
      <c r="J39" s="316"/>
      <c r="K39" s="6"/>
      <c r="L39" s="235"/>
      <c r="M39" s="233"/>
      <c r="N39" s="233"/>
      <c r="O39" s="233"/>
      <c r="P39" s="233"/>
      <c r="Q39" s="233"/>
      <c r="R39" s="233"/>
      <c r="S39" s="233"/>
      <c r="T39" s="234"/>
    </row>
    <row r="40" spans="8:8" ht="15.6" customHeight="1">
      <c r="B40" s="321" t="s">
        <v>131</v>
      </c>
      <c r="C40" s="322"/>
      <c r="D40" s="322"/>
      <c r="E40" s="322"/>
      <c r="F40" s="322"/>
      <c r="G40" s="322"/>
      <c r="H40" s="322"/>
      <c r="I40" s="322"/>
      <c r="J40" s="323"/>
      <c r="K40" s="6"/>
      <c r="L40" s="324"/>
      <c r="M40" s="288"/>
      <c r="N40" s="288"/>
      <c r="O40" s="288"/>
      <c r="P40" s="288"/>
      <c r="Q40" s="288"/>
      <c r="R40" s="288"/>
      <c r="S40" s="288"/>
      <c r="T40" s="325"/>
    </row>
    <row r="41" spans="8:8" ht="15.6" customHeight="1">
      <c r="B41" s="326" t="s">
        <v>478</v>
      </c>
      <c r="C41" s="327"/>
      <c r="D41" s="327"/>
      <c r="E41" s="327"/>
      <c r="F41" s="327"/>
      <c r="G41" s="327"/>
      <c r="H41" s="327"/>
      <c r="I41" s="328"/>
      <c r="J41" s="329"/>
      <c r="K41" s="6"/>
      <c r="L41" s="330" t="s">
        <v>130</v>
      </c>
      <c r="M41" s="331"/>
      <c r="N41" s="331"/>
      <c r="O41" s="331"/>
      <c r="P41" s="331"/>
      <c r="Q41" s="331"/>
      <c r="R41" s="331"/>
      <c r="S41" s="331"/>
      <c r="T41" s="332"/>
    </row>
    <row r="42" spans="8:8" ht="15.6" customHeight="1">
      <c r="B42" s="333"/>
      <c r="C42" s="334"/>
      <c r="D42" s="334"/>
      <c r="E42" s="334"/>
      <c r="F42" s="334"/>
      <c r="G42" s="334"/>
      <c r="H42" s="334"/>
      <c r="I42" s="335"/>
      <c r="J42" s="336"/>
      <c r="K42" s="6"/>
      <c r="L42" s="337"/>
      <c r="M42" s="338"/>
      <c r="N42" s="338"/>
      <c r="O42" s="338"/>
      <c r="P42" s="338"/>
      <c r="Q42" s="338"/>
      <c r="R42" s="338"/>
      <c r="S42" s="338"/>
      <c r="T42" s="339"/>
    </row>
    <row r="43" spans="8:8" ht="15.6" customHeight="1">
      <c r="B43" s="340"/>
      <c r="C43" s="341"/>
      <c r="D43" s="341"/>
      <c r="E43" s="341"/>
      <c r="F43" s="341"/>
      <c r="G43" s="341"/>
      <c r="H43" s="341"/>
      <c r="I43" s="342"/>
      <c r="J43" s="343"/>
      <c r="K43" s="6"/>
      <c r="L43" s="337"/>
      <c r="M43" s="338"/>
      <c r="N43" s="338"/>
      <c r="O43" s="338"/>
      <c r="P43" s="338"/>
      <c r="Q43" s="338"/>
      <c r="R43" s="338"/>
      <c r="S43" s="338"/>
      <c r="T43" s="339"/>
    </row>
    <row r="44" spans="8:8" ht="15.6" customHeight="1">
      <c r="B44" s="321" t="s">
        <v>133</v>
      </c>
      <c r="C44" s="322"/>
      <c r="D44" s="322"/>
      <c r="E44" s="322"/>
      <c r="F44" s="322"/>
      <c r="G44" s="322"/>
      <c r="H44" s="322"/>
      <c r="I44" s="322"/>
      <c r="J44" s="323"/>
      <c r="K44" s="6"/>
      <c r="L44" s="337"/>
      <c r="M44" s="338"/>
      <c r="N44" s="338"/>
      <c r="O44" s="338"/>
      <c r="P44" s="338"/>
      <c r="Q44" s="338"/>
      <c r="R44" s="338"/>
      <c r="S44" s="338"/>
      <c r="T44" s="339"/>
    </row>
    <row r="45" spans="8:8" ht="15.6" customHeight="1">
      <c r="B45" s="344" t="s">
        <v>477</v>
      </c>
      <c r="C45" s="345"/>
      <c r="D45" s="345"/>
      <c r="E45" s="345"/>
      <c r="F45" s="345"/>
      <c r="G45" s="345"/>
      <c r="H45" s="345"/>
      <c r="I45" s="345"/>
      <c r="J45" s="346"/>
      <c r="K45" s="6"/>
      <c r="L45" s="330" t="s">
        <v>130</v>
      </c>
      <c r="M45" s="331"/>
      <c r="N45" s="331"/>
      <c r="O45" s="331"/>
      <c r="P45" s="331"/>
      <c r="Q45" s="331"/>
      <c r="R45" s="331"/>
      <c r="S45" s="331"/>
      <c r="T45" s="332"/>
    </row>
    <row r="46" spans="8:8" ht="15.6" customHeight="1">
      <c r="B46" s="344"/>
      <c r="C46" s="345"/>
      <c r="D46" s="345"/>
      <c r="E46" s="345"/>
      <c r="F46" s="345"/>
      <c r="G46" s="345"/>
      <c r="H46" s="345"/>
      <c r="I46" s="345"/>
      <c r="J46" s="346"/>
      <c r="K46" s="6"/>
      <c r="L46" s="347"/>
      <c r="M46" s="348"/>
      <c r="N46" s="348"/>
      <c r="O46" s="348"/>
      <c r="P46" s="348"/>
      <c r="Q46" s="348"/>
      <c r="R46" s="348"/>
      <c r="S46" s="348"/>
      <c r="T46" s="349"/>
    </row>
    <row r="47" spans="8:8" ht="15.6" customHeight="1">
      <c r="B47" s="344"/>
      <c r="C47" s="345"/>
      <c r="D47" s="345"/>
      <c r="E47" s="345"/>
      <c r="F47" s="345"/>
      <c r="G47" s="345"/>
      <c r="H47" s="345"/>
      <c r="I47" s="345"/>
      <c r="J47" s="346"/>
      <c r="K47" s="6"/>
      <c r="L47" s="347"/>
      <c r="M47" s="348"/>
      <c r="N47" s="348"/>
      <c r="O47" s="348"/>
      <c r="P47" s="348"/>
      <c r="Q47" s="348"/>
      <c r="R47" s="348"/>
      <c r="S47" s="348"/>
      <c r="T47" s="349"/>
    </row>
    <row r="48" spans="8:8" ht="15.6" customHeight="1">
      <c r="B48" s="350"/>
      <c r="C48" s="351"/>
      <c r="D48" s="351"/>
      <c r="E48" s="351"/>
      <c r="F48" s="351"/>
      <c r="G48" s="351"/>
      <c r="H48" s="351"/>
      <c r="I48" s="351"/>
      <c r="J48" s="352"/>
      <c r="K48" s="6"/>
      <c r="L48" s="347"/>
      <c r="M48" s="348"/>
      <c r="N48" s="348"/>
      <c r="O48" s="348"/>
      <c r="P48" s="348"/>
      <c r="Q48" s="348"/>
      <c r="R48" s="348"/>
      <c r="S48" s="348"/>
      <c r="T48" s="349"/>
    </row>
    <row r="49" spans="8:8" ht="15.6" customHeight="1">
      <c r="B49" s="353" t="s">
        <v>135</v>
      </c>
      <c r="C49" s="354"/>
      <c r="D49" s="354"/>
      <c r="E49" s="354"/>
      <c r="F49" s="354"/>
      <c r="G49" s="354"/>
      <c r="H49" s="354"/>
      <c r="I49" s="354"/>
      <c r="J49" s="355"/>
      <c r="K49" s="6"/>
      <c r="L49" s="330"/>
      <c r="M49" s="331"/>
      <c r="N49" s="331"/>
      <c r="O49" s="331"/>
      <c r="P49" s="331"/>
      <c r="Q49" s="331"/>
      <c r="R49" s="331"/>
      <c r="S49" s="331"/>
      <c r="T49" s="332"/>
    </row>
    <row r="50" spans="8:8" ht="15.6" customHeight="1">
      <c r="B50" s="356" t="s">
        <v>136</v>
      </c>
      <c r="C50" s="357" t="s">
        <v>137</v>
      </c>
      <c r="D50" s="357"/>
      <c r="E50" s="357"/>
      <c r="F50" s="357"/>
      <c r="G50" s="357"/>
      <c r="H50" s="357"/>
      <c r="I50" s="357"/>
      <c r="J50" s="358"/>
      <c r="K50" s="6"/>
      <c r="L50" s="347"/>
      <c r="M50" s="348"/>
      <c r="N50" s="348"/>
      <c r="O50" s="348"/>
      <c r="P50" s="348"/>
      <c r="Q50" s="348"/>
      <c r="R50" s="348"/>
      <c r="S50" s="348"/>
      <c r="T50" s="349"/>
    </row>
    <row r="51" spans="8:8" ht="15.6" customHeight="1">
      <c r="B51" s="359" t="s">
        <v>138</v>
      </c>
      <c r="C51" s="147" t="s">
        <v>139</v>
      </c>
      <c r="D51" s="360"/>
      <c r="E51" s="360"/>
      <c r="F51" s="360"/>
      <c r="G51" s="360"/>
      <c r="H51" s="360"/>
      <c r="I51" s="360"/>
      <c r="J51" s="361"/>
      <c r="K51" s="6"/>
      <c r="L51" s="347"/>
      <c r="M51" s="348"/>
      <c r="N51" s="348"/>
      <c r="O51" s="348"/>
      <c r="P51" s="348"/>
      <c r="Q51" s="348"/>
      <c r="R51" s="348"/>
      <c r="S51" s="348"/>
      <c r="T51" s="349"/>
    </row>
    <row r="52" spans="8:8" ht="15.6" customHeight="1">
      <c r="B52" s="362" t="s">
        <v>140</v>
      </c>
      <c r="C52" s="363" t="s">
        <v>141</v>
      </c>
      <c r="D52" s="364"/>
      <c r="E52" s="364"/>
      <c r="F52" s="364"/>
      <c r="G52" s="364"/>
      <c r="H52" s="364"/>
      <c r="I52" s="364"/>
      <c r="J52" s="365"/>
      <c r="K52" s="6"/>
      <c r="L52" s="347"/>
      <c r="M52" s="348"/>
      <c r="N52" s="348"/>
      <c r="O52" s="348"/>
      <c r="P52" s="348"/>
      <c r="Q52" s="348"/>
      <c r="R52" s="348"/>
      <c r="S52" s="348"/>
      <c r="T52" s="349"/>
    </row>
    <row r="53" spans="8:8" ht="15.6" customHeight="1">
      <c r="B53" s="362"/>
      <c r="C53" s="366"/>
      <c r="D53" s="367"/>
      <c r="E53" s="367"/>
      <c r="F53" s="367"/>
      <c r="G53" s="367"/>
      <c r="H53" s="367"/>
      <c r="I53" s="367"/>
      <c r="J53" s="368"/>
      <c r="K53" s="6"/>
      <c r="L53" s="369"/>
      <c r="M53" s="370"/>
      <c r="N53" s="370"/>
      <c r="O53" s="370"/>
      <c r="P53" s="370"/>
      <c r="Q53" s="370"/>
      <c r="R53" s="370"/>
      <c r="S53" s="370"/>
      <c r="T53" s="371"/>
    </row>
    <row r="54" spans="8:8" ht="15.6" customHeight="1">
      <c r="B54" s="372"/>
      <c r="C54" s="373"/>
      <c r="D54" s="374"/>
      <c r="E54" s="374"/>
      <c r="F54" s="374"/>
      <c r="G54" s="374"/>
      <c r="H54" s="374"/>
      <c r="I54" s="374"/>
      <c r="J54" s="375"/>
      <c r="K54" s="376"/>
      <c r="L54" s="369"/>
      <c r="M54" s="370"/>
      <c r="N54" s="370"/>
      <c r="O54" s="370"/>
      <c r="P54" s="370"/>
      <c r="Q54" s="370"/>
      <c r="R54" s="370"/>
      <c r="S54" s="370"/>
      <c r="T54" s="371"/>
    </row>
    <row r="55" spans="8:8" ht="15.6" customHeight="1"/>
    <row r="56" spans="8:8" ht="15.6" customHeight="1">
      <c r="B56" s="377"/>
      <c r="C56" s="377"/>
      <c r="D56" s="377"/>
    </row>
    <row r="57" spans="8:8" ht="15.6" customHeight="1">
      <c r="B57" s="377"/>
      <c r="C57" s="377"/>
      <c r="D57" s="377"/>
    </row>
    <row r="58" spans="8:8" ht="15.6" customHeight="1">
      <c r="B58" s="377"/>
      <c r="C58" s="377"/>
      <c r="D58" s="377"/>
    </row>
    <row r="59" spans="8:8" ht="15.6" customHeight="1">
      <c r="B59" s="377"/>
      <c r="C59" s="377"/>
      <c r="D59" s="377"/>
    </row>
    <row r="60" spans="8:8" ht="15.6" customHeight="1">
      <c r="B60" s="377"/>
      <c r="C60" s="377"/>
      <c r="D60" s="377"/>
    </row>
    <row r="61" spans="8:8" ht="15.6" customHeight="1">
      <c r="B61" s="377"/>
      <c r="C61" s="377"/>
      <c r="D61" s="377"/>
    </row>
    <row r="62" spans="8:8" ht="15.6" customHeight="1">
      <c r="B62" s="377"/>
      <c r="C62" s="377"/>
      <c r="D62" s="377"/>
    </row>
    <row r="63" spans="8:8" ht="15.6" customHeight="1">
      <c r="B63" s="377"/>
      <c r="C63" s="377"/>
      <c r="D63" s="377"/>
    </row>
    <row r="64" spans="8:8" ht="15.6" customHeight="1">
      <c r="B64" s="377"/>
      <c r="C64" s="377"/>
      <c r="D64" s="377"/>
    </row>
    <row r="65" spans="8:8" ht="15.6" customHeight="1">
      <c r="B65" s="377"/>
      <c r="C65" s="377"/>
      <c r="D65" s="377"/>
    </row>
    <row r="66" spans="8:8" ht="15.6" customHeight="1">
      <c r="B66" s="377"/>
      <c r="C66" s="377"/>
      <c r="D66" s="377"/>
    </row>
    <row r="67" spans="8:8" ht="15.6" customHeight="1">
      <c r="B67" s="377"/>
      <c r="C67" s="377"/>
      <c r="D67" s="377"/>
    </row>
    <row r="68" spans="8:8" ht="15.6" customHeight="1">
      <c r="B68" s="377"/>
      <c r="C68" s="377"/>
      <c r="D68" s="377"/>
    </row>
    <row r="69" spans="8:8" ht="15.6" customHeight="1">
      <c r="B69" s="377"/>
      <c r="C69" s="377"/>
      <c r="D69" s="377"/>
      <c r="E69" s="377"/>
      <c r="F69" s="377"/>
      <c r="G69" s="377"/>
      <c r="H69" s="377"/>
      <c r="I69" s="377"/>
      <c r="J69" s="377"/>
    </row>
    <row r="70" spans="8:8" ht="15.6" customHeight="1">
      <c r="B70" s="377"/>
      <c r="C70" s="377"/>
      <c r="D70" s="377"/>
      <c r="E70" s="377"/>
      <c r="F70" s="377"/>
      <c r="G70" s="377"/>
      <c r="H70" s="377"/>
      <c r="I70" s="377"/>
      <c r="J70" s="377"/>
    </row>
    <row r="71" spans="8:8" ht="15.6" customHeight="1">
      <c r="B71" s="377"/>
      <c r="C71" s="377"/>
      <c r="D71" s="377"/>
      <c r="E71" s="377"/>
      <c r="F71" s="377"/>
      <c r="G71" s="377"/>
      <c r="H71" s="377"/>
      <c r="I71" s="377"/>
      <c r="J71" s="377"/>
    </row>
    <row r="72" spans="8:8">
      <c r="B72" s="377"/>
      <c r="C72" s="377"/>
      <c r="D72" s="377"/>
      <c r="E72" s="377"/>
      <c r="F72" s="377"/>
      <c r="G72" s="377"/>
      <c r="H72" s="377"/>
      <c r="I72" s="377"/>
      <c r="J72" s="377"/>
    </row>
    <row r="73" spans="8:8">
      <c r="B73" s="377"/>
      <c r="C73" s="377"/>
      <c r="D73" s="377"/>
      <c r="E73" s="377"/>
      <c r="F73" s="377"/>
      <c r="G73" s="377"/>
      <c r="H73" s="377"/>
      <c r="I73" s="377"/>
      <c r="J73" s="377"/>
    </row>
    <row r="74" spans="8:8">
      <c r="B74" s="377"/>
      <c r="C74" s="377"/>
      <c r="D74" s="377"/>
      <c r="E74" s="377"/>
      <c r="F74" s="377"/>
      <c r="G74" s="377"/>
      <c r="H74" s="377"/>
      <c r="I74" s="377"/>
      <c r="J74" s="377"/>
    </row>
    <row r="75" spans="8:8">
      <c r="B75" s="377"/>
      <c r="C75" s="377"/>
      <c r="D75" s="377"/>
      <c r="E75" s="377"/>
      <c r="F75" s="377"/>
      <c r="G75" s="377"/>
      <c r="H75" s="377"/>
      <c r="I75" s="377"/>
      <c r="J75" s="377"/>
    </row>
    <row r="76" spans="8:8">
      <c r="B76" s="377"/>
      <c r="C76" s="377"/>
      <c r="D76" s="377"/>
      <c r="E76" s="377"/>
      <c r="F76" s="377"/>
      <c r="G76" s="377"/>
      <c r="H76" s="377"/>
      <c r="I76" s="377"/>
      <c r="J76" s="377"/>
    </row>
    <row r="77" spans="8:8">
      <c r="B77" s="377"/>
      <c r="C77" s="377"/>
      <c r="D77" s="377"/>
      <c r="E77" s="377"/>
      <c r="F77" s="377"/>
      <c r="G77" s="377"/>
      <c r="H77" s="377"/>
      <c r="I77" s="377"/>
      <c r="J77" s="377"/>
    </row>
    <row r="78" spans="8:8">
      <c r="B78" s="377"/>
      <c r="C78" s="377"/>
      <c r="D78" s="377"/>
      <c r="E78" s="377"/>
      <c r="F78" s="377"/>
      <c r="G78" s="377"/>
      <c r="H78" s="377"/>
      <c r="I78" s="377"/>
      <c r="J78" s="377"/>
    </row>
    <row r="79" spans="8:8">
      <c r="B79" s="377"/>
      <c r="C79" s="377"/>
      <c r="D79" s="377"/>
      <c r="E79" s="377"/>
      <c r="F79" s="377"/>
      <c r="G79" s="377"/>
      <c r="H79" s="377"/>
      <c r="I79" s="377"/>
      <c r="J79" s="377"/>
    </row>
    <row r="80" spans="8:8">
      <c r="B80" s="377"/>
      <c r="C80" s="377"/>
      <c r="D80" s="377"/>
      <c r="E80" s="377"/>
      <c r="F80" s="377"/>
      <c r="G80" s="377"/>
      <c r="H80" s="377"/>
      <c r="I80" s="377"/>
      <c r="J80" s="377"/>
    </row>
    <row r="81" spans="8:8">
      <c r="B81" s="377"/>
      <c r="C81" s="377"/>
      <c r="D81" s="377"/>
      <c r="E81" s="377"/>
      <c r="F81" s="377"/>
      <c r="G81" s="377"/>
      <c r="H81" s="377"/>
      <c r="I81" s="377"/>
      <c r="J81" s="377"/>
    </row>
    <row r="82" spans="8:8">
      <c r="B82" s="377"/>
      <c r="C82" s="377"/>
      <c r="D82" s="377"/>
      <c r="E82" s="377"/>
      <c r="F82" s="377"/>
      <c r="G82" s="377"/>
      <c r="H82" s="377"/>
      <c r="I82" s="377"/>
      <c r="J82" s="377"/>
      <c r="K82" s="377"/>
    </row>
    <row r="83" spans="8:8">
      <c r="B83" s="377"/>
      <c r="C83" s="377"/>
      <c r="D83" s="377"/>
      <c r="E83" s="377"/>
      <c r="F83" s="377"/>
      <c r="G83" s="377"/>
      <c r="H83" s="377"/>
      <c r="I83" s="377"/>
      <c r="J83" s="377"/>
      <c r="K83" s="377"/>
    </row>
    <row r="84" spans="8:8">
      <c r="B84" s="377"/>
      <c r="C84" s="377"/>
      <c r="D84" s="377"/>
      <c r="E84" s="377"/>
      <c r="F84" s="377"/>
      <c r="G84" s="377"/>
      <c r="H84" s="377"/>
      <c r="I84" s="377"/>
      <c r="J84" s="377"/>
      <c r="K84" s="377"/>
    </row>
    <row r="85" spans="8:8">
      <c r="B85" s="377"/>
      <c r="C85" s="377"/>
      <c r="D85" s="377"/>
      <c r="E85" s="377"/>
      <c r="F85" s="377"/>
      <c r="G85" s="377"/>
      <c r="H85" s="377"/>
      <c r="I85" s="377"/>
      <c r="J85" s="377"/>
      <c r="K85" s="377"/>
    </row>
    <row r="86" spans="8:8">
      <c r="B86" s="377"/>
      <c r="C86" s="377"/>
      <c r="D86" s="377"/>
      <c r="E86" s="377"/>
      <c r="F86" s="377"/>
      <c r="G86" s="377"/>
      <c r="H86" s="377"/>
      <c r="I86" s="377"/>
      <c r="J86" s="377"/>
      <c r="K86" s="377"/>
    </row>
    <row r="87" spans="8:8">
      <c r="B87" s="377"/>
      <c r="C87" s="377"/>
      <c r="D87" s="377"/>
      <c r="E87" s="377"/>
      <c r="F87" s="377"/>
      <c r="G87" s="377"/>
      <c r="H87" s="377"/>
      <c r="I87" s="377"/>
      <c r="J87" s="377"/>
      <c r="K87" s="377"/>
    </row>
    <row r="88" spans="8:8">
      <c r="B88" s="377"/>
      <c r="C88" s="377"/>
      <c r="D88" s="377"/>
      <c r="E88" s="377"/>
      <c r="F88" s="377"/>
      <c r="G88" s="377"/>
      <c r="H88" s="377"/>
      <c r="I88" s="377"/>
      <c r="J88" s="377"/>
      <c r="K88" s="377"/>
    </row>
    <row r="89" spans="8:8">
      <c r="B89" s="377"/>
      <c r="C89" s="377"/>
      <c r="D89" s="377"/>
      <c r="E89" s="377"/>
      <c r="F89" s="377"/>
      <c r="G89" s="377"/>
      <c r="H89" s="377"/>
      <c r="I89" s="377"/>
      <c r="J89" s="377"/>
      <c r="K89" s="377"/>
    </row>
    <row r="90" spans="8:8">
      <c r="B90" s="377"/>
      <c r="C90" s="377"/>
      <c r="D90" s="377"/>
      <c r="E90" s="377"/>
      <c r="F90" s="377"/>
      <c r="G90" s="377"/>
      <c r="H90" s="377"/>
      <c r="I90" s="377"/>
      <c r="J90" s="377"/>
      <c r="K90" s="377"/>
    </row>
    <row r="91" spans="8:8">
      <c r="B91" s="377"/>
      <c r="C91" s="377"/>
      <c r="D91" s="377"/>
      <c r="E91" s="377"/>
      <c r="F91" s="377"/>
      <c r="G91" s="377"/>
      <c r="H91" s="377"/>
      <c r="I91" s="377"/>
      <c r="J91" s="377"/>
      <c r="K91" s="377"/>
      <c r="L91" s="377"/>
      <c r="M91" s="377"/>
      <c r="N91" s="377"/>
      <c r="O91" s="377"/>
    </row>
    <row r="92" spans="8:8">
      <c r="B92" s="377"/>
      <c r="C92" s="377"/>
      <c r="D92" s="377"/>
      <c r="E92" s="377"/>
      <c r="F92" s="377"/>
      <c r="G92" s="377"/>
      <c r="H92" s="377"/>
      <c r="I92" s="377"/>
      <c r="J92" s="377"/>
      <c r="K92" s="377"/>
      <c r="L92" s="377"/>
      <c r="M92" s="377"/>
      <c r="N92" s="377"/>
      <c r="O92" s="377"/>
    </row>
    <row r="93" spans="8:8">
      <c r="B93" s="377"/>
      <c r="C93" s="377"/>
      <c r="D93" s="377"/>
      <c r="E93" s="377"/>
      <c r="F93" s="377"/>
      <c r="G93" s="377"/>
      <c r="H93" s="377"/>
      <c r="I93" s="377"/>
      <c r="J93" s="377"/>
      <c r="K93" s="377"/>
      <c r="L93" s="377"/>
      <c r="M93" s="377"/>
      <c r="N93" s="377"/>
      <c r="O93" s="377"/>
    </row>
    <row r="94" spans="8:8">
      <c r="B94" s="377"/>
      <c r="C94" s="377"/>
      <c r="D94" s="377"/>
      <c r="E94" s="377"/>
      <c r="F94" s="377"/>
      <c r="G94" s="377"/>
      <c r="H94" s="377"/>
      <c r="I94" s="377"/>
      <c r="J94" s="377"/>
      <c r="K94" s="377"/>
      <c r="L94" s="377"/>
      <c r="M94" s="377"/>
      <c r="N94" s="377"/>
      <c r="O94" s="377"/>
    </row>
    <row r="95" spans="8:8">
      <c r="B95" s="377"/>
      <c r="C95" s="377"/>
      <c r="D95" s="377"/>
      <c r="E95" s="377"/>
      <c r="F95" s="377"/>
      <c r="G95" s="377"/>
      <c r="H95" s="377"/>
      <c r="I95" s="377"/>
      <c r="J95" s="377"/>
      <c r="K95" s="377"/>
      <c r="L95" s="377"/>
      <c r="M95" s="377"/>
      <c r="N95" s="377"/>
      <c r="O95" s="377"/>
    </row>
    <row r="96" spans="8:8">
      <c r="B96" s="377"/>
      <c r="C96" s="377"/>
      <c r="D96" s="377"/>
      <c r="E96" s="377"/>
      <c r="F96" s="377"/>
      <c r="G96" s="377"/>
      <c r="H96" s="377"/>
      <c r="I96" s="377"/>
      <c r="J96" s="377"/>
      <c r="K96" s="377"/>
      <c r="L96" s="377"/>
      <c r="M96" s="377"/>
      <c r="N96" s="377"/>
      <c r="O96" s="377"/>
    </row>
    <row r="97" spans="8:8">
      <c r="B97" s="377"/>
      <c r="C97" s="377"/>
      <c r="D97" s="377"/>
      <c r="E97" s="377"/>
      <c r="F97" s="377"/>
      <c r="G97" s="377"/>
      <c r="H97" s="377"/>
      <c r="I97" s="377"/>
      <c r="J97" s="377"/>
      <c r="K97" s="377"/>
      <c r="L97" s="377"/>
      <c r="M97" s="377"/>
      <c r="N97" s="377"/>
      <c r="O97" s="377"/>
    </row>
    <row r="98" spans="8:8">
      <c r="B98" s="377"/>
      <c r="C98" s="377"/>
      <c r="D98" s="377"/>
      <c r="E98" s="377"/>
      <c r="F98" s="377"/>
      <c r="G98" s="377"/>
      <c r="H98" s="377"/>
      <c r="I98" s="377"/>
      <c r="J98" s="377"/>
      <c r="K98" s="377"/>
      <c r="L98" s="377"/>
      <c r="M98" s="377"/>
      <c r="N98" s="377"/>
      <c r="O98" s="377"/>
    </row>
    <row r="99" spans="8:8">
      <c r="L99" s="377"/>
      <c r="M99" s="377"/>
      <c r="N99" s="377"/>
      <c r="O99" s="377"/>
    </row>
    <row r="100" spans="8:8">
      <c r="L100" s="377"/>
      <c r="M100" s="377"/>
      <c r="N100" s="377"/>
      <c r="O100" s="377"/>
    </row>
    <row r="101" spans="8:8">
      <c r="L101" s="377"/>
      <c r="M101" s="377"/>
      <c r="N101" s="377"/>
      <c r="O101" s="377"/>
    </row>
    <row r="102" spans="8:8">
      <c r="L102" s="377"/>
      <c r="M102" s="377"/>
      <c r="N102" s="377"/>
      <c r="O102" s="377"/>
    </row>
    <row r="103" spans="8:8">
      <c r="L103" s="377"/>
      <c r="M103" s="377"/>
      <c r="N103" s="377"/>
      <c r="O103" s="377"/>
    </row>
    <row r="104" spans="8:8">
      <c r="L104" s="377"/>
      <c r="M104" s="377"/>
      <c r="N104" s="377"/>
      <c r="O104" s="377"/>
    </row>
    <row r="105" spans="8:8">
      <c r="L105" s="377"/>
      <c r="M105" s="377"/>
      <c r="N105" s="377"/>
      <c r="O105" s="377"/>
    </row>
    <row r="106" spans="8:8">
      <c r="L106" s="377"/>
      <c r="M106" s="377"/>
      <c r="N106" s="377"/>
      <c r="O106" s="377"/>
    </row>
    <row r="107" spans="8:8">
      <c r="L107" s="377"/>
      <c r="M107" s="377"/>
      <c r="N107" s="377"/>
      <c r="O107" s="377"/>
    </row>
  </sheetData>
  <sheetProtection sheet="0" formatColumns="0" formatRows="0" insertColumns="0" insertRows="0"/>
  <mergeCells count="64">
    <mergeCell ref="E12:J13"/>
    <mergeCell ref="C25:D25"/>
    <mergeCell ref="C8:D8"/>
    <mergeCell ref="H17:J24"/>
    <mergeCell ref="G14:J14"/>
    <mergeCell ref="B2:J2"/>
    <mergeCell ref="B3:J5"/>
    <mergeCell ref="G8:J8"/>
    <mergeCell ref="L2:T2"/>
    <mergeCell ref="L50:T52"/>
    <mergeCell ref="L34:T36"/>
    <mergeCell ref="L45:T45"/>
    <mergeCell ref="L41:T41"/>
    <mergeCell ref="B11:D11"/>
    <mergeCell ref="L30:T32"/>
    <mergeCell ref="C30:D30"/>
    <mergeCell ref="C9:D9"/>
    <mergeCell ref="E19:G19"/>
    <mergeCell ref="C10:D10"/>
    <mergeCell ref="E20:G20"/>
    <mergeCell ref="L26:T28"/>
    <mergeCell ref="L25:T25"/>
    <mergeCell ref="E26:J30"/>
    <mergeCell ref="B15:D16"/>
    <mergeCell ref="G11:J11"/>
    <mergeCell ref="B32:J39"/>
    <mergeCell ref="B45:J48"/>
    <mergeCell ref="B40:J40"/>
    <mergeCell ref="C51:J51"/>
    <mergeCell ref="B41:J43"/>
    <mergeCell ref="E11:F11"/>
    <mergeCell ref="B44:J44"/>
    <mergeCell ref="B49:J49"/>
    <mergeCell ref="C50:J50"/>
    <mergeCell ref="L33:T33"/>
    <mergeCell ref="B14:D14"/>
    <mergeCell ref="B31:J31"/>
    <mergeCell ref="E17:G17"/>
    <mergeCell ref="E18:G18"/>
    <mergeCell ref="C27:D27"/>
    <mergeCell ref="F22:G22"/>
    <mergeCell ref="L53:T54"/>
    <mergeCell ref="L29:T29"/>
    <mergeCell ref="L46:T48"/>
    <mergeCell ref="L49:T49"/>
    <mergeCell ref="L42:T44"/>
    <mergeCell ref="L38:T40"/>
    <mergeCell ref="L37:T37"/>
    <mergeCell ref="E8:F8"/>
    <mergeCell ref="C29:D29"/>
    <mergeCell ref="F23:G23"/>
    <mergeCell ref="C26:D26"/>
    <mergeCell ref="B12:D13"/>
    <mergeCell ref="C28:D28"/>
    <mergeCell ref="C52:J54"/>
    <mergeCell ref="B52:B54"/>
    <mergeCell ref="E9:J10"/>
    <mergeCell ref="B17:D24"/>
    <mergeCell ref="E25:J25"/>
    <mergeCell ref="F21:G21"/>
    <mergeCell ref="E14:F14"/>
    <mergeCell ref="F24:G24"/>
    <mergeCell ref="E15:J16"/>
    <mergeCell ref="L3:T24"/>
  </mergeCells>
  <dataValidations count="5">
    <dataValidation allowBlank="1" type="list" errorStyle="stop" showInputMessage="1" showErrorMessage="1" sqref="C27:D27">
      <formula1>"男,女,其他"</formula1>
    </dataValidation>
    <dataValidation allowBlank="1" type="list" errorStyle="stop" showInputMessage="1" showErrorMessage="1" sqref="H29">
      <formula1>數值參考!$C$3:$C$35</formula1>
    </dataValidation>
    <dataValidation allowBlank="1" type="list" errorStyle="stop" showInputMessage="1" showErrorMessage="1" sqref="E18:G18">
      <formula1>"Safe,Euclid,Keter,Thaumiel,Neutralized,Apollyon"</formula1>
    </dataValidation>
    <dataValidation allowBlank="1" type="list" errorStyle="stop" showInputMessage="1" showErrorMessage="1" sqref="D14">
      <formula1>"隐藏,可见"</formula1>
    </dataValidation>
    <dataValidation allowBlank="1" type="list" errorStyle="stop" showInputMessage="1" showErrorMessage="1" sqref="B15:D16">
      <formula1>"秩序-善,中立-善,混沌-善,秩序-中庸,中立-中庸,混沌-中庸,秩序-恶,中立-恶,混沌-恶,秩序-狂,中立-狂,混沌-狂"</formula1>
    </dataValidation>
  </dataValidations>
  <pageMargins left="0.699305555555556" right="0.699305555555556" top="0.75" bottom="0.75" header="0.3" footer="0.3"/>
  <legacyDrawing r:id="rId1"/>
</worksheet>
</file>

<file path=xl/worksheets/sheet4.xml><?xml version="1.0" encoding="utf-8"?>
<worksheet xmlns:r="http://schemas.openxmlformats.org/officeDocument/2006/relationships" xmlns="http://schemas.openxmlformats.org/spreadsheetml/2006/main">
  <dimension ref="B1:BS105"/>
  <sheetViews>
    <sheetView workbookViewId="0">
      <selection activeCell="B19" sqref="B19:S19"/>
    </sheetView>
  </sheetViews>
  <sheetFormatPr defaultRowHeight="14.1" defaultColWidth="10"/>
  <cols>
    <col min="1" max="1" customWidth="1" width="5.546875" style="378"/>
    <col min="2" max="19" customWidth="1" width="9.0" style="378"/>
    <col min="20" max="16384" customWidth="0" width="8.796875" style="378"/>
  </cols>
  <sheetData>
    <row r="1" spans="8:8" ht="14.85">
      <c r="B1" s="379" t="s">
        <v>142</v>
      </c>
    </row>
    <row r="2" spans="8:8">
      <c r="B2" s="380" t="s">
        <v>35</v>
      </c>
      <c r="C2" s="381"/>
      <c r="D2" s="382" t="s">
        <v>143</v>
      </c>
      <c r="E2" s="383"/>
      <c r="F2" s="383"/>
      <c r="G2" s="383"/>
      <c r="H2" s="383"/>
      <c r="I2" s="383"/>
      <c r="J2" s="382" t="s">
        <v>144</v>
      </c>
      <c r="K2" s="383"/>
      <c r="L2" s="383"/>
      <c r="M2" s="383"/>
      <c r="N2" s="383"/>
      <c r="O2" s="383"/>
      <c r="P2" s="383"/>
      <c r="Q2" s="383"/>
      <c r="R2" s="383"/>
      <c r="S2" s="384"/>
    </row>
    <row r="3" spans="8:8">
      <c r="B3" s="385" t="s">
        <v>46</v>
      </c>
      <c r="C3" s="386"/>
      <c r="D3" s="387" t="s">
        <v>145</v>
      </c>
      <c r="E3" s="387" t="s">
        <v>55</v>
      </c>
      <c r="F3" s="387" t="s">
        <v>56</v>
      </c>
      <c r="G3" s="387" t="s">
        <v>57</v>
      </c>
      <c r="H3" s="387" t="s">
        <v>58</v>
      </c>
      <c r="I3" s="387" t="s">
        <v>59</v>
      </c>
      <c r="J3" s="387" t="s">
        <v>146</v>
      </c>
      <c r="K3" s="388"/>
      <c r="L3" s="388"/>
      <c r="M3" s="388"/>
      <c r="N3" s="388"/>
      <c r="O3" s="388"/>
      <c r="P3" s="388"/>
      <c r="Q3" s="388"/>
      <c r="R3" s="388"/>
      <c r="S3" s="389"/>
    </row>
    <row r="4" spans="8:8">
      <c r="B4" s="390"/>
      <c r="C4" s="391"/>
      <c r="D4" s="387" t="s">
        <v>147</v>
      </c>
      <c r="E4" s="387">
        <v>20.0</v>
      </c>
      <c r="F4" s="387">
        <v>20.0</v>
      </c>
      <c r="G4" s="387">
        <v>20.0</v>
      </c>
      <c r="H4" s="387">
        <v>10.0</v>
      </c>
      <c r="I4" s="387">
        <v>0.0</v>
      </c>
      <c r="J4" s="392"/>
      <c r="K4" s="393"/>
      <c r="L4" s="393"/>
      <c r="M4" s="393"/>
      <c r="N4" s="393"/>
      <c r="O4" s="393"/>
      <c r="P4" s="393"/>
      <c r="Q4" s="393"/>
      <c r="R4" s="393"/>
      <c r="S4" s="394"/>
    </row>
    <row r="5" spans="8:8">
      <c r="B5" s="395" t="s">
        <v>148</v>
      </c>
      <c r="C5" s="396"/>
      <c r="D5" s="397" t="s">
        <v>145</v>
      </c>
      <c r="E5" s="397" t="s">
        <v>55</v>
      </c>
      <c r="F5" s="397" t="s">
        <v>56</v>
      </c>
      <c r="G5" s="397" t="s">
        <v>57</v>
      </c>
      <c r="H5" s="397" t="s">
        <v>58</v>
      </c>
      <c r="I5" s="397" t="s">
        <v>59</v>
      </c>
      <c r="J5" s="397" t="s">
        <v>146</v>
      </c>
      <c r="K5" s="398"/>
      <c r="L5" s="398"/>
      <c r="M5" s="398"/>
      <c r="N5" s="398"/>
      <c r="O5" s="398"/>
      <c r="P5" s="398"/>
      <c r="Q5" s="398"/>
      <c r="R5" s="398"/>
      <c r="S5" s="399"/>
    </row>
    <row r="6" spans="8:8">
      <c r="B6" s="395"/>
      <c r="C6" s="400"/>
      <c r="D6" s="387" t="s">
        <v>147</v>
      </c>
      <c r="E6" s="387">
        <v>15.0</v>
      </c>
      <c r="F6" s="387">
        <v>15.0</v>
      </c>
      <c r="G6" s="387">
        <v>30.0</v>
      </c>
      <c r="H6" s="387">
        <v>0.0</v>
      </c>
      <c r="I6" s="387">
        <v>0.0</v>
      </c>
      <c r="J6" s="387" t="s">
        <v>149</v>
      </c>
      <c r="K6" s="388"/>
      <c r="L6" s="388"/>
      <c r="M6" s="388"/>
      <c r="N6" s="388"/>
      <c r="O6" s="388"/>
      <c r="P6" s="388"/>
      <c r="Q6" s="388"/>
      <c r="R6" s="388"/>
      <c r="S6" s="389"/>
    </row>
    <row r="7" spans="8:8">
      <c r="B7" s="401" t="s">
        <v>150</v>
      </c>
      <c r="C7" s="402"/>
      <c r="D7" s="397" t="s">
        <v>145</v>
      </c>
      <c r="E7" s="397" t="s">
        <v>55</v>
      </c>
      <c r="F7" s="397" t="s">
        <v>56</v>
      </c>
      <c r="G7" s="397" t="s">
        <v>57</v>
      </c>
      <c r="H7" s="397" t="s">
        <v>58</v>
      </c>
      <c r="I7" s="397" t="s">
        <v>59</v>
      </c>
      <c r="J7" s="397" t="s">
        <v>151</v>
      </c>
      <c r="K7" s="398"/>
      <c r="L7" s="398"/>
      <c r="M7" s="398"/>
      <c r="N7" s="398"/>
      <c r="O7" s="398"/>
      <c r="P7" s="398"/>
      <c r="Q7" s="398"/>
      <c r="R7" s="398"/>
      <c r="S7" s="399"/>
    </row>
    <row r="8" spans="8:8">
      <c r="B8" s="390"/>
      <c r="C8" s="391"/>
      <c r="D8" s="387" t="s">
        <v>147</v>
      </c>
      <c r="E8" s="387">
        <v>15.0</v>
      </c>
      <c r="F8" s="387">
        <v>15.0</v>
      </c>
      <c r="G8" s="387">
        <v>20.0</v>
      </c>
      <c r="H8" s="387">
        <v>0.0</v>
      </c>
      <c r="I8" s="387">
        <v>0.0</v>
      </c>
      <c r="J8" s="403"/>
      <c r="K8" s="404"/>
      <c r="L8" s="404"/>
      <c r="M8" s="404"/>
      <c r="N8" s="404"/>
      <c r="O8" s="404"/>
      <c r="P8" s="404"/>
      <c r="Q8" s="404"/>
      <c r="R8" s="404"/>
      <c r="S8" s="405"/>
    </row>
    <row r="9" spans="8:8">
      <c r="B9" s="401" t="s">
        <v>152</v>
      </c>
      <c r="C9" s="402"/>
      <c r="D9" s="397" t="s">
        <v>145</v>
      </c>
      <c r="E9" s="397" t="s">
        <v>55</v>
      </c>
      <c r="F9" s="397" t="s">
        <v>56</v>
      </c>
      <c r="G9" s="397" t="s">
        <v>57</v>
      </c>
      <c r="H9" s="397" t="s">
        <v>58</v>
      </c>
      <c r="I9" s="397" t="s">
        <v>59</v>
      </c>
      <c r="J9" s="397" t="s">
        <v>153</v>
      </c>
      <c r="K9" s="398"/>
      <c r="L9" s="398"/>
      <c r="M9" s="398"/>
      <c r="N9" s="398"/>
      <c r="O9" s="398"/>
      <c r="P9" s="398"/>
      <c r="Q9" s="398"/>
      <c r="R9" s="398"/>
      <c r="S9" s="399"/>
    </row>
    <row r="10" spans="8:8">
      <c r="B10" s="390"/>
      <c r="C10" s="391"/>
      <c r="D10" s="387" t="s">
        <v>147</v>
      </c>
      <c r="E10" s="387">
        <v>10.0</v>
      </c>
      <c r="F10" s="387">
        <v>10.0</v>
      </c>
      <c r="G10" s="387">
        <v>10.0</v>
      </c>
      <c r="H10" s="387">
        <v>0.0</v>
      </c>
      <c r="I10" s="387">
        <v>0.0</v>
      </c>
      <c r="J10" s="403"/>
      <c r="K10" s="404"/>
      <c r="L10" s="404"/>
      <c r="M10" s="404"/>
      <c r="N10" s="404"/>
      <c r="O10" s="404"/>
      <c r="P10" s="404"/>
      <c r="Q10" s="404"/>
      <c r="R10" s="404"/>
      <c r="S10" s="405"/>
    </row>
    <row r="11" spans="8:8">
      <c r="B11" s="401" t="s">
        <v>154</v>
      </c>
      <c r="C11" s="402"/>
      <c r="D11" s="397" t="s">
        <v>145</v>
      </c>
      <c r="E11" s="397" t="s">
        <v>55</v>
      </c>
      <c r="F11" s="397" t="s">
        <v>56</v>
      </c>
      <c r="G11" s="397" t="s">
        <v>57</v>
      </c>
      <c r="H11" s="397" t="s">
        <v>58</v>
      </c>
      <c r="I11" s="397" t="s">
        <v>59</v>
      </c>
      <c r="J11" s="397" t="s">
        <v>155</v>
      </c>
      <c r="K11" s="398"/>
      <c r="L11" s="398"/>
      <c r="M11" s="398"/>
      <c r="N11" s="398"/>
      <c r="O11" s="398"/>
      <c r="P11" s="398"/>
      <c r="Q11" s="398"/>
      <c r="R11" s="398"/>
      <c r="S11" s="399"/>
    </row>
    <row r="12" spans="8:8">
      <c r="B12" s="390"/>
      <c r="C12" s="391"/>
      <c r="D12" s="387" t="s">
        <v>147</v>
      </c>
      <c r="E12" s="387">
        <v>0.0</v>
      </c>
      <c r="F12" s="387">
        <v>0.0</v>
      </c>
      <c r="G12" s="387">
        <v>0.0</v>
      </c>
      <c r="H12" s="387">
        <v>30.0</v>
      </c>
      <c r="I12" s="387">
        <v>0.0</v>
      </c>
      <c r="J12" s="406"/>
      <c r="K12" s="388"/>
      <c r="L12" s="388"/>
      <c r="M12" s="388"/>
      <c r="N12" s="388"/>
      <c r="O12" s="388"/>
      <c r="P12" s="388"/>
      <c r="Q12" s="388"/>
      <c r="R12" s="388"/>
      <c r="S12" s="389"/>
    </row>
    <row r="13" spans="8:8">
      <c r="B13" s="401" t="s">
        <v>156</v>
      </c>
      <c r="C13" s="402"/>
      <c r="D13" s="397" t="s">
        <v>145</v>
      </c>
      <c r="E13" s="397" t="s">
        <v>55</v>
      </c>
      <c r="F13" s="397" t="s">
        <v>56</v>
      </c>
      <c r="G13" s="397" t="s">
        <v>57</v>
      </c>
      <c r="H13" s="397" t="s">
        <v>58</v>
      </c>
      <c r="I13" s="397" t="s">
        <v>59</v>
      </c>
      <c r="J13" s="387" t="s">
        <v>157</v>
      </c>
      <c r="K13" s="388"/>
      <c r="L13" s="388"/>
      <c r="M13" s="388"/>
      <c r="N13" s="388"/>
      <c r="O13" s="388"/>
      <c r="P13" s="388"/>
      <c r="Q13" s="388"/>
      <c r="R13" s="388"/>
      <c r="S13" s="389"/>
    </row>
    <row r="14" spans="8:8">
      <c r="B14" s="390"/>
      <c r="C14" s="391"/>
      <c r="D14" s="387" t="s">
        <v>147</v>
      </c>
      <c r="E14" s="387">
        <v>0.0</v>
      </c>
      <c r="F14" s="387">
        <v>0.0</v>
      </c>
      <c r="G14" s="387">
        <v>30.0</v>
      </c>
      <c r="H14" s="387">
        <v>0.0</v>
      </c>
      <c r="I14" s="387">
        <v>0.0</v>
      </c>
      <c r="J14" s="403"/>
      <c r="K14" s="404"/>
      <c r="L14" s="404"/>
      <c r="M14" s="404"/>
      <c r="N14" s="404"/>
      <c r="O14" s="404"/>
      <c r="P14" s="404"/>
      <c r="Q14" s="404"/>
      <c r="R14" s="404"/>
      <c r="S14" s="405"/>
    </row>
    <row r="15" spans="8:8">
      <c r="B15" s="401" t="s">
        <v>158</v>
      </c>
      <c r="C15" s="402"/>
      <c r="D15" s="397" t="s">
        <v>145</v>
      </c>
      <c r="E15" s="397" t="s">
        <v>55</v>
      </c>
      <c r="F15" s="397" t="s">
        <v>56</v>
      </c>
      <c r="G15" s="397" t="s">
        <v>57</v>
      </c>
      <c r="H15" s="397" t="s">
        <v>58</v>
      </c>
      <c r="I15" s="397" t="s">
        <v>59</v>
      </c>
      <c r="J15" s="397" t="s">
        <v>159</v>
      </c>
      <c r="K15" s="398"/>
      <c r="L15" s="398"/>
      <c r="M15" s="398"/>
      <c r="N15" s="398"/>
      <c r="O15" s="398"/>
      <c r="P15" s="398"/>
      <c r="Q15" s="398"/>
      <c r="R15" s="398"/>
      <c r="S15" s="399"/>
    </row>
    <row r="16" spans="8:8">
      <c r="B16" s="390"/>
      <c r="C16" s="391"/>
      <c r="D16" s="387" t="s">
        <v>147</v>
      </c>
      <c r="E16" s="387">
        <v>15.0</v>
      </c>
      <c r="F16" s="387">
        <v>15.0</v>
      </c>
      <c r="G16" s="387">
        <v>0.0</v>
      </c>
      <c r="H16" s="387">
        <v>0.0</v>
      </c>
      <c r="I16" s="387">
        <v>0.0</v>
      </c>
      <c r="J16" s="406" t="s">
        <v>160</v>
      </c>
      <c r="K16" s="388"/>
      <c r="L16" s="388"/>
      <c r="M16" s="388"/>
      <c r="N16" s="388"/>
      <c r="O16" s="388"/>
      <c r="P16" s="388"/>
      <c r="Q16" s="388"/>
      <c r="R16" s="388"/>
      <c r="S16" s="389"/>
    </row>
    <row r="17" spans="8:8" ht="14.85">
      <c r="B17" s="407"/>
      <c r="C17" s="408"/>
      <c r="D17" s="409"/>
      <c r="E17" s="410"/>
      <c r="F17" s="410"/>
      <c r="G17" s="410"/>
      <c r="H17" s="410"/>
      <c r="I17" s="411"/>
      <c r="J17" s="412" t="s">
        <v>161</v>
      </c>
      <c r="K17" s="413"/>
      <c r="L17" s="413"/>
      <c r="M17" s="413"/>
      <c r="N17" s="413"/>
      <c r="O17" s="413"/>
      <c r="P17" s="413"/>
      <c r="Q17" s="413"/>
      <c r="R17" s="413"/>
      <c r="S17" s="414"/>
    </row>
    <row r="19" spans="8:8">
      <c r="B19" s="415" t="s">
        <v>162</v>
      </c>
      <c r="C19" s="416"/>
      <c r="D19" s="416"/>
      <c r="E19" s="416"/>
      <c r="F19" s="416"/>
      <c r="G19" s="416"/>
      <c r="H19" s="416"/>
      <c r="I19" s="416"/>
      <c r="J19" s="416"/>
      <c r="K19" s="416"/>
      <c r="L19" s="416"/>
      <c r="M19" s="416"/>
      <c r="N19" s="416"/>
      <c r="O19" s="416"/>
      <c r="P19" s="416"/>
      <c r="Q19" s="416"/>
      <c r="R19" s="416"/>
      <c r="S19" s="417"/>
    </row>
    <row r="20" spans="8:8">
      <c r="B20" s="418" t="s">
        <v>163</v>
      </c>
      <c r="C20" s="419"/>
      <c r="D20" s="419"/>
      <c r="E20" s="419"/>
      <c r="F20" s="419"/>
      <c r="G20" s="419"/>
      <c r="H20" s="419"/>
      <c r="I20" s="419"/>
      <c r="J20" s="419"/>
      <c r="K20" s="419"/>
      <c r="L20" s="419"/>
      <c r="M20" s="419"/>
      <c r="N20" s="419"/>
      <c r="O20" s="419"/>
      <c r="P20" s="419"/>
      <c r="Q20" s="419"/>
      <c r="R20" s="419"/>
      <c r="S20" s="419"/>
    </row>
    <row r="21" spans="8:8">
      <c r="B21" s="420" t="s">
        <v>164</v>
      </c>
      <c r="C21" s="421"/>
      <c r="D21" s="421"/>
      <c r="E21" s="421"/>
      <c r="F21" s="421"/>
      <c r="G21" s="421"/>
      <c r="H21" s="421"/>
      <c r="I21" s="421"/>
      <c r="J21" s="421"/>
      <c r="K21" s="421" t="s">
        <v>164</v>
      </c>
      <c r="L21" s="421"/>
      <c r="M21" s="421"/>
      <c r="N21" s="421"/>
      <c r="O21" s="421"/>
      <c r="P21" s="421"/>
      <c r="Q21" s="421"/>
      <c r="R21" s="421"/>
      <c r="S21" s="422"/>
    </row>
    <row r="22" spans="8:8" ht="15.4">
      <c r="B22" s="423" t="s">
        <v>165</v>
      </c>
      <c r="C22" s="424" t="s">
        <v>166</v>
      </c>
      <c r="D22" s="424"/>
      <c r="E22" s="425" t="s">
        <v>167</v>
      </c>
      <c r="F22" s="424" t="s">
        <v>164</v>
      </c>
      <c r="G22" s="424"/>
      <c r="H22" s="426" t="s">
        <v>168</v>
      </c>
      <c r="I22" s="427" t="s">
        <v>169</v>
      </c>
      <c r="J22" s="427"/>
      <c r="K22" s="425" t="s">
        <v>165</v>
      </c>
      <c r="L22" s="424" t="s">
        <v>170</v>
      </c>
      <c r="M22" s="424"/>
      <c r="N22" s="425" t="s">
        <v>167</v>
      </c>
      <c r="O22" s="424" t="s">
        <v>164</v>
      </c>
      <c r="P22" s="424"/>
      <c r="Q22" s="426" t="s">
        <v>168</v>
      </c>
      <c r="R22" s="427" t="s">
        <v>169</v>
      </c>
      <c r="S22" s="428"/>
    </row>
    <row r="23" spans="8:8">
      <c r="B23" s="423" t="s">
        <v>138</v>
      </c>
      <c r="C23" s="427" t="s">
        <v>171</v>
      </c>
      <c r="D23" s="427"/>
      <c r="E23" s="427"/>
      <c r="F23" s="427"/>
      <c r="G23" s="427"/>
      <c r="H23" s="427"/>
      <c r="I23" s="427"/>
      <c r="J23" s="427"/>
      <c r="K23" s="425" t="s">
        <v>138</v>
      </c>
      <c r="L23" s="429" t="s">
        <v>172</v>
      </c>
      <c r="M23" s="429"/>
      <c r="N23" s="429"/>
      <c r="O23" s="429"/>
      <c r="P23" s="429"/>
      <c r="Q23" s="429"/>
      <c r="R23" s="429"/>
      <c r="S23" s="430"/>
    </row>
    <row r="24" spans="8:8">
      <c r="B24" s="423"/>
      <c r="C24" s="427"/>
      <c r="D24" s="427"/>
      <c r="E24" s="427"/>
      <c r="F24" s="427"/>
      <c r="G24" s="427"/>
      <c r="H24" s="427"/>
      <c r="I24" s="427"/>
      <c r="J24" s="427"/>
      <c r="K24" s="425"/>
      <c r="L24" s="429"/>
      <c r="M24" s="429"/>
      <c r="N24" s="429"/>
      <c r="O24" s="429"/>
      <c r="P24" s="429"/>
      <c r="Q24" s="429"/>
      <c r="R24" s="429"/>
      <c r="S24" s="430"/>
    </row>
    <row r="25" spans="8:8" ht="15.4">
      <c r="B25" s="423" t="s">
        <v>173</v>
      </c>
      <c r="C25" s="427" t="s">
        <v>174</v>
      </c>
      <c r="D25" s="427"/>
      <c r="E25" s="427"/>
      <c r="F25" s="427"/>
      <c r="G25" s="427"/>
      <c r="H25" s="427"/>
      <c r="I25" s="427"/>
      <c r="J25" s="427"/>
      <c r="K25" s="425"/>
      <c r="L25" s="429"/>
      <c r="M25" s="429"/>
      <c r="N25" s="429"/>
      <c r="O25" s="429"/>
      <c r="P25" s="429"/>
      <c r="Q25" s="429"/>
      <c r="R25" s="429"/>
      <c r="S25" s="430"/>
    </row>
    <row r="26" spans="8:8" ht="15.4">
      <c r="B26" s="423" t="s">
        <v>165</v>
      </c>
      <c r="C26" s="424" t="s">
        <v>175</v>
      </c>
      <c r="D26" s="424"/>
      <c r="E26" s="425" t="s">
        <v>167</v>
      </c>
      <c r="F26" s="424" t="s">
        <v>164</v>
      </c>
      <c r="G26" s="424"/>
      <c r="H26" s="426" t="s">
        <v>168</v>
      </c>
      <c r="I26" s="427" t="s">
        <v>176</v>
      </c>
      <c r="J26" s="427"/>
      <c r="K26" s="425"/>
      <c r="L26" s="429"/>
      <c r="M26" s="429"/>
      <c r="N26" s="429"/>
      <c r="O26" s="429"/>
      <c r="P26" s="429"/>
      <c r="Q26" s="429"/>
      <c r="R26" s="429"/>
      <c r="S26" s="430"/>
    </row>
    <row r="27" spans="8:8" ht="15.4">
      <c r="B27" s="423" t="s">
        <v>138</v>
      </c>
      <c r="C27" s="427" t="s">
        <v>177</v>
      </c>
      <c r="D27" s="427"/>
      <c r="E27" s="427"/>
      <c r="F27" s="427"/>
      <c r="G27" s="427"/>
      <c r="H27" s="427"/>
      <c r="I27" s="427"/>
      <c r="J27" s="427"/>
      <c r="K27" s="425" t="s">
        <v>165</v>
      </c>
      <c r="L27" s="424" t="s">
        <v>178</v>
      </c>
      <c r="M27" s="424"/>
      <c r="N27" s="425" t="s">
        <v>167</v>
      </c>
      <c r="O27" s="424" t="s">
        <v>164</v>
      </c>
      <c r="P27" s="424"/>
      <c r="Q27" s="426" t="s">
        <v>168</v>
      </c>
      <c r="R27" s="427" t="s">
        <v>179</v>
      </c>
      <c r="S27" s="428"/>
    </row>
    <row r="28" spans="8:8">
      <c r="B28" s="423"/>
      <c r="C28" s="427"/>
      <c r="D28" s="427"/>
      <c r="E28" s="427"/>
      <c r="F28" s="427"/>
      <c r="G28" s="427"/>
      <c r="H28" s="427"/>
      <c r="I28" s="427"/>
      <c r="J28" s="427"/>
      <c r="K28" s="425" t="s">
        <v>138</v>
      </c>
      <c r="L28" s="429" t="s">
        <v>180</v>
      </c>
      <c r="M28" s="427"/>
      <c r="N28" s="427"/>
      <c r="O28" s="427"/>
      <c r="P28" s="427"/>
      <c r="Q28" s="427"/>
      <c r="R28" s="427"/>
      <c r="S28" s="428"/>
    </row>
    <row r="29" spans="8:8" ht="15.4">
      <c r="B29" s="423" t="s">
        <v>173</v>
      </c>
      <c r="C29" s="427" t="s">
        <v>181</v>
      </c>
      <c r="D29" s="427"/>
      <c r="E29" s="427"/>
      <c r="F29" s="427"/>
      <c r="G29" s="427"/>
      <c r="H29" s="427"/>
      <c r="I29" s="427"/>
      <c r="J29" s="427"/>
      <c r="K29" s="425"/>
      <c r="L29" s="427"/>
      <c r="M29" s="427"/>
      <c r="N29" s="427"/>
      <c r="O29" s="427"/>
      <c r="P29" s="427"/>
      <c r="Q29" s="427"/>
      <c r="R29" s="427"/>
      <c r="S29" s="428"/>
    </row>
    <row r="30" spans="8:8" ht="15.4">
      <c r="B30" s="423" t="s">
        <v>165</v>
      </c>
      <c r="C30" s="424" t="s">
        <v>182</v>
      </c>
      <c r="D30" s="424"/>
      <c r="E30" s="425" t="s">
        <v>167</v>
      </c>
      <c r="F30" s="424" t="s">
        <v>164</v>
      </c>
      <c r="G30" s="424"/>
      <c r="H30" s="426" t="s">
        <v>168</v>
      </c>
      <c r="I30" s="427" t="s">
        <v>183</v>
      </c>
      <c r="J30" s="427"/>
      <c r="K30" s="425"/>
      <c r="L30" s="427"/>
      <c r="M30" s="427"/>
      <c r="N30" s="427"/>
      <c r="O30" s="427"/>
      <c r="P30" s="427"/>
      <c r="Q30" s="427"/>
      <c r="R30" s="427"/>
      <c r="S30" s="428"/>
    </row>
    <row r="31" spans="8:8">
      <c r="B31" s="423" t="s">
        <v>138</v>
      </c>
      <c r="C31" s="427" t="s">
        <v>184</v>
      </c>
      <c r="D31" s="427"/>
      <c r="E31" s="427"/>
      <c r="F31" s="427"/>
      <c r="G31" s="427"/>
      <c r="H31" s="427"/>
      <c r="I31" s="427"/>
      <c r="J31" s="427"/>
      <c r="K31" s="425"/>
      <c r="L31" s="427"/>
      <c r="M31" s="427"/>
      <c r="N31" s="427"/>
      <c r="O31" s="427"/>
      <c r="P31" s="427"/>
      <c r="Q31" s="427"/>
      <c r="R31" s="427"/>
      <c r="S31" s="428"/>
    </row>
    <row r="32" spans="8:8">
      <c r="B32" s="423"/>
      <c r="C32" s="427"/>
      <c r="D32" s="427"/>
      <c r="E32" s="427"/>
      <c r="F32" s="427"/>
      <c r="G32" s="427"/>
      <c r="H32" s="427"/>
      <c r="I32" s="427"/>
      <c r="J32" s="427"/>
      <c r="K32" s="431" t="s">
        <v>185</v>
      </c>
      <c r="L32" s="431"/>
      <c r="M32" s="431"/>
      <c r="N32" s="431"/>
      <c r="O32" s="431"/>
      <c r="P32" s="431"/>
      <c r="Q32" s="431"/>
      <c r="R32" s="431"/>
      <c r="S32" s="432"/>
    </row>
    <row r="33" spans="8:8" ht="15.4">
      <c r="B33" s="423" t="s">
        <v>173</v>
      </c>
      <c r="C33" s="427" t="s">
        <v>186</v>
      </c>
      <c r="D33" s="427"/>
      <c r="E33" s="427"/>
      <c r="F33" s="427"/>
      <c r="G33" s="427"/>
      <c r="H33" s="427"/>
      <c r="I33" s="427"/>
      <c r="J33" s="427"/>
      <c r="K33" s="425" t="s">
        <v>165</v>
      </c>
      <c r="L33" s="424" t="s">
        <v>187</v>
      </c>
      <c r="M33" s="424"/>
      <c r="N33" s="425" t="s">
        <v>167</v>
      </c>
      <c r="O33" s="424" t="s">
        <v>185</v>
      </c>
      <c r="P33" s="424"/>
      <c r="Q33" s="426" t="s">
        <v>168</v>
      </c>
      <c r="R33" s="427" t="s">
        <v>188</v>
      </c>
      <c r="S33" s="428"/>
    </row>
    <row r="34" spans="8:8">
      <c r="B34" s="433" t="s">
        <v>185</v>
      </c>
      <c r="C34" s="431"/>
      <c r="D34" s="431"/>
      <c r="E34" s="431"/>
      <c r="F34" s="431"/>
      <c r="G34" s="431"/>
      <c r="H34" s="431"/>
      <c r="I34" s="431"/>
      <c r="J34" s="431"/>
      <c r="K34" s="425" t="s">
        <v>138</v>
      </c>
      <c r="L34" s="427" t="s">
        <v>189</v>
      </c>
      <c r="M34" s="427"/>
      <c r="N34" s="427"/>
      <c r="O34" s="427"/>
      <c r="P34" s="427"/>
      <c r="Q34" s="427"/>
      <c r="R34" s="427"/>
      <c r="S34" s="428"/>
    </row>
    <row r="35" spans="8:8" ht="15.4">
      <c r="B35" s="423" t="s">
        <v>165</v>
      </c>
      <c r="C35" s="424" t="s">
        <v>190</v>
      </c>
      <c r="D35" s="424"/>
      <c r="E35" s="425" t="s">
        <v>167</v>
      </c>
      <c r="F35" s="424" t="s">
        <v>185</v>
      </c>
      <c r="G35" s="424"/>
      <c r="H35" s="426" t="s">
        <v>168</v>
      </c>
      <c r="I35" s="427" t="s">
        <v>183</v>
      </c>
      <c r="J35" s="427"/>
      <c r="K35" s="425"/>
      <c r="L35" s="427"/>
      <c r="M35" s="427"/>
      <c r="N35" s="427"/>
      <c r="O35" s="427"/>
      <c r="P35" s="427"/>
      <c r="Q35" s="427"/>
      <c r="R35" s="427"/>
      <c r="S35" s="428"/>
    </row>
    <row r="36" spans="8:8" ht="15.4">
      <c r="B36" s="423" t="s">
        <v>138</v>
      </c>
      <c r="C36" s="427" t="s">
        <v>191</v>
      </c>
      <c r="D36" s="427"/>
      <c r="E36" s="427"/>
      <c r="F36" s="427"/>
      <c r="G36" s="427"/>
      <c r="H36" s="427"/>
      <c r="I36" s="427"/>
      <c r="J36" s="427"/>
      <c r="K36" s="425" t="s">
        <v>165</v>
      </c>
      <c r="L36" s="424" t="s">
        <v>192</v>
      </c>
      <c r="M36" s="424"/>
      <c r="N36" s="425" t="s">
        <v>167</v>
      </c>
      <c r="O36" s="424" t="s">
        <v>185</v>
      </c>
      <c r="P36" s="424"/>
      <c r="Q36" s="426" t="s">
        <v>168</v>
      </c>
      <c r="R36" s="427" t="s">
        <v>81</v>
      </c>
      <c r="S36" s="428"/>
    </row>
    <row r="37" spans="8:8">
      <c r="B37" s="423"/>
      <c r="C37" s="427"/>
      <c r="D37" s="427"/>
      <c r="E37" s="427"/>
      <c r="F37" s="427"/>
      <c r="G37" s="427"/>
      <c r="H37" s="427"/>
      <c r="I37" s="427"/>
      <c r="J37" s="427"/>
      <c r="K37" s="425" t="s">
        <v>138</v>
      </c>
      <c r="L37" s="429" t="s">
        <v>193</v>
      </c>
      <c r="M37" s="427"/>
      <c r="N37" s="427"/>
      <c r="O37" s="427"/>
      <c r="P37" s="427"/>
      <c r="Q37" s="427"/>
      <c r="R37" s="427"/>
      <c r="S37" s="428"/>
    </row>
    <row r="38" spans="8:8" ht="15.4">
      <c r="B38" s="423" t="s">
        <v>173</v>
      </c>
      <c r="C38" s="427" t="s">
        <v>194</v>
      </c>
      <c r="D38" s="427"/>
      <c r="E38" s="427"/>
      <c r="F38" s="427"/>
      <c r="G38" s="427"/>
      <c r="H38" s="427"/>
      <c r="I38" s="427"/>
      <c r="J38" s="427"/>
      <c r="K38" s="425"/>
      <c r="L38" s="427"/>
      <c r="M38" s="427"/>
      <c r="N38" s="427"/>
      <c r="O38" s="427"/>
      <c r="P38" s="427"/>
      <c r="Q38" s="427"/>
      <c r="R38" s="427"/>
      <c r="S38" s="428"/>
    </row>
    <row r="39" spans="8:8" ht="15.4">
      <c r="B39" s="423" t="s">
        <v>165</v>
      </c>
      <c r="C39" s="424" t="s">
        <v>195</v>
      </c>
      <c r="D39" s="424"/>
      <c r="E39" s="425" t="s">
        <v>167</v>
      </c>
      <c r="F39" s="424" t="s">
        <v>185</v>
      </c>
      <c r="G39" s="424"/>
      <c r="H39" s="426" t="s">
        <v>168</v>
      </c>
      <c r="I39" s="427" t="s">
        <v>81</v>
      </c>
      <c r="J39" s="427"/>
      <c r="K39" s="425"/>
      <c r="L39" s="427"/>
      <c r="M39" s="427"/>
      <c r="N39" s="427"/>
      <c r="O39" s="427"/>
      <c r="P39" s="427"/>
      <c r="Q39" s="427"/>
      <c r="R39" s="427"/>
      <c r="S39" s="428"/>
    </row>
    <row r="40" spans="8:8">
      <c r="B40" s="423" t="s">
        <v>138</v>
      </c>
      <c r="C40" s="429" t="s">
        <v>196</v>
      </c>
      <c r="D40" s="427"/>
      <c r="E40" s="427"/>
      <c r="F40" s="427"/>
      <c r="G40" s="427"/>
      <c r="H40" s="427"/>
      <c r="I40" s="427"/>
      <c r="J40" s="427"/>
      <c r="K40" s="425"/>
      <c r="L40" s="427"/>
      <c r="M40" s="427"/>
      <c r="N40" s="427"/>
      <c r="O40" s="427"/>
      <c r="P40" s="427"/>
      <c r="Q40" s="427"/>
      <c r="R40" s="427"/>
      <c r="S40" s="428"/>
    </row>
    <row r="41" spans="8:8" ht="15.4">
      <c r="B41" s="423"/>
      <c r="C41" s="427"/>
      <c r="D41" s="427"/>
      <c r="E41" s="427"/>
      <c r="F41" s="427"/>
      <c r="G41" s="427"/>
      <c r="H41" s="427"/>
      <c r="I41" s="427"/>
      <c r="J41" s="427"/>
      <c r="K41" s="425" t="s">
        <v>173</v>
      </c>
      <c r="L41" s="427" t="s">
        <v>197</v>
      </c>
      <c r="M41" s="427"/>
      <c r="N41" s="427"/>
      <c r="O41" s="427"/>
      <c r="P41" s="427"/>
      <c r="Q41" s="427"/>
      <c r="R41" s="427"/>
      <c r="S41" s="428"/>
    </row>
    <row r="42" spans="8:8" ht="15.4">
      <c r="B42" s="423" t="s">
        <v>173</v>
      </c>
      <c r="C42" s="427" t="s">
        <v>194</v>
      </c>
      <c r="D42" s="427"/>
      <c r="E42" s="427"/>
      <c r="F42" s="427"/>
      <c r="G42" s="427"/>
      <c r="H42" s="427"/>
      <c r="I42" s="427"/>
      <c r="J42" s="427"/>
      <c r="K42" s="425" t="s">
        <v>165</v>
      </c>
      <c r="L42" s="424" t="s">
        <v>198</v>
      </c>
      <c r="M42" s="424"/>
      <c r="N42" s="425" t="s">
        <v>167</v>
      </c>
      <c r="O42" s="424" t="s">
        <v>185</v>
      </c>
      <c r="P42" s="424"/>
      <c r="Q42" s="426" t="s">
        <v>168</v>
      </c>
      <c r="R42" s="427" t="s">
        <v>199</v>
      </c>
      <c r="S42" s="428"/>
    </row>
    <row r="43" spans="8:8" ht="15.4">
      <c r="B43" s="423" t="s">
        <v>165</v>
      </c>
      <c r="C43" s="424" t="s">
        <v>200</v>
      </c>
      <c r="D43" s="424"/>
      <c r="E43" s="425" t="s">
        <v>167</v>
      </c>
      <c r="F43" s="424" t="s">
        <v>185</v>
      </c>
      <c r="G43" s="424"/>
      <c r="H43" s="426" t="s">
        <v>168</v>
      </c>
      <c r="I43" s="427"/>
      <c r="J43" s="427"/>
      <c r="K43" s="425" t="s">
        <v>138</v>
      </c>
      <c r="L43" s="429" t="s">
        <v>201</v>
      </c>
      <c r="M43" s="427"/>
      <c r="N43" s="427"/>
      <c r="O43" s="427"/>
      <c r="P43" s="427"/>
      <c r="Q43" s="427"/>
      <c r="R43" s="427"/>
      <c r="S43" s="428"/>
    </row>
    <row r="44" spans="8:8">
      <c r="B44" s="423" t="s">
        <v>138</v>
      </c>
      <c r="C44" s="429" t="s">
        <v>202</v>
      </c>
      <c r="D44" s="427"/>
      <c r="E44" s="427"/>
      <c r="F44" s="427"/>
      <c r="G44" s="427"/>
      <c r="H44" s="427"/>
      <c r="I44" s="427"/>
      <c r="J44" s="427"/>
      <c r="K44" s="425"/>
      <c r="L44" s="427"/>
      <c r="M44" s="427"/>
      <c r="N44" s="427"/>
      <c r="O44" s="427"/>
      <c r="P44" s="427"/>
      <c r="Q44" s="427"/>
      <c r="R44" s="427"/>
      <c r="S44" s="428"/>
    </row>
    <row r="45" spans="8:8">
      <c r="B45" s="423"/>
      <c r="C45" s="427"/>
      <c r="D45" s="427"/>
      <c r="E45" s="427"/>
      <c r="F45" s="427"/>
      <c r="G45" s="427"/>
      <c r="H45" s="427"/>
      <c r="I45" s="427"/>
      <c r="J45" s="427"/>
      <c r="K45" s="425"/>
      <c r="L45" s="427"/>
      <c r="M45" s="427"/>
      <c r="N45" s="427"/>
      <c r="O45" s="427"/>
      <c r="P45" s="427"/>
      <c r="Q45" s="427"/>
      <c r="R45" s="427"/>
      <c r="S45" s="428"/>
    </row>
    <row r="46" spans="8:8">
      <c r="B46" s="423"/>
      <c r="C46" s="427"/>
      <c r="D46" s="427"/>
      <c r="E46" s="427"/>
      <c r="F46" s="427"/>
      <c r="G46" s="427"/>
      <c r="H46" s="427"/>
      <c r="I46" s="427"/>
      <c r="J46" s="427"/>
      <c r="K46" s="425"/>
      <c r="L46" s="427"/>
      <c r="M46" s="427"/>
      <c r="N46" s="427"/>
      <c r="O46" s="427"/>
      <c r="P46" s="427"/>
      <c r="Q46" s="427"/>
      <c r="R46" s="427"/>
      <c r="S46" s="428"/>
    </row>
    <row r="47" spans="8:8" ht="15.4">
      <c r="B47" s="423"/>
      <c r="C47" s="427"/>
      <c r="D47" s="427"/>
      <c r="E47" s="427"/>
      <c r="F47" s="427"/>
      <c r="G47" s="427"/>
      <c r="H47" s="427"/>
      <c r="I47" s="427"/>
      <c r="J47" s="427"/>
      <c r="K47" s="425" t="s">
        <v>165</v>
      </c>
      <c r="L47" s="424" t="s">
        <v>203</v>
      </c>
      <c r="M47" s="424"/>
      <c r="N47" s="425" t="s">
        <v>167</v>
      </c>
      <c r="O47" s="424" t="s">
        <v>185</v>
      </c>
      <c r="P47" s="424"/>
      <c r="Q47" s="426" t="s">
        <v>168</v>
      </c>
      <c r="R47" s="427" t="s">
        <v>188</v>
      </c>
      <c r="S47" s="428"/>
    </row>
    <row r="48" spans="8:8" ht="15.4">
      <c r="B48" s="423" t="s">
        <v>173</v>
      </c>
      <c r="C48" s="427" t="s">
        <v>204</v>
      </c>
      <c r="D48" s="427"/>
      <c r="E48" s="427"/>
      <c r="F48" s="427"/>
      <c r="G48" s="427"/>
      <c r="H48" s="427"/>
      <c r="I48" s="427"/>
      <c r="J48" s="427"/>
      <c r="K48" s="425" t="s">
        <v>138</v>
      </c>
      <c r="L48" s="429" t="s">
        <v>205</v>
      </c>
      <c r="M48" s="429"/>
      <c r="N48" s="429"/>
      <c r="O48" s="429"/>
      <c r="P48" s="429"/>
      <c r="Q48" s="429"/>
      <c r="R48" s="429"/>
      <c r="S48" s="430"/>
    </row>
    <row r="49" spans="8:8" ht="15.4">
      <c r="B49" s="423" t="s">
        <v>173</v>
      </c>
      <c r="C49" s="427" t="s">
        <v>206</v>
      </c>
      <c r="D49" s="427"/>
      <c r="E49" s="427"/>
      <c r="F49" s="427"/>
      <c r="G49" s="427"/>
      <c r="H49" s="427"/>
      <c r="I49" s="427"/>
      <c r="J49" s="427"/>
      <c r="K49" s="425"/>
      <c r="L49" s="429"/>
      <c r="M49" s="429"/>
      <c r="N49" s="429"/>
      <c r="O49" s="429"/>
      <c r="P49" s="429"/>
      <c r="Q49" s="429"/>
      <c r="R49" s="429"/>
      <c r="S49" s="430"/>
    </row>
    <row r="50" spans="8:8" ht="15.4">
      <c r="B50" s="423" t="s">
        <v>173</v>
      </c>
      <c r="C50" s="427" t="s">
        <v>207</v>
      </c>
      <c r="D50" s="427"/>
      <c r="E50" s="427"/>
      <c r="F50" s="427"/>
      <c r="G50" s="427"/>
      <c r="H50" s="427"/>
      <c r="I50" s="427"/>
      <c r="J50" s="427"/>
      <c r="K50" s="425" t="s">
        <v>165</v>
      </c>
      <c r="L50" s="424" t="s">
        <v>208</v>
      </c>
      <c r="M50" s="424"/>
      <c r="N50" s="425" t="s">
        <v>167</v>
      </c>
      <c r="O50" s="424" t="s">
        <v>185</v>
      </c>
      <c r="P50" s="424"/>
      <c r="Q50" s="426" t="s">
        <v>168</v>
      </c>
      <c r="R50" s="427" t="s">
        <v>209</v>
      </c>
      <c r="S50" s="428"/>
    </row>
    <row r="51" spans="8:8">
      <c r="B51" s="423" t="s">
        <v>173</v>
      </c>
      <c r="C51" s="429" t="s">
        <v>210</v>
      </c>
      <c r="D51" s="429"/>
      <c r="E51" s="429"/>
      <c r="F51" s="429"/>
      <c r="G51" s="429"/>
      <c r="H51" s="429"/>
      <c r="I51" s="429"/>
      <c r="J51" s="429"/>
      <c r="K51" s="425" t="s">
        <v>138</v>
      </c>
      <c r="L51" s="429" t="s">
        <v>211</v>
      </c>
      <c r="M51" s="427"/>
      <c r="N51" s="427"/>
      <c r="O51" s="427"/>
      <c r="P51" s="427"/>
      <c r="Q51" s="427"/>
      <c r="R51" s="427"/>
      <c r="S51" s="428"/>
    </row>
    <row r="52" spans="8:8">
      <c r="B52" s="423"/>
      <c r="C52" s="429"/>
      <c r="D52" s="429"/>
      <c r="E52" s="429"/>
      <c r="F52" s="429"/>
      <c r="G52" s="429"/>
      <c r="H52" s="429"/>
      <c r="I52" s="429"/>
      <c r="J52" s="429"/>
      <c r="K52" s="425"/>
      <c r="L52" s="427"/>
      <c r="M52" s="427"/>
      <c r="N52" s="427"/>
      <c r="O52" s="427"/>
      <c r="P52" s="427"/>
      <c r="Q52" s="427"/>
      <c r="R52" s="427"/>
      <c r="S52" s="428"/>
    </row>
    <row r="53" spans="8:8">
      <c r="B53" s="433" t="s">
        <v>212</v>
      </c>
      <c r="C53" s="431"/>
      <c r="D53" s="431"/>
      <c r="E53" s="431"/>
      <c r="F53" s="431"/>
      <c r="G53" s="431"/>
      <c r="H53" s="431"/>
      <c r="I53" s="431"/>
      <c r="J53" s="431"/>
      <c r="K53" s="425"/>
      <c r="L53" s="427"/>
      <c r="M53" s="427"/>
      <c r="N53" s="427"/>
      <c r="O53" s="427"/>
      <c r="P53" s="427"/>
      <c r="Q53" s="427"/>
      <c r="R53" s="427"/>
      <c r="S53" s="428"/>
    </row>
    <row r="54" spans="8:8" ht="15.4">
      <c r="B54" s="423" t="s">
        <v>165</v>
      </c>
      <c r="C54" s="424" t="s">
        <v>213</v>
      </c>
      <c r="D54" s="424"/>
      <c r="E54" s="425" t="s">
        <v>167</v>
      </c>
      <c r="F54" s="424" t="s">
        <v>212</v>
      </c>
      <c r="G54" s="424"/>
      <c r="H54" s="426" t="s">
        <v>168</v>
      </c>
      <c r="I54" s="427" t="s">
        <v>169</v>
      </c>
      <c r="J54" s="427"/>
      <c r="K54" s="425"/>
      <c r="L54" s="427"/>
      <c r="M54" s="427"/>
      <c r="N54" s="427"/>
      <c r="O54" s="427"/>
      <c r="P54" s="427"/>
      <c r="Q54" s="427"/>
      <c r="R54" s="427"/>
      <c r="S54" s="428"/>
    </row>
    <row r="55" spans="8:8" ht="15.4">
      <c r="B55" s="423" t="s">
        <v>138</v>
      </c>
      <c r="C55" s="427" t="s">
        <v>214</v>
      </c>
      <c r="D55" s="427"/>
      <c r="E55" s="427"/>
      <c r="F55" s="427"/>
      <c r="G55" s="427"/>
      <c r="H55" s="427"/>
      <c r="I55" s="427"/>
      <c r="J55" s="427"/>
      <c r="K55" s="425" t="s">
        <v>165</v>
      </c>
      <c r="L55" s="424" t="s">
        <v>215</v>
      </c>
      <c r="M55" s="424"/>
      <c r="N55" s="425" t="s">
        <v>167</v>
      </c>
      <c r="O55" s="424" t="s">
        <v>185</v>
      </c>
      <c r="P55" s="424"/>
      <c r="Q55" s="426" t="s">
        <v>168</v>
      </c>
      <c r="R55" s="427" t="s">
        <v>89</v>
      </c>
      <c r="S55" s="428"/>
    </row>
    <row r="56" spans="8:8">
      <c r="B56" s="423"/>
      <c r="C56" s="427"/>
      <c r="D56" s="427"/>
      <c r="E56" s="427"/>
      <c r="F56" s="427"/>
      <c r="G56" s="427"/>
      <c r="H56" s="427"/>
      <c r="I56" s="427"/>
      <c r="J56" s="427"/>
      <c r="K56" s="425" t="s">
        <v>138</v>
      </c>
      <c r="L56" s="429" t="s">
        <v>216</v>
      </c>
      <c r="M56" s="429"/>
      <c r="N56" s="429"/>
      <c r="O56" s="429"/>
      <c r="P56" s="429"/>
      <c r="Q56" s="429"/>
      <c r="R56" s="429"/>
      <c r="S56" s="430"/>
    </row>
    <row r="57" spans="8:8" ht="16.15">
      <c r="B57" s="434" t="s">
        <v>173</v>
      </c>
      <c r="C57" s="435" t="s">
        <v>174</v>
      </c>
      <c r="D57" s="435"/>
      <c r="E57" s="435"/>
      <c r="F57" s="435"/>
      <c r="G57" s="435"/>
      <c r="H57" s="435"/>
      <c r="I57" s="435"/>
      <c r="J57" s="435"/>
      <c r="K57" s="436"/>
      <c r="L57" s="437"/>
      <c r="M57" s="437"/>
      <c r="N57" s="437"/>
      <c r="O57" s="437"/>
      <c r="P57" s="437"/>
      <c r="Q57" s="437"/>
      <c r="R57" s="437"/>
      <c r="S57" s="438"/>
    </row>
    <row r="59" spans="8:8">
      <c r="K59" s="439" t="s">
        <v>217</v>
      </c>
      <c r="L59" s="439"/>
      <c r="M59" s="439"/>
      <c r="N59" s="439"/>
      <c r="O59" s="439"/>
      <c r="P59" s="439"/>
      <c r="Q59" s="439"/>
      <c r="R59" s="439"/>
      <c r="S59" s="440"/>
    </row>
    <row r="73" spans="8:8">
      <c r="B73" s="441" t="s">
        <v>218</v>
      </c>
      <c r="C73" s="442"/>
      <c r="D73" s="442"/>
      <c r="E73" s="442"/>
      <c r="F73" s="442"/>
      <c r="G73" s="442"/>
      <c r="H73" s="442"/>
      <c r="I73" s="442"/>
      <c r="J73" s="442"/>
      <c r="K73" s="442"/>
      <c r="L73" s="442"/>
      <c r="M73" s="442"/>
      <c r="N73" s="442"/>
      <c r="O73" s="442"/>
      <c r="P73" s="442"/>
      <c r="Q73" s="442"/>
      <c r="R73" s="442"/>
      <c r="S73" s="443"/>
    </row>
    <row r="74" spans="8:8">
      <c r="B74" s="444" t="s">
        <v>219</v>
      </c>
      <c r="C74" s="445"/>
      <c r="D74" s="445"/>
      <c r="E74" s="445"/>
      <c r="F74" s="445"/>
      <c r="G74" s="445"/>
      <c r="H74" s="445"/>
      <c r="I74" s="445"/>
      <c r="J74" s="445"/>
      <c r="K74" s="446" t="s">
        <v>220</v>
      </c>
      <c r="L74" s="445"/>
      <c r="M74" s="445"/>
      <c r="N74" s="445"/>
      <c r="O74" s="445"/>
      <c r="P74" s="445"/>
      <c r="Q74" s="445"/>
      <c r="R74" s="445"/>
      <c r="S74" s="447"/>
    </row>
    <row r="75" spans="8:8" ht="15.4">
      <c r="B75" s="448" t="s">
        <v>165</v>
      </c>
      <c r="C75" s="424" t="s">
        <v>221</v>
      </c>
      <c r="D75" s="424"/>
      <c r="E75" s="449" t="s">
        <v>167</v>
      </c>
      <c r="F75" s="424" t="s">
        <v>222</v>
      </c>
      <c r="G75" s="424"/>
      <c r="H75" s="450" t="s">
        <v>168</v>
      </c>
      <c r="I75" s="424" t="s">
        <v>89</v>
      </c>
      <c r="J75" s="424"/>
      <c r="K75" s="451" t="s">
        <v>165</v>
      </c>
      <c r="L75" s="424" t="s">
        <v>223</v>
      </c>
      <c r="M75" s="424"/>
      <c r="N75" s="449" t="s">
        <v>167</v>
      </c>
      <c r="O75" s="424" t="s">
        <v>219</v>
      </c>
      <c r="P75" s="424"/>
      <c r="Q75" s="450" t="s">
        <v>168</v>
      </c>
      <c r="R75" s="424" t="s">
        <v>89</v>
      </c>
      <c r="S75" s="452"/>
    </row>
    <row r="76" spans="8:8">
      <c r="B76" s="448" t="s">
        <v>138</v>
      </c>
      <c r="C76" s="424" t="s">
        <v>224</v>
      </c>
      <c r="D76" s="424"/>
      <c r="E76" s="424"/>
      <c r="F76" s="424"/>
      <c r="G76" s="424"/>
      <c r="H76" s="424"/>
      <c r="I76" s="424"/>
      <c r="J76" s="424"/>
      <c r="K76" s="451" t="s">
        <v>138</v>
      </c>
      <c r="L76" s="424" t="s">
        <v>225</v>
      </c>
      <c r="M76" s="424"/>
      <c r="N76" s="424"/>
      <c r="O76" s="424"/>
      <c r="P76" s="424"/>
      <c r="Q76" s="424"/>
      <c r="R76" s="424"/>
      <c r="S76" s="452"/>
    </row>
    <row r="77" spans="8:8">
      <c r="B77" s="448"/>
      <c r="C77" s="424"/>
      <c r="D77" s="424"/>
      <c r="E77" s="424"/>
      <c r="F77" s="424"/>
      <c r="G77" s="424"/>
      <c r="H77" s="424"/>
      <c r="I77" s="424"/>
      <c r="J77" s="424"/>
      <c r="K77" s="451"/>
      <c r="L77" s="424"/>
      <c r="M77" s="424"/>
      <c r="N77" s="424"/>
      <c r="O77" s="424"/>
      <c r="P77" s="424"/>
      <c r="Q77" s="424"/>
      <c r="R77" s="424"/>
      <c r="S77" s="452"/>
    </row>
    <row r="78" spans="8:8" ht="15.4">
      <c r="B78" s="448" t="s">
        <v>165</v>
      </c>
      <c r="C78" s="424" t="s">
        <v>226</v>
      </c>
      <c r="D78" s="424"/>
      <c r="E78" s="449" t="s">
        <v>167</v>
      </c>
      <c r="F78" s="424" t="s">
        <v>222</v>
      </c>
      <c r="G78" s="424"/>
      <c r="H78" s="450" t="s">
        <v>168</v>
      </c>
      <c r="I78" s="424" t="s">
        <v>89</v>
      </c>
      <c r="J78" s="424"/>
      <c r="K78" s="451" t="s">
        <v>165</v>
      </c>
      <c r="L78" s="424" t="s">
        <v>227</v>
      </c>
      <c r="M78" s="424"/>
      <c r="N78" s="449" t="s">
        <v>167</v>
      </c>
      <c r="O78" s="424" t="s">
        <v>228</v>
      </c>
      <c r="P78" s="424"/>
      <c r="Q78" s="450" t="s">
        <v>168</v>
      </c>
      <c r="R78" s="424" t="s">
        <v>81</v>
      </c>
      <c r="S78" s="452"/>
    </row>
    <row r="79" spans="8:8">
      <c r="B79" s="448" t="s">
        <v>138</v>
      </c>
      <c r="C79" s="424" t="s">
        <v>229</v>
      </c>
      <c r="D79" s="424"/>
      <c r="E79" s="424"/>
      <c r="F79" s="424"/>
      <c r="G79" s="424"/>
      <c r="H79" s="424"/>
      <c r="I79" s="424"/>
      <c r="J79" s="424"/>
      <c r="K79" s="451" t="s">
        <v>138</v>
      </c>
      <c r="L79" s="424" t="s">
        <v>230</v>
      </c>
      <c r="M79" s="424"/>
      <c r="N79" s="424"/>
      <c r="O79" s="424"/>
      <c r="P79" s="424"/>
      <c r="Q79" s="424"/>
      <c r="R79" s="424"/>
      <c r="S79" s="452"/>
    </row>
    <row r="80" spans="8:8">
      <c r="B80" s="448"/>
      <c r="C80" s="424"/>
      <c r="D80" s="424"/>
      <c r="E80" s="424"/>
      <c r="F80" s="424"/>
      <c r="G80" s="424"/>
      <c r="H80" s="424"/>
      <c r="I80" s="424"/>
      <c r="J80" s="424"/>
      <c r="K80" s="451"/>
      <c r="L80" s="424"/>
      <c r="M80" s="424"/>
      <c r="N80" s="424"/>
      <c r="O80" s="424"/>
      <c r="P80" s="424"/>
      <c r="Q80" s="424"/>
      <c r="R80" s="424"/>
      <c r="S80" s="452"/>
    </row>
    <row r="81" spans="8:8" ht="15.4">
      <c r="B81" s="448" t="s">
        <v>165</v>
      </c>
      <c r="C81" s="424" t="s">
        <v>231</v>
      </c>
      <c r="D81" s="424"/>
      <c r="E81" s="449" t="s">
        <v>167</v>
      </c>
      <c r="F81" s="424" t="s">
        <v>222</v>
      </c>
      <c r="G81" s="424"/>
      <c r="H81" s="450" t="s">
        <v>168</v>
      </c>
      <c r="I81" s="424" t="s">
        <v>188</v>
      </c>
      <c r="J81" s="424"/>
      <c r="K81" s="451" t="s">
        <v>165</v>
      </c>
      <c r="L81" s="424" t="s">
        <v>232</v>
      </c>
      <c r="M81" s="424"/>
      <c r="N81" s="449" t="s">
        <v>167</v>
      </c>
      <c r="O81" s="424" t="s">
        <v>222</v>
      </c>
      <c r="P81" s="424"/>
      <c r="Q81" s="450" t="s">
        <v>168</v>
      </c>
      <c r="R81" s="424" t="s">
        <v>188</v>
      </c>
      <c r="S81" s="452"/>
    </row>
    <row r="82" spans="8:8">
      <c r="B82" s="448" t="s">
        <v>138</v>
      </c>
      <c r="C82" s="424" t="s">
        <v>233</v>
      </c>
      <c r="D82" s="424"/>
      <c r="E82" s="424"/>
      <c r="F82" s="424"/>
      <c r="G82" s="424"/>
      <c r="H82" s="424"/>
      <c r="I82" s="424"/>
      <c r="J82" s="424"/>
      <c r="K82" s="451" t="s">
        <v>138</v>
      </c>
      <c r="L82" s="424" t="s">
        <v>234</v>
      </c>
      <c r="M82" s="424"/>
      <c r="N82" s="424"/>
      <c r="O82" s="424"/>
      <c r="P82" s="424"/>
      <c r="Q82" s="424"/>
      <c r="R82" s="424"/>
      <c r="S82" s="452"/>
    </row>
    <row r="83" spans="8:8">
      <c r="B83" s="448"/>
      <c r="C83" s="424"/>
      <c r="D83" s="424"/>
      <c r="E83" s="424"/>
      <c r="F83" s="424"/>
      <c r="G83" s="424"/>
      <c r="H83" s="424"/>
      <c r="I83" s="424"/>
      <c r="J83" s="424"/>
      <c r="K83" s="451"/>
      <c r="L83" s="424"/>
      <c r="M83" s="424"/>
      <c r="N83" s="424"/>
      <c r="O83" s="424"/>
      <c r="P83" s="424"/>
      <c r="Q83" s="424"/>
      <c r="R83" s="424"/>
      <c r="S83" s="452"/>
    </row>
    <row r="84" spans="8:8" ht="15.4">
      <c r="B84" s="448" t="s">
        <v>165</v>
      </c>
      <c r="C84" s="424" t="s">
        <v>235</v>
      </c>
      <c r="D84" s="424"/>
      <c r="E84" s="449" t="s">
        <v>167</v>
      </c>
      <c r="F84" s="424" t="s">
        <v>228</v>
      </c>
      <c r="G84" s="424"/>
      <c r="H84" s="450" t="s">
        <v>168</v>
      </c>
      <c r="I84" s="424" t="s">
        <v>81</v>
      </c>
      <c r="J84" s="424"/>
      <c r="K84" s="451" t="s">
        <v>165</v>
      </c>
      <c r="L84" s="424" t="s">
        <v>236</v>
      </c>
      <c r="M84" s="424"/>
      <c r="N84" s="449" t="s">
        <v>167</v>
      </c>
      <c r="O84" s="424" t="s">
        <v>219</v>
      </c>
      <c r="P84" s="424"/>
      <c r="Q84" s="450" t="s">
        <v>168</v>
      </c>
      <c r="R84" s="424" t="s">
        <v>89</v>
      </c>
      <c r="S84" s="452"/>
    </row>
    <row r="85" spans="8:8">
      <c r="B85" s="448" t="s">
        <v>138</v>
      </c>
      <c r="C85" s="453" t="s">
        <v>237</v>
      </c>
      <c r="D85" s="454"/>
      <c r="E85" s="454"/>
      <c r="F85" s="454"/>
      <c r="G85" s="454"/>
      <c r="H85" s="454"/>
      <c r="I85" s="454"/>
      <c r="J85" s="455"/>
      <c r="K85" s="451" t="s">
        <v>138</v>
      </c>
      <c r="L85" s="453" t="s">
        <v>238</v>
      </c>
      <c r="M85" s="454"/>
      <c r="N85" s="454"/>
      <c r="O85" s="454"/>
      <c r="P85" s="454"/>
      <c r="Q85" s="454"/>
      <c r="R85" s="454"/>
      <c r="S85" s="456"/>
    </row>
    <row r="86" spans="8:8">
      <c r="B86" s="448"/>
      <c r="C86" s="457"/>
      <c r="D86" s="458"/>
      <c r="E86" s="458"/>
      <c r="F86" s="458"/>
      <c r="G86" s="458"/>
      <c r="H86" s="458"/>
      <c r="I86" s="458"/>
      <c r="J86" s="459"/>
      <c r="K86" s="451"/>
      <c r="L86" s="457"/>
      <c r="M86" s="458"/>
      <c r="N86" s="458"/>
      <c r="O86" s="458"/>
      <c r="P86" s="458"/>
      <c r="Q86" s="458"/>
      <c r="R86" s="458"/>
      <c r="S86" s="460"/>
    </row>
    <row r="87" spans="8:8">
      <c r="B87" s="448"/>
      <c r="C87" s="457"/>
      <c r="D87" s="458"/>
      <c r="E87" s="458"/>
      <c r="F87" s="458"/>
      <c r="G87" s="458"/>
      <c r="H87" s="458"/>
      <c r="I87" s="458"/>
      <c r="J87" s="459"/>
      <c r="K87" s="451"/>
      <c r="L87" s="457"/>
      <c r="M87" s="458"/>
      <c r="N87" s="458"/>
      <c r="O87" s="458"/>
      <c r="P87" s="458"/>
      <c r="Q87" s="458"/>
      <c r="R87" s="458"/>
      <c r="S87" s="460"/>
    </row>
    <row r="88" spans="8:8">
      <c r="B88" s="448"/>
      <c r="C88" s="461"/>
      <c r="D88" s="462"/>
      <c r="E88" s="462"/>
      <c r="F88" s="462"/>
      <c r="G88" s="462"/>
      <c r="H88" s="462"/>
      <c r="I88" s="462"/>
      <c r="J88" s="463"/>
      <c r="K88" s="451"/>
      <c r="L88" s="461"/>
      <c r="M88" s="462"/>
      <c r="N88" s="462"/>
      <c r="O88" s="462"/>
      <c r="P88" s="462"/>
      <c r="Q88" s="462"/>
      <c r="R88" s="462"/>
      <c r="S88" s="464"/>
    </row>
    <row r="89" spans="8:8" ht="15.4">
      <c r="B89" s="448" t="s">
        <v>165</v>
      </c>
      <c r="C89" s="424" t="s">
        <v>239</v>
      </c>
      <c r="D89" s="424"/>
      <c r="E89" s="449" t="s">
        <v>167</v>
      </c>
      <c r="F89" s="424" t="s">
        <v>222</v>
      </c>
      <c r="G89" s="424"/>
      <c r="H89" s="450" t="s">
        <v>168</v>
      </c>
      <c r="I89" s="424" t="s">
        <v>89</v>
      </c>
      <c r="J89" s="424"/>
      <c r="K89" s="451" t="s">
        <v>165</v>
      </c>
      <c r="L89" s="424" t="s">
        <v>240</v>
      </c>
      <c r="M89" s="424"/>
      <c r="N89" s="449" t="s">
        <v>167</v>
      </c>
      <c r="O89" s="424" t="s">
        <v>228</v>
      </c>
      <c r="P89" s="424"/>
      <c r="Q89" s="450" t="s">
        <v>168</v>
      </c>
      <c r="R89" s="424" t="s">
        <v>241</v>
      </c>
      <c r="S89" s="452"/>
    </row>
    <row r="90" spans="8:8">
      <c r="B90" s="448" t="s">
        <v>138</v>
      </c>
      <c r="C90" s="453" t="s">
        <v>242</v>
      </c>
      <c r="D90" s="454"/>
      <c r="E90" s="454"/>
      <c r="F90" s="454"/>
      <c r="G90" s="454"/>
      <c r="H90" s="454"/>
      <c r="I90" s="454"/>
      <c r="J90" s="455"/>
      <c r="K90" s="451" t="s">
        <v>138</v>
      </c>
      <c r="L90" s="424" t="s">
        <v>243</v>
      </c>
      <c r="M90" s="424"/>
      <c r="N90" s="424"/>
      <c r="O90" s="424"/>
      <c r="P90" s="424"/>
      <c r="Q90" s="424"/>
      <c r="R90" s="424"/>
      <c r="S90" s="452"/>
    </row>
    <row r="91" spans="8:8">
      <c r="B91" s="448"/>
      <c r="C91" s="457"/>
      <c r="D91" s="458"/>
      <c r="E91" s="458"/>
      <c r="F91" s="458"/>
      <c r="G91" s="458"/>
      <c r="H91" s="458"/>
      <c r="I91" s="458"/>
      <c r="J91" s="459"/>
      <c r="K91" s="451"/>
      <c r="L91" s="424"/>
      <c r="M91" s="424"/>
      <c r="N91" s="424"/>
      <c r="O91" s="424"/>
      <c r="P91" s="424"/>
      <c r="Q91" s="424"/>
      <c r="R91" s="424"/>
      <c r="S91" s="452"/>
    </row>
    <row r="92" spans="8:8">
      <c r="B92" s="448"/>
      <c r="C92" s="457"/>
      <c r="D92" s="458"/>
      <c r="E92" s="458"/>
      <c r="F92" s="458"/>
      <c r="G92" s="458"/>
      <c r="H92" s="458"/>
      <c r="I92" s="458"/>
      <c r="J92" s="459"/>
      <c r="K92" s="451"/>
      <c r="L92" s="424"/>
      <c r="M92" s="424"/>
      <c r="N92" s="424"/>
      <c r="O92" s="424"/>
      <c r="P92" s="424"/>
      <c r="Q92" s="424"/>
      <c r="R92" s="424"/>
      <c r="S92" s="452"/>
    </row>
    <row r="93" spans="8:8">
      <c r="B93" s="448"/>
      <c r="C93" s="461"/>
      <c r="D93" s="462"/>
      <c r="E93" s="462"/>
      <c r="F93" s="462"/>
      <c r="G93" s="462"/>
      <c r="H93" s="462"/>
      <c r="I93" s="462"/>
      <c r="J93" s="463"/>
      <c r="K93" s="451"/>
      <c r="L93" s="424"/>
      <c r="M93" s="424"/>
      <c r="N93" s="424"/>
      <c r="O93" s="424"/>
      <c r="P93" s="424"/>
      <c r="Q93" s="424"/>
      <c r="R93" s="424"/>
      <c r="S93" s="452"/>
    </row>
    <row r="94" spans="8:8" ht="15.4">
      <c r="B94" s="448" t="s">
        <v>165</v>
      </c>
      <c r="C94" s="424" t="s">
        <v>244</v>
      </c>
      <c r="D94" s="424"/>
      <c r="E94" s="449" t="s">
        <v>167</v>
      </c>
      <c r="F94" s="424" t="s">
        <v>222</v>
      </c>
      <c r="G94" s="424"/>
      <c r="H94" s="450" t="s">
        <v>168</v>
      </c>
      <c r="I94" s="424" t="s">
        <v>179</v>
      </c>
      <c r="J94" s="424"/>
      <c r="K94" s="451"/>
      <c r="L94" s="424"/>
      <c r="M94" s="424"/>
      <c r="N94" s="424"/>
      <c r="O94" s="424"/>
      <c r="P94" s="424"/>
      <c r="Q94" s="424"/>
      <c r="R94" s="424"/>
      <c r="S94" s="452"/>
    </row>
    <row r="95" spans="8:8">
      <c r="B95" s="448" t="s">
        <v>138</v>
      </c>
      <c r="C95" s="424" t="s">
        <v>245</v>
      </c>
      <c r="D95" s="424"/>
      <c r="E95" s="424"/>
      <c r="F95" s="424"/>
      <c r="G95" s="424"/>
      <c r="H95" s="424"/>
      <c r="I95" s="424"/>
      <c r="J95" s="424"/>
      <c r="K95" s="451"/>
      <c r="L95" s="424"/>
      <c r="M95" s="424"/>
      <c r="N95" s="424"/>
      <c r="O95" s="424"/>
      <c r="P95" s="424"/>
      <c r="Q95" s="424"/>
      <c r="R95" s="424"/>
      <c r="S95" s="452"/>
    </row>
    <row r="96" spans="8:8" ht="15.4">
      <c r="B96" s="448"/>
      <c r="C96" s="424"/>
      <c r="D96" s="424"/>
      <c r="E96" s="424"/>
      <c r="F96" s="424"/>
      <c r="G96" s="424"/>
      <c r="H96" s="424"/>
      <c r="I96" s="424"/>
      <c r="J96" s="424"/>
      <c r="K96" s="451" t="s">
        <v>165</v>
      </c>
      <c r="L96" s="424" t="s">
        <v>246</v>
      </c>
      <c r="M96" s="424"/>
      <c r="N96" s="449" t="s">
        <v>167</v>
      </c>
      <c r="O96" s="424" t="s">
        <v>222</v>
      </c>
      <c r="P96" s="424"/>
      <c r="Q96" s="450" t="s">
        <v>168</v>
      </c>
      <c r="R96" s="424" t="s">
        <v>89</v>
      </c>
      <c r="S96" s="452"/>
    </row>
    <row r="97" spans="8:8" ht="15.4">
      <c r="B97" s="448" t="s">
        <v>165</v>
      </c>
      <c r="C97" s="424" t="s">
        <v>247</v>
      </c>
      <c r="D97" s="424"/>
      <c r="E97" s="449" t="s">
        <v>167</v>
      </c>
      <c r="F97" s="424" t="s">
        <v>222</v>
      </c>
      <c r="G97" s="424"/>
      <c r="H97" s="450" t="s">
        <v>168</v>
      </c>
      <c r="I97" s="424" t="s">
        <v>248</v>
      </c>
      <c r="J97" s="424"/>
      <c r="K97" s="451" t="s">
        <v>138</v>
      </c>
      <c r="L97" s="424" t="s">
        <v>249</v>
      </c>
      <c r="M97" s="424"/>
      <c r="N97" s="424"/>
      <c r="O97" s="424"/>
      <c r="P97" s="424"/>
      <c r="Q97" s="424"/>
      <c r="R97" s="424"/>
      <c r="S97" s="452"/>
    </row>
    <row r="98" spans="8:8">
      <c r="B98" s="448" t="s">
        <v>138</v>
      </c>
      <c r="C98" s="424" t="s">
        <v>250</v>
      </c>
      <c r="D98" s="424"/>
      <c r="E98" s="424"/>
      <c r="F98" s="424"/>
      <c r="G98" s="424"/>
      <c r="H98" s="424"/>
      <c r="I98" s="424"/>
      <c r="J98" s="424"/>
      <c r="K98" s="451"/>
      <c r="L98" s="424"/>
      <c r="M98" s="424"/>
      <c r="N98" s="424"/>
      <c r="O98" s="424"/>
      <c r="P98" s="424"/>
      <c r="Q98" s="424"/>
      <c r="R98" s="424"/>
      <c r="S98" s="452"/>
    </row>
    <row r="99" spans="8:8">
      <c r="B99" s="448"/>
      <c r="C99" s="424"/>
      <c r="D99" s="424"/>
      <c r="E99" s="424"/>
      <c r="F99" s="424"/>
      <c r="G99" s="424"/>
      <c r="H99" s="424"/>
      <c r="I99" s="424"/>
      <c r="J99" s="424"/>
      <c r="K99" s="451"/>
      <c r="L99" s="424"/>
      <c r="M99" s="424"/>
      <c r="N99" s="424"/>
      <c r="O99" s="424"/>
      <c r="P99" s="424"/>
      <c r="Q99" s="424"/>
      <c r="R99" s="424"/>
      <c r="S99" s="452"/>
    </row>
    <row r="100" spans="8:8">
      <c r="B100" s="448"/>
      <c r="C100" s="424"/>
      <c r="D100" s="424"/>
      <c r="E100" s="424"/>
      <c r="F100" s="424"/>
      <c r="G100" s="424"/>
      <c r="H100" s="424"/>
      <c r="I100" s="424"/>
      <c r="J100" s="424"/>
      <c r="K100" s="451"/>
      <c r="L100" s="424"/>
      <c r="M100" s="424"/>
      <c r="N100" s="424"/>
      <c r="O100" s="424"/>
      <c r="P100" s="424"/>
      <c r="Q100" s="424"/>
      <c r="R100" s="424"/>
      <c r="S100" s="452"/>
    </row>
    <row r="101" spans="8:8" ht="15.4">
      <c r="B101" s="448"/>
      <c r="C101" s="424"/>
      <c r="D101" s="424"/>
      <c r="E101" s="424"/>
      <c r="F101" s="424"/>
      <c r="G101" s="424"/>
      <c r="H101" s="424"/>
      <c r="I101" s="424"/>
      <c r="J101" s="424"/>
      <c r="K101" s="451" t="s">
        <v>165</v>
      </c>
      <c r="L101" s="424" t="s">
        <v>251</v>
      </c>
      <c r="M101" s="424"/>
      <c r="N101" s="449" t="s">
        <v>167</v>
      </c>
      <c r="O101" s="424" t="s">
        <v>222</v>
      </c>
      <c r="P101" s="424"/>
      <c r="Q101" s="450" t="s">
        <v>168</v>
      </c>
      <c r="R101" s="424" t="s">
        <v>89</v>
      </c>
      <c r="S101" s="452"/>
    </row>
    <row r="102" spans="8:8">
      <c r="B102" s="448" t="s">
        <v>173</v>
      </c>
      <c r="C102" s="424" t="s">
        <v>252</v>
      </c>
      <c r="D102" s="424"/>
      <c r="E102" s="424"/>
      <c r="F102" s="424"/>
      <c r="G102" s="424"/>
      <c r="H102" s="424"/>
      <c r="I102" s="424"/>
      <c r="J102" s="424"/>
      <c r="K102" s="451" t="s">
        <v>138</v>
      </c>
      <c r="L102" s="424" t="s">
        <v>253</v>
      </c>
      <c r="M102" s="424"/>
      <c r="N102" s="424"/>
      <c r="O102" s="424"/>
      <c r="P102" s="424"/>
      <c r="Q102" s="424"/>
      <c r="R102" s="424"/>
      <c r="S102" s="452"/>
    </row>
    <row r="103" spans="8:8">
      <c r="B103" s="465"/>
      <c r="C103" s="466"/>
      <c r="D103" s="466"/>
      <c r="E103" s="466"/>
      <c r="F103" s="466"/>
      <c r="G103" s="466"/>
      <c r="H103" s="466"/>
      <c r="I103" s="466"/>
      <c r="J103" s="466"/>
      <c r="K103" s="451"/>
      <c r="L103" s="424"/>
      <c r="M103" s="424"/>
      <c r="N103" s="424"/>
      <c r="O103" s="424"/>
      <c r="P103" s="424"/>
      <c r="Q103" s="424"/>
      <c r="R103" s="424"/>
      <c r="S103" s="452"/>
    </row>
    <row r="104" spans="8:8">
      <c r="K104" s="448"/>
      <c r="L104" s="424"/>
      <c r="M104" s="424"/>
      <c r="N104" s="424"/>
      <c r="O104" s="424"/>
      <c r="P104" s="424"/>
      <c r="Q104" s="424"/>
      <c r="R104" s="424"/>
      <c r="S104" s="452"/>
    </row>
    <row r="105" spans="8:8">
      <c r="K105" s="465"/>
      <c r="L105" s="466"/>
      <c r="M105" s="466"/>
      <c r="N105" s="466"/>
      <c r="O105" s="466"/>
      <c r="P105" s="466"/>
      <c r="Q105" s="466"/>
      <c r="R105" s="466"/>
      <c r="S105" s="467"/>
    </row>
  </sheetData>
  <mergeCells count="189">
    <mergeCell ref="I75:J75"/>
    <mergeCell ref="O96:P96"/>
    <mergeCell ref="F97:G97"/>
    <mergeCell ref="O89:P89"/>
    <mergeCell ref="L84:M84"/>
    <mergeCell ref="R47:S47"/>
    <mergeCell ref="F26:G26"/>
    <mergeCell ref="C48:J48"/>
    <mergeCell ref="J14:S14"/>
    <mergeCell ref="K21:S21"/>
    <mergeCell ref="J16:S16"/>
    <mergeCell ref="J17:S17"/>
    <mergeCell ref="C94:D94"/>
    <mergeCell ref="K76:K77"/>
    <mergeCell ref="R89:S89"/>
    <mergeCell ref="L101:M101"/>
    <mergeCell ref="O55:P55"/>
    <mergeCell ref="F39:G39"/>
    <mergeCell ref="R33:S33"/>
    <mergeCell ref="L22:M22"/>
    <mergeCell ref="J13:S13"/>
    <mergeCell ref="J10:S10"/>
    <mergeCell ref="J9:S9"/>
    <mergeCell ref="J5:S5"/>
    <mergeCell ref="J8:S8"/>
    <mergeCell ref="L48:S49"/>
    <mergeCell ref="O22:P22"/>
    <mergeCell ref="I22:J22"/>
    <mergeCell ref="D2:I2"/>
    <mergeCell ref="B2:C2"/>
    <mergeCell ref="F30:G30"/>
    <mergeCell ref="K90:K95"/>
    <mergeCell ref="C89:D89"/>
    <mergeCell ref="L75:M75"/>
    <mergeCell ref="C90:J93"/>
    <mergeCell ref="B82:B83"/>
    <mergeCell ref="F84:G84"/>
    <mergeCell ref="I94:J94"/>
    <mergeCell ref="L79:S80"/>
    <mergeCell ref="C79:J80"/>
    <mergeCell ref="J15:S15"/>
    <mergeCell ref="C51:J52"/>
    <mergeCell ref="K51:K54"/>
    <mergeCell ref="J7:S7"/>
    <mergeCell ref="B36:B37"/>
    <mergeCell ref="L47:M47"/>
    <mergeCell ref="R42:S42"/>
    <mergeCell ref="F54:G54"/>
    <mergeCell ref="C35:D35"/>
    <mergeCell ref="O33:P33"/>
    <mergeCell ref="B51:B52"/>
    <mergeCell ref="L27:M27"/>
    <mergeCell ref="L82:S83"/>
    <mergeCell ref="I89:J89"/>
    <mergeCell ref="K59:S59"/>
    <mergeCell ref="L36:M36"/>
    <mergeCell ref="C54:D54"/>
    <mergeCell ref="C57:J57"/>
    <mergeCell ref="O42:P42"/>
    <mergeCell ref="R50:S50"/>
    <mergeCell ref="I39:J39"/>
    <mergeCell ref="K74:S74"/>
    <mergeCell ref="L85:S88"/>
    <mergeCell ref="F81:G81"/>
    <mergeCell ref="K79:K80"/>
    <mergeCell ref="R84:S84"/>
    <mergeCell ref="K82:K83"/>
    <mergeCell ref="O36:P36"/>
    <mergeCell ref="L51:S54"/>
    <mergeCell ref="C38:J38"/>
    <mergeCell ref="K43:K46"/>
    <mergeCell ref="L42:M42"/>
    <mergeCell ref="R78:S78"/>
    <mergeCell ref="K85:K88"/>
    <mergeCell ref="R101:S101"/>
    <mergeCell ref="F89:G89"/>
    <mergeCell ref="B102:B103"/>
    <mergeCell ref="C102:J103"/>
    <mergeCell ref="R22:S22"/>
    <mergeCell ref="C39:D39"/>
    <mergeCell ref="L41:S41"/>
    <mergeCell ref="C27:J28"/>
    <mergeCell ref="L34:S35"/>
    <mergeCell ref="R36:S36"/>
    <mergeCell ref="I26:J26"/>
    <mergeCell ref="B74:J74"/>
    <mergeCell ref="R96:S96"/>
    <mergeCell ref="I97:J97"/>
    <mergeCell ref="C75:D75"/>
    <mergeCell ref="B76:B77"/>
    <mergeCell ref="B73:S73"/>
    <mergeCell ref="R55:S55"/>
    <mergeCell ref="F94:G94"/>
    <mergeCell ref="C30:D30"/>
    <mergeCell ref="K97:K100"/>
    <mergeCell ref="O81:P81"/>
    <mergeCell ref="L90:S95"/>
    <mergeCell ref="I84:J84"/>
    <mergeCell ref="L89:M89"/>
    <mergeCell ref="L56:S57"/>
    <mergeCell ref="B55:B56"/>
    <mergeCell ref="L23:S26"/>
    <mergeCell ref="C55:J56"/>
    <mergeCell ref="O27:P27"/>
    <mergeCell ref="D17:I17"/>
    <mergeCell ref="I54:J54"/>
    <mergeCell ref="C43:D43"/>
    <mergeCell ref="O50:P50"/>
    <mergeCell ref="J12:S12"/>
    <mergeCell ref="C95:J96"/>
    <mergeCell ref="R81:S81"/>
    <mergeCell ref="O78:P78"/>
    <mergeCell ref="F75:G75"/>
    <mergeCell ref="L43:S46"/>
    <mergeCell ref="K23:K26"/>
    <mergeCell ref="C44:J47"/>
    <mergeCell ref="C29:J29"/>
    <mergeCell ref="C33:J33"/>
    <mergeCell ref="I35:J35"/>
    <mergeCell ref="F35:G35"/>
    <mergeCell ref="K48:K49"/>
    <mergeCell ref="C76:J77"/>
    <mergeCell ref="B53:J53"/>
    <mergeCell ref="L55:M55"/>
    <mergeCell ref="B40:B41"/>
    <mergeCell ref="L37:S40"/>
    <mergeCell ref="K34:K35"/>
    <mergeCell ref="C50:J50"/>
    <mergeCell ref="R27:S27"/>
    <mergeCell ref="I43:J43"/>
    <mergeCell ref="C36:J37"/>
    <mergeCell ref="L50:M50"/>
    <mergeCell ref="B34:J34"/>
    <mergeCell ref="K28:K31"/>
    <mergeCell ref="L76:S77"/>
    <mergeCell ref="C85:J88"/>
    <mergeCell ref="L96:M96"/>
    <mergeCell ref="B85:B88"/>
    <mergeCell ref="L97:S100"/>
    <mergeCell ref="C98:J101"/>
    <mergeCell ref="K56:K57"/>
    <mergeCell ref="C78:D78"/>
    <mergeCell ref="C81:D81"/>
    <mergeCell ref="F78:G78"/>
    <mergeCell ref="J11:S11"/>
    <mergeCell ref="O75:P75"/>
    <mergeCell ref="J3:S3"/>
    <mergeCell ref="B95:B96"/>
    <mergeCell ref="C40:J41"/>
    <mergeCell ref="L78:M78"/>
    <mergeCell ref="C42:J42"/>
    <mergeCell ref="C84:D84"/>
    <mergeCell ref="C82:J83"/>
    <mergeCell ref="C49:J49"/>
    <mergeCell ref="O84:P84"/>
    <mergeCell ref="L33:M33"/>
    <mergeCell ref="C97:D97"/>
    <mergeCell ref="B79:B80"/>
    <mergeCell ref="B31:B32"/>
    <mergeCell ref="C25:J25"/>
    <mergeCell ref="J6:S6"/>
    <mergeCell ref="I81:J81"/>
    <mergeCell ref="O47:P47"/>
    <mergeCell ref="B19:S19"/>
    <mergeCell ref="B20:S20"/>
    <mergeCell ref="J4:S4"/>
    <mergeCell ref="J2:S2"/>
    <mergeCell ref="B44:B47"/>
    <mergeCell ref="K32:S32"/>
    <mergeCell ref="C22:D22"/>
    <mergeCell ref="L28:S31"/>
    <mergeCell ref="C26:D26"/>
    <mergeCell ref="B21:J21"/>
    <mergeCell ref="C23:J24"/>
    <mergeCell ref="R75:S75"/>
    <mergeCell ref="B90:B93"/>
    <mergeCell ref="O101:P101"/>
    <mergeCell ref="B27:B28"/>
    <mergeCell ref="K37:K40"/>
    <mergeCell ref="F43:G43"/>
    <mergeCell ref="B23:B24"/>
    <mergeCell ref="C31:J32"/>
    <mergeCell ref="I30:J30"/>
    <mergeCell ref="F22:G22"/>
    <mergeCell ref="B98:B101"/>
    <mergeCell ref="L81:M81"/>
    <mergeCell ref="L102:S105"/>
    <mergeCell ref="I78:J78"/>
    <mergeCell ref="K102:K105"/>
  </mergeCells>
  <pageMargins left="0.75" right="0.75" top="1.0" bottom="1.0" header="0.5" footer="0.5"/>
</worksheet>
</file>

<file path=xl/worksheets/sheet5.xml><?xml version="1.0" encoding="utf-8"?>
<worksheet xmlns:r="http://schemas.openxmlformats.org/officeDocument/2006/relationships" xmlns="http://schemas.openxmlformats.org/spreadsheetml/2006/main">
  <dimension ref="A1:BP75"/>
  <sheetViews>
    <sheetView workbookViewId="0">
      <pane ySplit="2" topLeftCell="A65" state="frozen" activePane="bottomLeft"/>
      <selection pane="bottomLeft" activeCell="A75" sqref="A75"/>
    </sheetView>
  </sheetViews>
  <sheetFormatPr defaultRowHeight="17.4" customHeight="1" defaultColWidth="10"/>
  <cols>
    <col min="1" max="16384" customWidth="0" width="8.796875" style="468"/>
  </cols>
  <sheetData>
    <row r="1" spans="8:8" ht="17.4" customHeight="1">
      <c r="A1" s="469" t="s">
        <v>254</v>
      </c>
      <c r="B1" s="469"/>
      <c r="C1" s="469"/>
      <c r="D1" s="469"/>
      <c r="E1" s="469"/>
      <c r="F1" s="469"/>
      <c r="G1" s="469"/>
      <c r="H1" s="469"/>
      <c r="I1" s="470" t="s">
        <v>255</v>
      </c>
      <c r="J1" s="470"/>
      <c r="K1" s="470"/>
      <c r="L1" s="470"/>
      <c r="M1" s="470"/>
      <c r="N1" s="470"/>
      <c r="O1" s="470"/>
      <c r="P1" s="470"/>
    </row>
    <row r="2" spans="8:8" ht="17.4" customHeight="1">
      <c r="A2" s="471" t="s">
        <v>69</v>
      </c>
      <c r="B2" s="471" t="s">
        <v>76</v>
      </c>
      <c r="C2" s="471" t="s">
        <v>256</v>
      </c>
      <c r="D2" s="471" t="s">
        <v>54</v>
      </c>
      <c r="E2" s="471" t="s">
        <v>72</v>
      </c>
      <c r="F2" s="471" t="s">
        <v>78</v>
      </c>
      <c r="G2" s="471" t="s">
        <v>257</v>
      </c>
      <c r="H2" s="471" t="s">
        <v>83</v>
      </c>
      <c r="I2" s="472" t="s">
        <v>69</v>
      </c>
      <c r="J2" s="472" t="s">
        <v>76</v>
      </c>
      <c r="K2" s="472" t="s">
        <v>256</v>
      </c>
      <c r="L2" s="472" t="s">
        <v>54</v>
      </c>
      <c r="M2" s="472" t="s">
        <v>72</v>
      </c>
      <c r="N2" s="472" t="s">
        <v>78</v>
      </c>
      <c r="O2" s="472" t="s">
        <v>257</v>
      </c>
      <c r="P2" s="472" t="s">
        <v>83</v>
      </c>
    </row>
    <row r="3" spans="8:8" ht="17.4" customHeight="1">
      <c r="A3" s="468" t="s">
        <v>70</v>
      </c>
      <c r="B3" s="468" t="s">
        <v>77</v>
      </c>
      <c r="C3" s="468" t="s">
        <v>258</v>
      </c>
      <c r="D3" s="468" t="s">
        <v>259</v>
      </c>
      <c r="E3" s="468">
        <v>1.0</v>
      </c>
      <c r="F3" s="468">
        <v>1.0</v>
      </c>
      <c r="G3" s="468">
        <v>1.0</v>
      </c>
      <c r="H3" s="473" t="s">
        <v>260</v>
      </c>
    </row>
    <row r="4" spans="8:8" ht="17.4" customHeight="1">
      <c r="A4" s="468" t="s">
        <v>70</v>
      </c>
      <c r="B4" s="468" t="s">
        <v>77</v>
      </c>
      <c r="C4" s="468" t="s">
        <v>258</v>
      </c>
      <c r="D4" s="468" t="s">
        <v>261</v>
      </c>
      <c r="E4" s="468">
        <v>2.0</v>
      </c>
      <c r="F4" s="468">
        <v>1.0</v>
      </c>
      <c r="G4" s="468">
        <v>1.0</v>
      </c>
      <c r="H4" s="473" t="s">
        <v>260</v>
      </c>
    </row>
    <row r="5" spans="8:8" ht="17.4" customHeight="1">
      <c r="A5" s="468" t="s">
        <v>70</v>
      </c>
      <c r="B5" s="468" t="s">
        <v>77</v>
      </c>
      <c r="C5" s="468" t="s">
        <v>258</v>
      </c>
      <c r="D5" s="468" t="s">
        <v>74</v>
      </c>
      <c r="E5" s="468">
        <v>3.0</v>
      </c>
      <c r="F5" s="468">
        <v>1.0</v>
      </c>
      <c r="G5" s="468">
        <v>1.0</v>
      </c>
      <c r="H5" s="473" t="s">
        <v>260</v>
      </c>
    </row>
    <row r="6" spans="8:8" ht="17.4" customHeight="1">
      <c r="A6" s="468" t="s">
        <v>70</v>
      </c>
      <c r="B6" s="468" t="s">
        <v>77</v>
      </c>
      <c r="C6" s="468" t="s">
        <v>258</v>
      </c>
      <c r="D6" s="468" t="s">
        <v>262</v>
      </c>
      <c r="E6" s="468">
        <v>4.0</v>
      </c>
      <c r="F6" s="468">
        <v>1.0</v>
      </c>
      <c r="G6" s="468">
        <v>1.0</v>
      </c>
      <c r="H6" s="473" t="s">
        <v>260</v>
      </c>
    </row>
    <row r="7" spans="8:8" ht="17.4" customHeight="1">
      <c r="A7" s="468" t="s">
        <v>70</v>
      </c>
      <c r="B7" s="468" t="s">
        <v>77</v>
      </c>
      <c r="C7" s="468" t="s">
        <v>258</v>
      </c>
      <c r="D7" s="468" t="s">
        <v>71</v>
      </c>
      <c r="E7" s="468">
        <v>5.0</v>
      </c>
      <c r="F7" s="468">
        <v>1.0</v>
      </c>
      <c r="G7" s="468">
        <v>1.0</v>
      </c>
      <c r="H7" s="473" t="s">
        <v>260</v>
      </c>
    </row>
    <row r="8" spans="8:8" ht="17.4" customHeight="1">
      <c r="A8" s="468" t="s">
        <v>263</v>
      </c>
      <c r="B8" s="468" t="s">
        <v>77</v>
      </c>
      <c r="C8" s="468" t="s">
        <v>81</v>
      </c>
      <c r="D8" s="468" t="s">
        <v>259</v>
      </c>
      <c r="E8" s="468">
        <v>1.0</v>
      </c>
      <c r="F8" s="468">
        <v>0.0</v>
      </c>
      <c r="G8" s="468">
        <v>0.0</v>
      </c>
      <c r="H8" s="468" t="s">
        <v>264</v>
      </c>
    </row>
    <row r="9" spans="8:8" ht="17.4" customHeight="1">
      <c r="A9" s="468" t="s">
        <v>263</v>
      </c>
      <c r="B9" s="468" t="s">
        <v>77</v>
      </c>
      <c r="C9" s="468" t="s">
        <v>81</v>
      </c>
      <c r="D9" s="468" t="s">
        <v>261</v>
      </c>
      <c r="E9" s="468">
        <v>2.0</v>
      </c>
      <c r="F9" s="468">
        <v>0.0</v>
      </c>
      <c r="G9" s="468">
        <v>0.0</v>
      </c>
      <c r="H9" s="468" t="s">
        <v>265</v>
      </c>
    </row>
    <row r="10" spans="8:8" ht="17.4" customHeight="1">
      <c r="A10" s="468" t="s">
        <v>263</v>
      </c>
      <c r="B10" s="468" t="s">
        <v>77</v>
      </c>
      <c r="C10" s="468" t="s">
        <v>81</v>
      </c>
      <c r="D10" s="468" t="s">
        <v>74</v>
      </c>
      <c r="E10" s="468">
        <v>3.0</v>
      </c>
      <c r="F10" s="468">
        <v>0.0</v>
      </c>
      <c r="G10" s="468">
        <v>0.0</v>
      </c>
      <c r="H10" s="468" t="s">
        <v>266</v>
      </c>
    </row>
    <row r="11" spans="8:8" ht="17.4" customHeight="1">
      <c r="A11" s="468" t="s">
        <v>263</v>
      </c>
      <c r="B11" s="468" t="s">
        <v>77</v>
      </c>
      <c r="C11" s="468" t="s">
        <v>81</v>
      </c>
      <c r="D11" s="468" t="s">
        <v>262</v>
      </c>
      <c r="E11" s="468">
        <v>4.0</v>
      </c>
      <c r="F11" s="468">
        <v>0.0</v>
      </c>
      <c r="G11" s="468">
        <v>0.0</v>
      </c>
      <c r="H11" s="468" t="s">
        <v>267</v>
      </c>
    </row>
    <row r="12" spans="8:8" ht="17.4" customHeight="1">
      <c r="A12" s="468" t="s">
        <v>263</v>
      </c>
      <c r="B12" s="468" t="s">
        <v>77</v>
      </c>
      <c r="C12" s="468" t="s">
        <v>81</v>
      </c>
      <c r="D12" s="468" t="s">
        <v>71</v>
      </c>
      <c r="E12" s="468">
        <v>5.0</v>
      </c>
      <c r="F12" s="468">
        <v>0.0</v>
      </c>
      <c r="G12" s="468">
        <v>0.0</v>
      </c>
      <c r="H12" s="468" t="s">
        <v>268</v>
      </c>
    </row>
    <row r="13" spans="8:8" ht="17.4" customHeight="1">
      <c r="A13" s="468" t="s">
        <v>269</v>
      </c>
      <c r="B13" s="468" t="s">
        <v>77</v>
      </c>
      <c r="C13" s="468" t="s">
        <v>81</v>
      </c>
      <c r="D13" s="468" t="s">
        <v>259</v>
      </c>
      <c r="E13" s="468">
        <v>1.0</v>
      </c>
      <c r="F13" s="468">
        <v>0.0</v>
      </c>
      <c r="G13" s="468">
        <v>0.0</v>
      </c>
      <c r="H13" s="473" t="s">
        <v>270</v>
      </c>
    </row>
    <row r="14" spans="8:8" ht="17.4" customHeight="1">
      <c r="A14" s="468" t="s">
        <v>269</v>
      </c>
      <c r="B14" s="468" t="s">
        <v>77</v>
      </c>
      <c r="C14" s="468" t="s">
        <v>81</v>
      </c>
      <c r="D14" s="468" t="s">
        <v>261</v>
      </c>
      <c r="E14" s="468">
        <v>2.0</v>
      </c>
      <c r="F14" s="468">
        <v>0.0</v>
      </c>
      <c r="G14" s="468">
        <v>0.0</v>
      </c>
      <c r="H14" s="473" t="s">
        <v>271</v>
      </c>
    </row>
    <row r="15" spans="8:8" ht="17.4" customHeight="1">
      <c r="A15" s="468" t="s">
        <v>269</v>
      </c>
      <c r="B15" s="468" t="s">
        <v>77</v>
      </c>
      <c r="C15" s="468" t="s">
        <v>81</v>
      </c>
      <c r="D15" s="468" t="s">
        <v>74</v>
      </c>
      <c r="E15" s="468">
        <v>3.0</v>
      </c>
      <c r="F15" s="468">
        <v>0.0</v>
      </c>
      <c r="G15" s="468">
        <v>0.0</v>
      </c>
      <c r="H15" s="473" t="s">
        <v>272</v>
      </c>
    </row>
    <row r="16" spans="8:8" ht="17.4" customHeight="1">
      <c r="A16" s="468" t="s">
        <v>269</v>
      </c>
      <c r="B16" s="468" t="s">
        <v>77</v>
      </c>
      <c r="C16" s="468" t="s">
        <v>81</v>
      </c>
      <c r="D16" s="468" t="s">
        <v>262</v>
      </c>
      <c r="E16" s="468">
        <v>4.0</v>
      </c>
      <c r="F16" s="468">
        <v>0.0</v>
      </c>
      <c r="G16" s="468">
        <v>0.0</v>
      </c>
      <c r="H16" s="473" t="s">
        <v>273</v>
      </c>
    </row>
    <row r="17" spans="8:8" ht="17.4" customHeight="1">
      <c r="A17" s="468" t="s">
        <v>269</v>
      </c>
      <c r="B17" s="468" t="s">
        <v>77</v>
      </c>
      <c r="C17" s="468" t="s">
        <v>81</v>
      </c>
      <c r="D17" s="468" t="s">
        <v>71</v>
      </c>
      <c r="E17" s="468">
        <v>5.0</v>
      </c>
      <c r="F17" s="468">
        <v>0.0</v>
      </c>
      <c r="G17" s="468">
        <v>0.0</v>
      </c>
      <c r="H17" s="473" t="s">
        <v>274</v>
      </c>
    </row>
    <row r="18" spans="8:8" ht="17.4" customHeight="1">
      <c r="A18" s="468" t="s">
        <v>275</v>
      </c>
      <c r="B18" s="468" t="s">
        <v>276</v>
      </c>
      <c r="C18" s="468" t="s">
        <v>179</v>
      </c>
      <c r="D18" s="468" t="s">
        <v>259</v>
      </c>
      <c r="E18" s="468">
        <v>1.0</v>
      </c>
      <c r="F18" s="468">
        <v>20.0</v>
      </c>
      <c r="G18" s="468">
        <v>3.0</v>
      </c>
      <c r="H18" s="473" t="s">
        <v>277</v>
      </c>
    </row>
    <row r="19" spans="8:8" ht="17.4" customHeight="1">
      <c r="A19" s="468" t="s">
        <v>275</v>
      </c>
      <c r="B19" s="468" t="s">
        <v>276</v>
      </c>
      <c r="C19" s="468" t="s">
        <v>179</v>
      </c>
      <c r="D19" s="468" t="s">
        <v>261</v>
      </c>
      <c r="E19" s="468">
        <v>2.0</v>
      </c>
      <c r="F19" s="468">
        <v>20.0</v>
      </c>
      <c r="G19" s="468">
        <v>3.0</v>
      </c>
      <c r="H19" s="473" t="s">
        <v>278</v>
      </c>
    </row>
    <row r="20" spans="8:8" ht="17.4" customHeight="1">
      <c r="A20" s="468" t="s">
        <v>275</v>
      </c>
      <c r="B20" s="468" t="s">
        <v>276</v>
      </c>
      <c r="C20" s="468" t="s">
        <v>179</v>
      </c>
      <c r="D20" s="468" t="s">
        <v>74</v>
      </c>
      <c r="E20" s="468">
        <v>3.0</v>
      </c>
      <c r="F20" s="468">
        <v>20.0</v>
      </c>
      <c r="G20" s="468">
        <v>3.0</v>
      </c>
      <c r="H20" s="468" t="s">
        <v>279</v>
      </c>
    </row>
    <row r="21" spans="8:8" ht="17.4" customHeight="1">
      <c r="A21" s="468" t="s">
        <v>275</v>
      </c>
      <c r="B21" s="468" t="s">
        <v>276</v>
      </c>
      <c r="C21" s="468" t="s">
        <v>179</v>
      </c>
      <c r="D21" s="468" t="s">
        <v>262</v>
      </c>
      <c r="E21" s="468">
        <v>4.0</v>
      </c>
      <c r="F21" s="468">
        <v>20.0</v>
      </c>
      <c r="G21" s="468">
        <v>3.0</v>
      </c>
      <c r="H21" s="468" t="s">
        <v>280</v>
      </c>
    </row>
    <row r="22" spans="8:8" ht="17.4" customHeight="1">
      <c r="A22" s="468" t="s">
        <v>275</v>
      </c>
      <c r="B22" s="468" t="s">
        <v>276</v>
      </c>
      <c r="C22" s="468" t="s">
        <v>179</v>
      </c>
      <c r="D22" s="468" t="s">
        <v>71</v>
      </c>
      <c r="E22" s="468">
        <v>5.0</v>
      </c>
      <c r="F22" s="468">
        <v>20.0</v>
      </c>
      <c r="G22" s="468">
        <v>3.0</v>
      </c>
      <c r="H22" s="468" t="s">
        <v>281</v>
      </c>
    </row>
    <row r="23" spans="8:8" ht="17.4" customHeight="1">
      <c r="A23" s="468" t="s">
        <v>282</v>
      </c>
      <c r="B23" s="468" t="s">
        <v>276</v>
      </c>
      <c r="C23" s="468" t="s">
        <v>81</v>
      </c>
      <c r="D23" s="468" t="s">
        <v>259</v>
      </c>
      <c r="E23" s="468">
        <v>1.0</v>
      </c>
      <c r="F23" s="468">
        <v>0.0</v>
      </c>
      <c r="G23" s="468">
        <v>0.0</v>
      </c>
      <c r="H23" s="473" t="s">
        <v>283</v>
      </c>
    </row>
    <row r="24" spans="8:8" ht="17.4" customHeight="1">
      <c r="A24" s="468" t="s">
        <v>282</v>
      </c>
      <c r="B24" s="468" t="s">
        <v>276</v>
      </c>
      <c r="C24" s="468" t="s">
        <v>81</v>
      </c>
      <c r="D24" s="468" t="s">
        <v>261</v>
      </c>
      <c r="E24" s="468">
        <v>2.0</v>
      </c>
      <c r="F24" s="468">
        <v>0.0</v>
      </c>
      <c r="G24" s="468">
        <v>0.0</v>
      </c>
      <c r="H24" s="473" t="s">
        <v>284</v>
      </c>
    </row>
    <row r="25" spans="8:8" ht="17.4" customHeight="1">
      <c r="A25" s="468" t="s">
        <v>282</v>
      </c>
      <c r="B25" s="468" t="s">
        <v>276</v>
      </c>
      <c r="C25" s="468" t="s">
        <v>81</v>
      </c>
      <c r="D25" s="468" t="s">
        <v>74</v>
      </c>
      <c r="E25" s="468">
        <v>3.0</v>
      </c>
      <c r="F25" s="468">
        <v>0.0</v>
      </c>
      <c r="G25" s="468">
        <v>0.0</v>
      </c>
      <c r="H25" s="473" t="s">
        <v>285</v>
      </c>
    </row>
    <row r="26" spans="8:8" ht="17.4" customHeight="1">
      <c r="A26" s="468" t="s">
        <v>282</v>
      </c>
      <c r="B26" s="468" t="s">
        <v>276</v>
      </c>
      <c r="C26" s="468" t="s">
        <v>81</v>
      </c>
      <c r="D26" s="468" t="s">
        <v>262</v>
      </c>
      <c r="E26" s="468">
        <v>4.0</v>
      </c>
      <c r="F26" s="468">
        <v>0.0</v>
      </c>
      <c r="G26" s="468">
        <v>0.0</v>
      </c>
      <c r="H26" s="473" t="s">
        <v>286</v>
      </c>
    </row>
    <row r="27" spans="8:8" ht="17.4" customHeight="1">
      <c r="A27" s="468" t="s">
        <v>282</v>
      </c>
      <c r="B27" s="468" t="s">
        <v>276</v>
      </c>
      <c r="C27" s="468" t="s">
        <v>81</v>
      </c>
      <c r="D27" s="468" t="s">
        <v>71</v>
      </c>
      <c r="E27" s="468">
        <v>5.0</v>
      </c>
      <c r="F27" s="468">
        <v>0.0</v>
      </c>
      <c r="G27" s="468">
        <v>0.0</v>
      </c>
      <c r="H27" s="473" t="s">
        <v>287</v>
      </c>
    </row>
    <row r="28" spans="8:8" ht="17.4" customHeight="1">
      <c r="A28" s="468" t="s">
        <v>288</v>
      </c>
      <c r="B28" s="468" t="s">
        <v>77</v>
      </c>
      <c r="C28" s="468" t="s">
        <v>81</v>
      </c>
      <c r="D28" s="468" t="s">
        <v>259</v>
      </c>
      <c r="E28" s="468">
        <v>1.0</v>
      </c>
      <c r="F28" s="468">
        <v>0.0</v>
      </c>
      <c r="G28" s="468">
        <v>0.0</v>
      </c>
      <c r="H28" s="473" t="s">
        <v>289</v>
      </c>
    </row>
    <row r="29" spans="8:8" ht="17.4" customHeight="1">
      <c r="A29" s="468" t="s">
        <v>288</v>
      </c>
      <c r="B29" s="468" t="s">
        <v>77</v>
      </c>
      <c r="C29" s="468" t="s">
        <v>81</v>
      </c>
      <c r="D29" s="468" t="s">
        <v>261</v>
      </c>
      <c r="E29" s="468">
        <v>2.0</v>
      </c>
      <c r="F29" s="468">
        <v>0.0</v>
      </c>
      <c r="G29" s="468">
        <v>0.0</v>
      </c>
      <c r="H29" s="473" t="s">
        <v>290</v>
      </c>
    </row>
    <row r="30" spans="8:8" ht="17.4" customHeight="1">
      <c r="A30" s="468" t="s">
        <v>288</v>
      </c>
      <c r="B30" s="468" t="s">
        <v>77</v>
      </c>
      <c r="C30" s="468" t="s">
        <v>81</v>
      </c>
      <c r="D30" s="468" t="s">
        <v>74</v>
      </c>
      <c r="E30" s="468">
        <v>3.0</v>
      </c>
      <c r="F30" s="468">
        <v>0.0</v>
      </c>
      <c r="G30" s="468">
        <v>0.0</v>
      </c>
      <c r="H30" s="473" t="s">
        <v>291</v>
      </c>
    </row>
    <row r="31" spans="8:8" ht="17.4" customHeight="1">
      <c r="A31" s="468" t="s">
        <v>288</v>
      </c>
      <c r="B31" s="468" t="s">
        <v>77</v>
      </c>
      <c r="C31" s="468" t="s">
        <v>81</v>
      </c>
      <c r="D31" s="468" t="s">
        <v>262</v>
      </c>
      <c r="E31" s="468">
        <v>4.0</v>
      </c>
      <c r="F31" s="468">
        <v>0.0</v>
      </c>
      <c r="G31" s="468">
        <v>0.0</v>
      </c>
      <c r="H31" s="473" t="s">
        <v>292</v>
      </c>
    </row>
    <row r="32" spans="8:8" ht="17.4" customHeight="1">
      <c r="A32" s="468" t="s">
        <v>288</v>
      </c>
      <c r="B32" s="468" t="s">
        <v>77</v>
      </c>
      <c r="C32" s="468" t="s">
        <v>81</v>
      </c>
      <c r="D32" s="468" t="s">
        <v>71</v>
      </c>
      <c r="E32" s="468">
        <v>5.0</v>
      </c>
      <c r="F32" s="468">
        <v>0.0</v>
      </c>
      <c r="G32" s="468">
        <v>0.0</v>
      </c>
      <c r="H32" s="473" t="s">
        <v>293</v>
      </c>
    </row>
    <row r="33" spans="8:8" ht="17.4" customHeight="1">
      <c r="A33" s="468" t="s">
        <v>294</v>
      </c>
      <c r="B33" s="468" t="s">
        <v>77</v>
      </c>
      <c r="C33" s="468" t="s">
        <v>81</v>
      </c>
      <c r="D33" s="468" t="s">
        <v>259</v>
      </c>
      <c r="E33" s="468">
        <v>1.0</v>
      </c>
      <c r="F33" s="468">
        <v>0.0</v>
      </c>
      <c r="G33" s="468">
        <v>5.0</v>
      </c>
      <c r="H33" s="473" t="s">
        <v>295</v>
      </c>
    </row>
    <row r="34" spans="8:8" ht="17.4" customHeight="1">
      <c r="A34" s="468" t="s">
        <v>294</v>
      </c>
      <c r="B34" s="468" t="s">
        <v>77</v>
      </c>
      <c r="C34" s="468" t="s">
        <v>81</v>
      </c>
      <c r="D34" s="468" t="s">
        <v>261</v>
      </c>
      <c r="E34" s="468">
        <v>2.0</v>
      </c>
      <c r="F34" s="468">
        <v>0.0</v>
      </c>
      <c r="G34" s="468">
        <v>10.0</v>
      </c>
      <c r="H34" s="473" t="s">
        <v>296</v>
      </c>
    </row>
    <row r="35" spans="8:8" ht="17.4" customHeight="1">
      <c r="A35" s="468" t="s">
        <v>294</v>
      </c>
      <c r="B35" s="468" t="s">
        <v>77</v>
      </c>
      <c r="C35" s="468" t="s">
        <v>81</v>
      </c>
      <c r="D35" s="468" t="s">
        <v>74</v>
      </c>
      <c r="E35" s="468">
        <v>3.0</v>
      </c>
      <c r="F35" s="468">
        <v>0.0</v>
      </c>
      <c r="G35" s="468">
        <v>15.0</v>
      </c>
      <c r="H35" s="473" t="s">
        <v>297</v>
      </c>
    </row>
    <row r="36" spans="8:8" ht="17.4" customHeight="1">
      <c r="A36" s="468" t="s">
        <v>294</v>
      </c>
      <c r="B36" s="468" t="s">
        <v>77</v>
      </c>
      <c r="C36" s="468" t="s">
        <v>81</v>
      </c>
      <c r="D36" s="468" t="s">
        <v>262</v>
      </c>
      <c r="E36" s="468">
        <v>4.0</v>
      </c>
      <c r="F36" s="468">
        <v>0.0</v>
      </c>
      <c r="G36" s="468">
        <v>20.0</v>
      </c>
      <c r="H36" s="473" t="s">
        <v>298</v>
      </c>
    </row>
    <row r="37" spans="8:8" ht="17.4" customHeight="1">
      <c r="A37" s="468" t="s">
        <v>294</v>
      </c>
      <c r="B37" s="468" t="s">
        <v>77</v>
      </c>
      <c r="C37" s="468" t="s">
        <v>81</v>
      </c>
      <c r="D37" s="468" t="s">
        <v>71</v>
      </c>
      <c r="E37" s="468">
        <v>5.0</v>
      </c>
      <c r="F37" s="468">
        <v>0.0</v>
      </c>
      <c r="G37" s="468">
        <v>25.0</v>
      </c>
      <c r="H37" s="473" t="s">
        <v>299</v>
      </c>
    </row>
    <row r="38" spans="8:8" ht="17.4" customHeight="1">
      <c r="A38" s="468" t="s">
        <v>294</v>
      </c>
      <c r="B38" s="468" t="s">
        <v>77</v>
      </c>
      <c r="C38" s="468" t="s">
        <v>81</v>
      </c>
      <c r="D38" s="468" t="s">
        <v>300</v>
      </c>
      <c r="E38" s="468">
        <v>3.0</v>
      </c>
      <c r="F38" s="468">
        <v>0.0</v>
      </c>
      <c r="G38" s="468">
        <v>15.0</v>
      </c>
      <c r="H38" s="473" t="s">
        <v>301</v>
      </c>
    </row>
    <row r="39" spans="8:8" ht="17.4" customHeight="1">
      <c r="A39" s="468" t="s">
        <v>96</v>
      </c>
      <c r="B39" s="468" t="s">
        <v>97</v>
      </c>
      <c r="C39" s="468" t="s">
        <v>81</v>
      </c>
      <c r="D39" s="468" t="s">
        <v>259</v>
      </c>
      <c r="E39" s="468">
        <v>1.0</v>
      </c>
      <c r="F39" s="468">
        <v>0.0</v>
      </c>
      <c r="G39" s="468">
        <v>0.0</v>
      </c>
      <c r="H39" s="473" t="s">
        <v>302</v>
      </c>
    </row>
    <row r="40" spans="8:8" ht="17.4" customHeight="1">
      <c r="A40" s="468" t="s">
        <v>96</v>
      </c>
      <c r="B40" s="468" t="s">
        <v>97</v>
      </c>
      <c r="C40" s="468" t="s">
        <v>81</v>
      </c>
      <c r="D40" s="468" t="s">
        <v>261</v>
      </c>
      <c r="E40" s="468">
        <v>2.0</v>
      </c>
      <c r="F40" s="468">
        <v>0.0</v>
      </c>
      <c r="G40" s="468">
        <v>0.0</v>
      </c>
      <c r="H40" s="473" t="s">
        <v>303</v>
      </c>
    </row>
    <row r="41" spans="8:8" ht="17.4" customHeight="1">
      <c r="A41" s="468" t="s">
        <v>96</v>
      </c>
      <c r="B41" s="468" t="s">
        <v>97</v>
      </c>
      <c r="C41" s="468" t="s">
        <v>81</v>
      </c>
      <c r="D41" s="468" t="s">
        <v>74</v>
      </c>
      <c r="E41" s="468">
        <v>3.0</v>
      </c>
      <c r="F41" s="468">
        <v>0.0</v>
      </c>
      <c r="G41" s="468">
        <v>0.0</v>
      </c>
      <c r="H41" s="473" t="s">
        <v>304</v>
      </c>
    </row>
    <row r="42" spans="8:8" ht="17.4" customHeight="1">
      <c r="A42" s="468" t="s">
        <v>96</v>
      </c>
      <c r="B42" s="468" t="s">
        <v>97</v>
      </c>
      <c r="C42" s="468" t="s">
        <v>81</v>
      </c>
      <c r="D42" s="468" t="s">
        <v>262</v>
      </c>
      <c r="E42" s="468">
        <v>4.0</v>
      </c>
      <c r="F42" s="468">
        <v>0.0</v>
      </c>
      <c r="G42" s="468">
        <v>0.0</v>
      </c>
      <c r="H42" s="473" t="s">
        <v>305</v>
      </c>
    </row>
    <row r="43" spans="8:8" ht="17.4" customHeight="1">
      <c r="A43" s="468" t="s">
        <v>96</v>
      </c>
      <c r="B43" s="468" t="s">
        <v>97</v>
      </c>
      <c r="C43" s="468" t="s">
        <v>81</v>
      </c>
      <c r="D43" s="468" t="s">
        <v>71</v>
      </c>
      <c r="E43" s="468">
        <v>5.0</v>
      </c>
      <c r="F43" s="468">
        <v>0.0</v>
      </c>
      <c r="G43" s="468">
        <v>0.0</v>
      </c>
      <c r="H43" s="473" t="s">
        <v>306</v>
      </c>
    </row>
    <row r="44" spans="8:8" ht="17.4" customHeight="1">
      <c r="A44" s="468" t="s">
        <v>98</v>
      </c>
      <c r="B44" s="468" t="s">
        <v>97</v>
      </c>
      <c r="C44" s="468" t="s">
        <v>89</v>
      </c>
      <c r="D44" s="468" t="s">
        <v>74</v>
      </c>
      <c r="E44" s="468">
        <v>3.0</v>
      </c>
      <c r="F44" s="468">
        <v>1.0</v>
      </c>
      <c r="G44" s="468">
        <v>0.0</v>
      </c>
      <c r="H44" s="473" t="s">
        <v>307</v>
      </c>
    </row>
    <row r="45" spans="8:8" ht="17.4" customHeight="1">
      <c r="A45" s="468" t="s">
        <v>98</v>
      </c>
      <c r="B45" s="468" t="s">
        <v>97</v>
      </c>
      <c r="C45" s="468" t="s">
        <v>89</v>
      </c>
      <c r="D45" s="468" t="s">
        <v>262</v>
      </c>
      <c r="E45" s="468">
        <v>4.0</v>
      </c>
      <c r="F45" s="468">
        <v>1.0</v>
      </c>
      <c r="G45" s="468">
        <v>0.0</v>
      </c>
      <c r="H45" s="473" t="s">
        <v>307</v>
      </c>
    </row>
    <row r="46" spans="8:8" ht="17.4" customHeight="1">
      <c r="A46" s="468" t="s">
        <v>98</v>
      </c>
      <c r="B46" s="468" t="s">
        <v>97</v>
      </c>
      <c r="C46" s="468" t="s">
        <v>89</v>
      </c>
      <c r="D46" s="468" t="s">
        <v>71</v>
      </c>
      <c r="E46" s="468">
        <v>5.0</v>
      </c>
      <c r="F46" s="468">
        <v>1.0</v>
      </c>
      <c r="G46" s="468">
        <v>0.0</v>
      </c>
      <c r="H46" s="473" t="s">
        <v>307</v>
      </c>
    </row>
    <row r="47" spans="8:8" ht="17.4" customHeight="1">
      <c r="A47" s="468" t="s">
        <v>308</v>
      </c>
      <c r="B47" s="468" t="s">
        <v>97</v>
      </c>
      <c r="C47" s="468" t="s">
        <v>81</v>
      </c>
      <c r="D47" s="468" t="s">
        <v>74</v>
      </c>
      <c r="E47" s="468">
        <v>3.0</v>
      </c>
      <c r="F47" s="468">
        <v>0.0</v>
      </c>
      <c r="G47" s="468">
        <v>0.0</v>
      </c>
      <c r="H47" s="473" t="s">
        <v>309</v>
      </c>
    </row>
    <row r="48" spans="8:8" ht="17.4" customHeight="1">
      <c r="A48" s="468" t="s">
        <v>308</v>
      </c>
      <c r="B48" s="468" t="s">
        <v>97</v>
      </c>
      <c r="C48" s="468" t="s">
        <v>81</v>
      </c>
      <c r="D48" s="468" t="s">
        <v>262</v>
      </c>
      <c r="E48" s="468">
        <v>4.0</v>
      </c>
      <c r="F48" s="468">
        <v>0.0</v>
      </c>
      <c r="G48" s="468">
        <v>0.0</v>
      </c>
      <c r="H48" s="473" t="s">
        <v>310</v>
      </c>
    </row>
    <row r="49" spans="8:8" ht="17.4" customHeight="1">
      <c r="A49" s="468" t="s">
        <v>308</v>
      </c>
      <c r="B49" s="468" t="s">
        <v>97</v>
      </c>
      <c r="C49" s="468" t="s">
        <v>81</v>
      </c>
      <c r="D49" s="468" t="s">
        <v>71</v>
      </c>
      <c r="E49" s="468">
        <v>5.0</v>
      </c>
      <c r="F49" s="468">
        <v>0.0</v>
      </c>
      <c r="G49" s="468">
        <v>0.0</v>
      </c>
      <c r="H49" s="473" t="s">
        <v>311</v>
      </c>
    </row>
    <row r="50" spans="8:8" ht="17.4" customHeight="1">
      <c r="A50" s="468" t="s">
        <v>312</v>
      </c>
      <c r="B50" s="468" t="s">
        <v>97</v>
      </c>
      <c r="C50" s="468" t="s">
        <v>81</v>
      </c>
      <c r="D50" s="468" t="s">
        <v>259</v>
      </c>
      <c r="E50" s="468">
        <v>1.0</v>
      </c>
      <c r="F50" s="468">
        <v>0.0</v>
      </c>
      <c r="G50" s="468">
        <v>0.0</v>
      </c>
      <c r="H50" s="468" t="s">
        <v>313</v>
      </c>
    </row>
    <row r="51" spans="8:8" ht="17.4" customHeight="1">
      <c r="A51" s="468" t="s">
        <v>312</v>
      </c>
      <c r="B51" s="468" t="s">
        <v>97</v>
      </c>
      <c r="C51" s="468" t="s">
        <v>81</v>
      </c>
      <c r="D51" s="468" t="s">
        <v>261</v>
      </c>
      <c r="E51" s="468">
        <v>2.0</v>
      </c>
      <c r="F51" s="468">
        <v>0.0</v>
      </c>
      <c r="G51" s="468">
        <v>0.0</v>
      </c>
      <c r="H51" s="468" t="s">
        <v>314</v>
      </c>
    </row>
    <row r="52" spans="8:8" ht="17.4" customHeight="1">
      <c r="A52" s="468" t="s">
        <v>312</v>
      </c>
      <c r="B52" s="468" t="s">
        <v>97</v>
      </c>
      <c r="C52" s="468" t="s">
        <v>81</v>
      </c>
      <c r="D52" s="468" t="s">
        <v>74</v>
      </c>
      <c r="E52" s="468">
        <v>3.0</v>
      </c>
      <c r="F52" s="468">
        <v>0.0</v>
      </c>
      <c r="G52" s="468">
        <v>0.0</v>
      </c>
      <c r="H52" s="468" t="s">
        <v>315</v>
      </c>
    </row>
    <row r="53" spans="8:8" ht="17.4" customHeight="1">
      <c r="A53" s="468" t="s">
        <v>312</v>
      </c>
      <c r="B53" s="468" t="s">
        <v>97</v>
      </c>
      <c r="C53" s="468" t="s">
        <v>81</v>
      </c>
      <c r="D53" s="468" t="s">
        <v>262</v>
      </c>
      <c r="E53" s="468">
        <v>4.0</v>
      </c>
      <c r="F53" s="468">
        <v>0.0</v>
      </c>
      <c r="G53" s="468">
        <v>0.0</v>
      </c>
      <c r="H53" s="468" t="s">
        <v>316</v>
      </c>
    </row>
    <row r="54" spans="8:8" ht="17.4" customHeight="1">
      <c r="A54" s="468" t="s">
        <v>312</v>
      </c>
      <c r="B54" s="468" t="s">
        <v>97</v>
      </c>
      <c r="C54" s="468" t="s">
        <v>81</v>
      </c>
      <c r="D54" s="468" t="s">
        <v>71</v>
      </c>
      <c r="E54" s="468">
        <v>5.0</v>
      </c>
      <c r="F54" s="468">
        <v>0.0</v>
      </c>
      <c r="G54" s="468">
        <v>0.0</v>
      </c>
      <c r="H54" s="468" t="s">
        <v>317</v>
      </c>
    </row>
    <row r="55" spans="8:8" ht="17.4" customHeight="1">
      <c r="A55" s="468" t="s">
        <v>318</v>
      </c>
      <c r="B55" s="468" t="s">
        <v>97</v>
      </c>
      <c r="C55" s="468" t="s">
        <v>81</v>
      </c>
      <c r="D55" s="468" t="s">
        <v>74</v>
      </c>
      <c r="E55" s="468">
        <v>3.0</v>
      </c>
      <c r="F55" s="468">
        <v>0.0</v>
      </c>
      <c r="G55" s="468">
        <v>0.0</v>
      </c>
      <c r="H55" s="468" t="s">
        <v>319</v>
      </c>
    </row>
    <row r="56" spans="8:8" ht="17.4" customHeight="1">
      <c r="A56" s="468" t="s">
        <v>318</v>
      </c>
      <c r="B56" s="468" t="s">
        <v>97</v>
      </c>
      <c r="C56" s="468" t="s">
        <v>81</v>
      </c>
      <c r="D56" s="468" t="s">
        <v>262</v>
      </c>
      <c r="E56" s="468">
        <v>4.0</v>
      </c>
      <c r="F56" s="468">
        <v>0.0</v>
      </c>
      <c r="G56" s="468">
        <v>0.0</v>
      </c>
      <c r="H56" s="468" t="s">
        <v>320</v>
      </c>
    </row>
    <row r="57" spans="8:8" ht="17.4" customHeight="1">
      <c r="A57" s="468" t="s">
        <v>318</v>
      </c>
      <c r="B57" s="468" t="s">
        <v>97</v>
      </c>
      <c r="C57" s="468" t="s">
        <v>81</v>
      </c>
      <c r="D57" s="468" t="s">
        <v>71</v>
      </c>
      <c r="E57" s="468">
        <v>5.0</v>
      </c>
      <c r="F57" s="468">
        <v>0.0</v>
      </c>
      <c r="G57" s="468">
        <v>0.0</v>
      </c>
      <c r="H57" s="468" t="s">
        <v>321</v>
      </c>
    </row>
    <row r="58" spans="8:8" ht="17.4" customHeight="1">
      <c r="A58" s="468" t="s">
        <v>322</v>
      </c>
      <c r="B58" s="468" t="s">
        <v>97</v>
      </c>
      <c r="C58" s="468" t="s">
        <v>81</v>
      </c>
      <c r="D58" s="468" t="s">
        <v>74</v>
      </c>
      <c r="E58" s="468">
        <v>3.0</v>
      </c>
      <c r="F58" s="468">
        <v>0.0</v>
      </c>
      <c r="G58" s="468">
        <v>0.0</v>
      </c>
      <c r="H58" s="473" t="s">
        <v>323</v>
      </c>
    </row>
    <row r="59" spans="8:8" ht="17.4" customHeight="1">
      <c r="A59" s="468" t="s">
        <v>322</v>
      </c>
      <c r="B59" s="468" t="s">
        <v>97</v>
      </c>
      <c r="C59" s="468" t="s">
        <v>81</v>
      </c>
      <c r="D59" s="468" t="s">
        <v>262</v>
      </c>
      <c r="E59" s="468">
        <v>4.0</v>
      </c>
      <c r="F59" s="468">
        <v>0.0</v>
      </c>
      <c r="G59" s="468">
        <v>0.0</v>
      </c>
      <c r="H59" s="473" t="s">
        <v>324</v>
      </c>
    </row>
    <row r="60" spans="8:8" ht="17.4" customHeight="1">
      <c r="A60" s="468" t="s">
        <v>322</v>
      </c>
      <c r="B60" s="468" t="s">
        <v>97</v>
      </c>
      <c r="C60" s="468" t="s">
        <v>81</v>
      </c>
      <c r="D60" s="468" t="s">
        <v>71</v>
      </c>
      <c r="E60" s="468">
        <v>5.0</v>
      </c>
      <c r="F60" s="468">
        <v>0.0</v>
      </c>
      <c r="G60" s="468">
        <v>0.0</v>
      </c>
      <c r="H60" s="473" t="s">
        <v>325</v>
      </c>
    </row>
    <row r="61" spans="8:8" ht="17.4" customHeight="1">
      <c r="A61" s="468" t="s">
        <v>326</v>
      </c>
      <c r="B61" s="468" t="s">
        <v>97</v>
      </c>
      <c r="C61" s="468" t="s">
        <v>81</v>
      </c>
      <c r="D61" s="468" t="s">
        <v>74</v>
      </c>
      <c r="E61" s="468">
        <v>3.0</v>
      </c>
      <c r="F61" s="468">
        <v>0.0</v>
      </c>
      <c r="G61" s="468">
        <v>0.0</v>
      </c>
      <c r="H61" s="473" t="s">
        <v>327</v>
      </c>
    </row>
    <row r="62" spans="8:8" ht="17.4" customHeight="1">
      <c r="A62" s="468" t="s">
        <v>326</v>
      </c>
      <c r="B62" s="468" t="s">
        <v>97</v>
      </c>
      <c r="C62" s="468" t="s">
        <v>81</v>
      </c>
      <c r="D62" s="468" t="s">
        <v>262</v>
      </c>
      <c r="E62" s="468">
        <v>4.0</v>
      </c>
      <c r="F62" s="468">
        <v>0.0</v>
      </c>
      <c r="G62" s="468">
        <v>0.0</v>
      </c>
      <c r="H62" s="473" t="s">
        <v>328</v>
      </c>
    </row>
    <row r="63" spans="8:8" ht="17.4" customHeight="1">
      <c r="A63" s="468" t="s">
        <v>326</v>
      </c>
      <c r="B63" s="468" t="s">
        <v>97</v>
      </c>
      <c r="C63" s="468" t="s">
        <v>81</v>
      </c>
      <c r="D63" s="468" t="s">
        <v>71</v>
      </c>
      <c r="E63" s="468">
        <v>5.0</v>
      </c>
      <c r="F63" s="468">
        <v>0.0</v>
      </c>
      <c r="G63" s="468">
        <v>0.0</v>
      </c>
      <c r="H63" s="473" t="s">
        <v>329</v>
      </c>
    </row>
    <row r="64" spans="8:8" ht="17.4" customHeight="1">
      <c r="A64" s="468" t="s">
        <v>330</v>
      </c>
      <c r="B64" s="468" t="s">
        <v>97</v>
      </c>
      <c r="C64" s="468" t="s">
        <v>89</v>
      </c>
      <c r="D64" s="468" t="s">
        <v>259</v>
      </c>
      <c r="E64" s="468">
        <v>1.0</v>
      </c>
      <c r="F64" s="468">
        <v>6.0</v>
      </c>
      <c r="G64" s="468">
        <v>0.0</v>
      </c>
      <c r="H64" s="468" t="s">
        <v>331</v>
      </c>
    </row>
    <row r="65" spans="8:8" ht="17.4" customHeight="1">
      <c r="A65" s="468" t="s">
        <v>330</v>
      </c>
      <c r="B65" s="468" t="s">
        <v>97</v>
      </c>
      <c r="C65" s="468" t="s">
        <v>89</v>
      </c>
      <c r="D65" s="468" t="s">
        <v>261</v>
      </c>
      <c r="E65" s="468">
        <v>2.0</v>
      </c>
      <c r="F65" s="468">
        <v>6.0</v>
      </c>
      <c r="G65" s="468">
        <v>0.0</v>
      </c>
      <c r="H65" s="468" t="s">
        <v>332</v>
      </c>
    </row>
    <row r="66" spans="8:8" ht="17.4" customHeight="1">
      <c r="A66" s="468" t="s">
        <v>330</v>
      </c>
      <c r="B66" s="468" t="s">
        <v>97</v>
      </c>
      <c r="C66" s="468" t="s">
        <v>89</v>
      </c>
      <c r="D66" s="468" t="s">
        <v>74</v>
      </c>
      <c r="E66" s="468">
        <v>3.0</v>
      </c>
      <c r="F66" s="468">
        <v>6.0</v>
      </c>
      <c r="G66" s="468">
        <v>0.0</v>
      </c>
      <c r="H66" s="468" t="s">
        <v>333</v>
      </c>
    </row>
    <row r="67" spans="8:8" ht="17.4" customHeight="1">
      <c r="A67" s="468" t="s">
        <v>330</v>
      </c>
      <c r="B67" s="468" t="s">
        <v>97</v>
      </c>
      <c r="C67" s="468" t="s">
        <v>89</v>
      </c>
      <c r="D67" s="468" t="s">
        <v>262</v>
      </c>
      <c r="E67" s="468">
        <v>4.0</v>
      </c>
      <c r="F67" s="468">
        <v>6.0</v>
      </c>
      <c r="G67" s="468">
        <v>0.0</v>
      </c>
      <c r="H67" s="468" t="s">
        <v>334</v>
      </c>
    </row>
    <row r="68" spans="8:8" ht="17.4" customHeight="1">
      <c r="A68" s="468" t="s">
        <v>92</v>
      </c>
      <c r="B68" s="468" t="s">
        <v>94</v>
      </c>
      <c r="C68" s="468" t="s">
        <v>89</v>
      </c>
      <c r="D68" s="468" t="s">
        <v>74</v>
      </c>
      <c r="E68" s="468">
        <v>3.0</v>
      </c>
      <c r="F68" s="468">
        <v>1.0</v>
      </c>
      <c r="G68" s="468">
        <v>5.0</v>
      </c>
      <c r="H68" s="473" t="s">
        <v>335</v>
      </c>
    </row>
    <row r="69" spans="8:8" ht="17.4" customHeight="1">
      <c r="D69" s="468" t="s">
        <v>262</v>
      </c>
      <c r="E69" s="468">
        <v>4.0</v>
      </c>
      <c r="F69" s="468">
        <v>1.0</v>
      </c>
      <c r="G69" s="468">
        <v>10.0</v>
      </c>
      <c r="H69" s="473" t="s">
        <v>336</v>
      </c>
    </row>
    <row r="70" spans="8:8" ht="17.4" customHeight="1">
      <c r="D70" s="468" t="s">
        <v>71</v>
      </c>
      <c r="E70" s="468">
        <v>5.0</v>
      </c>
      <c r="F70" s="468">
        <v>1.0</v>
      </c>
      <c r="G70" s="468">
        <v>15.0</v>
      </c>
      <c r="H70" s="473" t="s">
        <v>337</v>
      </c>
    </row>
    <row r="71" spans="8:8" ht="17.4" customHeight="1">
      <c r="A71" s="468" t="s">
        <v>338</v>
      </c>
      <c r="B71" s="468" t="s">
        <v>94</v>
      </c>
      <c r="C71" s="468" t="s">
        <v>81</v>
      </c>
      <c r="D71" s="468" t="s">
        <v>259</v>
      </c>
      <c r="E71" s="468">
        <v>1.0</v>
      </c>
      <c r="F71" s="468">
        <v>0.0</v>
      </c>
      <c r="G71" s="468">
        <v>0.0</v>
      </c>
      <c r="H71" s="473" t="s">
        <v>339</v>
      </c>
    </row>
    <row r="72" spans="8:8" ht="17.4" customHeight="1">
      <c r="C72" s="468" t="s">
        <v>81</v>
      </c>
      <c r="D72" s="468" t="s">
        <v>261</v>
      </c>
      <c r="E72" s="468">
        <v>2.0</v>
      </c>
      <c r="F72" s="468">
        <v>0.0</v>
      </c>
      <c r="G72" s="468">
        <v>0.0</v>
      </c>
      <c r="H72" s="473" t="s">
        <v>340</v>
      </c>
    </row>
    <row r="73" spans="8:8" ht="17.4" customHeight="1">
      <c r="C73" s="468" t="s">
        <v>81</v>
      </c>
      <c r="D73" s="468" t="s">
        <v>74</v>
      </c>
      <c r="E73" s="468">
        <v>3.0</v>
      </c>
      <c r="F73" s="468">
        <v>0.0</v>
      </c>
      <c r="G73" s="468">
        <v>0.0</v>
      </c>
      <c r="H73" s="473" t="s">
        <v>341</v>
      </c>
    </row>
    <row r="74" spans="8:8" ht="17.4" customHeight="1">
      <c r="C74" s="468" t="s">
        <v>81</v>
      </c>
      <c r="D74" s="468" t="s">
        <v>262</v>
      </c>
      <c r="E74" s="468">
        <v>4.0</v>
      </c>
      <c r="F74" s="468">
        <v>0.0</v>
      </c>
      <c r="G74" s="468">
        <v>0.0</v>
      </c>
      <c r="H74" s="473" t="s">
        <v>342</v>
      </c>
    </row>
    <row r="75" spans="8:8" ht="17.4" customHeight="1">
      <c r="C75" s="468" t="s">
        <v>81</v>
      </c>
      <c r="D75" s="468" t="s">
        <v>71</v>
      </c>
      <c r="E75" s="468">
        <v>5.0</v>
      </c>
      <c r="F75" s="468">
        <v>0.0</v>
      </c>
      <c r="G75" s="468">
        <v>0.0</v>
      </c>
      <c r="H75" s="473" t="s">
        <v>343</v>
      </c>
    </row>
  </sheetData>
  <mergeCells count="2">
    <mergeCell ref="A1:H1"/>
    <mergeCell ref="I1:P1"/>
  </mergeCells>
  <pageMargins left="0.75" right="0.75" top="1.0" bottom="1.0" header="0.5" footer="0.5"/>
</worksheet>
</file>

<file path=xl/worksheets/sheet6.xml><?xml version="1.0" encoding="utf-8"?>
<worksheet xmlns:r="http://schemas.openxmlformats.org/officeDocument/2006/relationships" xmlns="http://schemas.openxmlformats.org/spreadsheetml/2006/main">
  <dimension ref="A1:BR38"/>
  <sheetViews>
    <sheetView workbookViewId="0" topLeftCell="C19" zoomScale="38">
      <selection activeCell="K48" sqref="K48"/>
    </sheetView>
  </sheetViews>
  <sheetFormatPr defaultRowHeight="11.9" defaultColWidth="10"/>
  <sheetData>
    <row r="1" spans="8:8" ht="12.65"/>
    <row r="2" spans="8:8" ht="14.1">
      <c r="A2" s="474" t="s">
        <v>344</v>
      </c>
      <c r="B2" s="475" t="s">
        <v>345</v>
      </c>
      <c r="C2" s="476" t="s">
        <v>38</v>
      </c>
      <c r="D2" s="477"/>
      <c r="F2" s="478"/>
      <c r="G2" s="479" t="s">
        <v>346</v>
      </c>
      <c r="H2" s="479" t="s">
        <v>347</v>
      </c>
      <c r="I2" s="480" t="s">
        <v>348</v>
      </c>
      <c r="J2" s="480" t="s">
        <v>349</v>
      </c>
      <c r="K2" s="480" t="s">
        <v>350</v>
      </c>
      <c r="L2" s="479" t="s">
        <v>351</v>
      </c>
      <c r="M2" s="481" t="s">
        <v>352</v>
      </c>
    </row>
    <row r="3" spans="8:8" ht="14.1">
      <c r="A3" s="482">
        <v>40.0</v>
      </c>
      <c r="B3" s="483">
        <v>100.0</v>
      </c>
      <c r="C3" s="484" t="s">
        <v>109</v>
      </c>
      <c r="D3" s="485"/>
      <c r="F3" s="486" t="s">
        <v>46</v>
      </c>
      <c r="G3" s="487">
        <v>20.0</v>
      </c>
      <c r="H3" s="487">
        <v>20.0</v>
      </c>
      <c r="I3" s="487">
        <v>20.0</v>
      </c>
      <c r="J3" s="487">
        <v>10.0</v>
      </c>
      <c r="K3" s="487">
        <v>20.0</v>
      </c>
      <c r="L3" s="487">
        <v>0.0</v>
      </c>
      <c r="M3" s="488" t="s">
        <v>353</v>
      </c>
    </row>
    <row r="4" spans="8:8" ht="14.1">
      <c r="A4" s="482">
        <v>50.0</v>
      </c>
      <c r="B4" s="483">
        <v>120.0</v>
      </c>
      <c r="C4" s="484" t="s">
        <v>354</v>
      </c>
      <c r="D4" s="485"/>
      <c r="F4" s="486" t="s">
        <v>148</v>
      </c>
      <c r="G4" s="487">
        <v>10.0</v>
      </c>
      <c r="H4" s="487">
        <v>10.0</v>
      </c>
      <c r="I4" s="487">
        <v>30.0</v>
      </c>
      <c r="J4" s="487">
        <v>10.0</v>
      </c>
      <c r="K4" s="487">
        <v>10.0</v>
      </c>
      <c r="L4" s="487">
        <v>0.0</v>
      </c>
      <c r="M4" s="488" t="s">
        <v>355</v>
      </c>
    </row>
    <row r="5" spans="8:8" ht="14.1">
      <c r="A5" s="482">
        <v>60.0</v>
      </c>
      <c r="B5" s="483">
        <v>140.0</v>
      </c>
      <c r="C5" s="484" t="s">
        <v>356</v>
      </c>
      <c r="D5" s="485"/>
      <c r="F5" s="486" t="s">
        <v>150</v>
      </c>
      <c r="G5" s="487">
        <v>10.0</v>
      </c>
      <c r="H5" s="487">
        <v>10.0</v>
      </c>
      <c r="I5" s="487">
        <v>10.0</v>
      </c>
      <c r="J5" s="487">
        <v>0.0</v>
      </c>
      <c r="K5" s="487">
        <v>20.0</v>
      </c>
      <c r="L5" s="487">
        <v>0.0</v>
      </c>
      <c r="M5" s="488" t="s">
        <v>357</v>
      </c>
    </row>
    <row r="6" spans="8:8" ht="16.15">
      <c r="A6" s="482">
        <v>70.0</v>
      </c>
      <c r="B6" s="483">
        <v>160.0</v>
      </c>
      <c r="C6" s="484" t="s">
        <v>358</v>
      </c>
      <c r="D6" s="485"/>
      <c r="F6" s="486" t="s">
        <v>152</v>
      </c>
      <c r="G6" s="487">
        <v>0.0</v>
      </c>
      <c r="H6" s="487">
        <v>30.0</v>
      </c>
      <c r="I6" s="487">
        <v>0.0</v>
      </c>
      <c r="J6" s="487">
        <v>0.0</v>
      </c>
      <c r="K6" s="487">
        <v>20.0</v>
      </c>
      <c r="L6" s="487">
        <v>0.0</v>
      </c>
      <c r="M6" s="488" t="s">
        <v>359</v>
      </c>
    </row>
    <row r="7" spans="8:8" ht="14.1">
      <c r="A7" s="489" t="s">
        <v>360</v>
      </c>
      <c r="B7" s="490">
        <v>0.0</v>
      </c>
      <c r="C7" s="484" t="s">
        <v>361</v>
      </c>
      <c r="D7" s="485"/>
      <c r="F7" s="486" t="s">
        <v>154</v>
      </c>
      <c r="G7" s="487">
        <v>0.0</v>
      </c>
      <c r="H7" s="487">
        <v>0.0</v>
      </c>
      <c r="I7" s="487">
        <v>0.0</v>
      </c>
      <c r="J7" s="487">
        <v>30.0</v>
      </c>
      <c r="K7" s="487">
        <v>0.0</v>
      </c>
      <c r="L7" s="487">
        <v>0.0</v>
      </c>
      <c r="M7" s="488" t="s">
        <v>362</v>
      </c>
    </row>
    <row r="8" spans="8:8" ht="14.1">
      <c r="A8" s="489" t="s">
        <v>360</v>
      </c>
      <c r="B8" s="490">
        <v>0.0</v>
      </c>
      <c r="C8" s="484" t="s">
        <v>363</v>
      </c>
      <c r="D8" s="485"/>
      <c r="F8" s="486" t="s">
        <v>156</v>
      </c>
      <c r="G8" s="487">
        <v>0.0</v>
      </c>
      <c r="H8" s="487">
        <v>0.0</v>
      </c>
      <c r="I8" s="487">
        <v>20.0</v>
      </c>
      <c r="J8" s="487">
        <v>0.0</v>
      </c>
      <c r="K8" s="487">
        <v>20.0</v>
      </c>
      <c r="L8" s="487">
        <v>0.0</v>
      </c>
      <c r="M8" s="488" t="s">
        <v>364</v>
      </c>
    </row>
    <row r="9" spans="8:8" ht="14.85">
      <c r="A9" s="491" t="s">
        <v>360</v>
      </c>
      <c r="B9" s="492">
        <v>0.0</v>
      </c>
      <c r="C9" s="484" t="s">
        <v>365</v>
      </c>
      <c r="D9" s="485"/>
      <c r="F9" s="493" t="s">
        <v>158</v>
      </c>
      <c r="G9" s="487">
        <v>0.0</v>
      </c>
      <c r="H9" s="487">
        <v>0.0</v>
      </c>
      <c r="I9" s="487">
        <v>0.0</v>
      </c>
      <c r="J9" s="487">
        <v>0.0</v>
      </c>
      <c r="K9" s="487">
        <v>0.0</v>
      </c>
      <c r="L9" s="487">
        <v>0.0</v>
      </c>
      <c r="M9" s="488" t="s">
        <v>366</v>
      </c>
    </row>
    <row r="10" spans="8:8" ht="16.15">
      <c r="C10" s="484" t="s">
        <v>367</v>
      </c>
      <c r="D10" s="485"/>
      <c r="F10" s="493" t="s">
        <v>392</v>
      </c>
      <c r="G10" s="487">
        <v>20.0</v>
      </c>
      <c r="H10" s="487">
        <v>30.0</v>
      </c>
      <c r="I10" s="487">
        <v>20.0</v>
      </c>
      <c r="J10" s="487">
        <v>10.0</v>
      </c>
      <c r="K10" s="487">
        <v>20.0</v>
      </c>
      <c r="L10" s="487">
        <v>0.0</v>
      </c>
      <c r="M10" s="488"/>
    </row>
    <row r="11" spans="8:8" ht="14.1">
      <c r="C11" s="484" t="s">
        <v>369</v>
      </c>
      <c r="D11" s="485"/>
      <c r="F11" s="494" t="s">
        <v>370</v>
      </c>
      <c r="G11" s="495">
        <v>0.0</v>
      </c>
      <c r="H11" s="495">
        <v>0.0</v>
      </c>
      <c r="I11" s="495">
        <v>0.0</v>
      </c>
      <c r="J11" s="495">
        <v>0.0</v>
      </c>
      <c r="K11" s="495">
        <v>0.0</v>
      </c>
      <c r="L11" s="495">
        <v>0.0</v>
      </c>
      <c r="M11" s="496"/>
    </row>
    <row r="12" spans="8:8" ht="14.1">
      <c r="C12" s="484" t="s">
        <v>371</v>
      </c>
      <c r="D12" s="485"/>
      <c r="F12" s="494" t="s">
        <v>372</v>
      </c>
      <c r="G12" s="495">
        <v>0.0</v>
      </c>
      <c r="H12" s="495">
        <v>0.0</v>
      </c>
      <c r="I12" s="495">
        <v>0.0</v>
      </c>
      <c r="J12" s="495">
        <v>0.0</v>
      </c>
      <c r="K12" s="495">
        <v>0.0</v>
      </c>
      <c r="L12" s="495">
        <v>0.0</v>
      </c>
      <c r="M12" s="496"/>
    </row>
    <row r="13" spans="8:8" ht="14.1">
      <c r="C13" s="484" t="s">
        <v>373</v>
      </c>
      <c r="D13" s="485"/>
      <c r="F13" s="494" t="s">
        <v>374</v>
      </c>
      <c r="G13" s="495">
        <v>0.0</v>
      </c>
      <c r="H13" s="495">
        <v>0.0</v>
      </c>
      <c r="I13" s="495">
        <v>0.0</v>
      </c>
      <c r="J13" s="495">
        <v>0.0</v>
      </c>
      <c r="K13" s="495">
        <v>0.0</v>
      </c>
      <c r="L13" s="495">
        <v>0.0</v>
      </c>
      <c r="M13" s="496"/>
    </row>
    <row r="14" spans="8:8" ht="14.1">
      <c r="C14" s="484" t="s">
        <v>375</v>
      </c>
      <c r="D14" s="485"/>
      <c r="F14" s="494" t="s">
        <v>376</v>
      </c>
      <c r="G14" s="495">
        <v>0.0</v>
      </c>
      <c r="H14" s="495">
        <v>0.0</v>
      </c>
      <c r="I14" s="495">
        <v>0.0</v>
      </c>
      <c r="J14" s="495">
        <v>0.0</v>
      </c>
      <c r="K14" s="495">
        <v>0.0</v>
      </c>
      <c r="L14" s="495">
        <v>0.0</v>
      </c>
      <c r="M14" s="496"/>
    </row>
    <row r="15" spans="8:8" ht="14.1">
      <c r="C15" s="497" t="s">
        <v>360</v>
      </c>
      <c r="D15" s="498"/>
      <c r="F15" s="494" t="s">
        <v>377</v>
      </c>
      <c r="G15" s="495">
        <v>0.0</v>
      </c>
      <c r="H15" s="495">
        <v>0.0</v>
      </c>
      <c r="I15" s="495">
        <v>0.0</v>
      </c>
      <c r="J15" s="495">
        <v>0.0</v>
      </c>
      <c r="K15" s="495">
        <v>0.0</v>
      </c>
      <c r="L15" s="495">
        <v>0.0</v>
      </c>
      <c r="M15" s="496"/>
      <c r="N15" s="499"/>
    </row>
    <row r="16" spans="8:8" ht="14.1">
      <c r="C16" s="497" t="s">
        <v>360</v>
      </c>
      <c r="D16" s="498"/>
      <c r="F16" s="494" t="s">
        <v>378</v>
      </c>
      <c r="G16" s="495">
        <v>0.0</v>
      </c>
      <c r="H16" s="495">
        <v>0.0</v>
      </c>
      <c r="I16" s="495">
        <v>0.0</v>
      </c>
      <c r="J16" s="495">
        <v>0.0</v>
      </c>
      <c r="K16" s="495">
        <v>0.0</v>
      </c>
      <c r="L16" s="495">
        <v>0.0</v>
      </c>
      <c r="M16" s="496"/>
    </row>
    <row r="17" spans="8:8" ht="16.15">
      <c r="C17" s="497" t="s">
        <v>360</v>
      </c>
      <c r="D17" s="498"/>
      <c r="F17" s="489" t="s">
        <v>368</v>
      </c>
      <c r="G17" s="495">
        <v>20.0</v>
      </c>
      <c r="H17" s="495">
        <v>0.0</v>
      </c>
      <c r="I17" s="495">
        <v>0.0</v>
      </c>
      <c r="J17" s="495">
        <v>0.0</v>
      </c>
      <c r="K17" s="495">
        <v>0.0</v>
      </c>
      <c r="L17" s="495">
        <v>0.0</v>
      </c>
      <c r="M17" s="496"/>
    </row>
    <row r="18" spans="8:8" ht="14.1">
      <c r="C18" s="497" t="s">
        <v>360</v>
      </c>
      <c r="D18" s="498"/>
      <c r="F18" s="489"/>
      <c r="G18" s="495">
        <v>0.0</v>
      </c>
      <c r="H18" s="495">
        <v>0.0</v>
      </c>
      <c r="I18" s="495">
        <v>0.0</v>
      </c>
      <c r="J18" s="495">
        <v>0.0</v>
      </c>
      <c r="K18" s="495">
        <v>0.0</v>
      </c>
      <c r="L18" s="495">
        <v>0.0</v>
      </c>
      <c r="M18" s="496"/>
    </row>
    <row r="19" spans="8:8" ht="14.1">
      <c r="C19" s="497" t="s">
        <v>360</v>
      </c>
      <c r="D19" s="498"/>
      <c r="F19" s="489"/>
      <c r="G19" s="495">
        <v>0.0</v>
      </c>
      <c r="H19" s="495">
        <v>0.0</v>
      </c>
      <c r="I19" s="495">
        <v>0.0</v>
      </c>
      <c r="J19" s="495">
        <v>0.0</v>
      </c>
      <c r="K19" s="495">
        <v>0.0</v>
      </c>
      <c r="L19" s="495">
        <v>0.0</v>
      </c>
      <c r="M19" s="496"/>
    </row>
    <row r="20" spans="8:8" ht="14.85">
      <c r="C20" s="497" t="s">
        <v>360</v>
      </c>
      <c r="D20" s="498"/>
      <c r="F20" s="491"/>
      <c r="G20" s="500">
        <v>0.0</v>
      </c>
      <c r="H20" s="500">
        <v>0.0</v>
      </c>
      <c r="I20" s="500">
        <v>0.0</v>
      </c>
      <c r="J20" s="500">
        <v>0.0</v>
      </c>
      <c r="K20" s="500">
        <v>0.0</v>
      </c>
      <c r="L20" s="500">
        <v>0.0</v>
      </c>
      <c r="M20" s="501"/>
    </row>
    <row r="21" spans="8:8" ht="14.1">
      <c r="C21" s="497" t="s">
        <v>360</v>
      </c>
      <c r="D21" s="498"/>
    </row>
    <row r="22" spans="8:8" ht="20.65">
      <c r="C22" s="497" t="s">
        <v>360</v>
      </c>
      <c r="D22" s="498"/>
      <c r="F22" t="s">
        <v>395</v>
      </c>
      <c r="H22" t="s">
        <v>396</v>
      </c>
      <c r="J22" t="s">
        <v>400</v>
      </c>
    </row>
    <row r="23" spans="8:8" ht="20.65">
      <c r="C23" s="497" t="s">
        <v>360</v>
      </c>
      <c r="D23" s="498"/>
      <c r="F23" t="s">
        <v>300</v>
      </c>
      <c r="G23">
        <v>7.0</v>
      </c>
      <c r="H23" t="s">
        <v>300</v>
      </c>
      <c r="I23">
        <v>9.0</v>
      </c>
      <c r="J23" t="s">
        <v>406</v>
      </c>
      <c r="K23">
        <v>6.0</v>
      </c>
    </row>
    <row r="24" spans="8:8" ht="20.65">
      <c r="C24" s="497" t="s">
        <v>360</v>
      </c>
      <c r="D24" s="498"/>
      <c r="F24" t="s">
        <v>394</v>
      </c>
      <c r="G24">
        <v>5.0</v>
      </c>
      <c r="H24"/>
      <c r="I24"/>
      <c r="J24" t="s">
        <v>405</v>
      </c>
      <c r="K24">
        <v>4.0</v>
      </c>
    </row>
    <row r="25" spans="8:8" ht="20.65">
      <c r="C25" s="497" t="s">
        <v>360</v>
      </c>
      <c r="D25" s="498"/>
      <c r="F25" t="s">
        <v>382</v>
      </c>
      <c r="G25">
        <v>7.0</v>
      </c>
      <c r="H25" t="s">
        <v>382</v>
      </c>
      <c r="I25">
        <v>7.0</v>
      </c>
      <c r="J25" t="s">
        <v>382</v>
      </c>
      <c r="K25">
        <v>7.0</v>
      </c>
    </row>
    <row r="26" spans="8:8" ht="20.65">
      <c r="C26" s="497" t="s">
        <v>360</v>
      </c>
      <c r="D26" s="498"/>
      <c r="F26" t="s">
        <v>71</v>
      </c>
      <c r="G26">
        <v>5.0</v>
      </c>
      <c r="H26" t="s">
        <v>71</v>
      </c>
      <c r="I26">
        <v>5.0</v>
      </c>
      <c r="J26" t="s">
        <v>71</v>
      </c>
      <c r="K26">
        <v>5.0</v>
      </c>
    </row>
    <row r="27" spans="8:8" ht="20.65">
      <c r="C27" s="497" t="s">
        <v>360</v>
      </c>
      <c r="D27" s="498"/>
      <c r="F27" t="s">
        <v>397</v>
      </c>
      <c r="G27">
        <v>5.0</v>
      </c>
      <c r="H27" t="s">
        <v>397</v>
      </c>
      <c r="I27">
        <v>5.0</v>
      </c>
      <c r="J27" t="s">
        <v>401</v>
      </c>
      <c r="K27">
        <v>3.0</v>
      </c>
    </row>
    <row r="28" spans="8:8" ht="20.65">
      <c r="C28" s="502" t="s">
        <v>360</v>
      </c>
      <c r="D28" s="503"/>
      <c r="F28" t="s">
        <v>384</v>
      </c>
      <c r="G28">
        <v>6.0</v>
      </c>
      <c r="H28" t="s">
        <v>384</v>
      </c>
      <c r="I28">
        <v>6.0</v>
      </c>
      <c r="J28" t="s">
        <v>384</v>
      </c>
      <c r="K28">
        <v>6.0</v>
      </c>
    </row>
    <row r="29" spans="8:8" ht="20.65">
      <c r="C29" s="502" t="s">
        <v>360</v>
      </c>
      <c r="D29" s="503"/>
      <c r="F29" t="s">
        <v>262</v>
      </c>
      <c r="G29">
        <v>4.0</v>
      </c>
      <c r="H29" t="s">
        <v>262</v>
      </c>
      <c r="I29">
        <v>4.0</v>
      </c>
      <c r="J29" t="s">
        <v>262</v>
      </c>
      <c r="K29">
        <v>4.0</v>
      </c>
    </row>
    <row r="30" spans="8:8" ht="20.65">
      <c r="C30" s="502" t="s">
        <v>360</v>
      </c>
      <c r="D30" s="503"/>
      <c r="F30" t="s">
        <v>399</v>
      </c>
      <c r="G30">
        <v>4.0</v>
      </c>
      <c r="H30" t="s">
        <v>399</v>
      </c>
      <c r="I30">
        <v>4.0</v>
      </c>
      <c r="J30" t="s">
        <v>402</v>
      </c>
      <c r="K30">
        <v>2.0</v>
      </c>
    </row>
    <row r="31" spans="8:8" ht="20.65">
      <c r="C31" s="502" t="s">
        <v>360</v>
      </c>
      <c r="D31" s="503"/>
      <c r="F31" t="s">
        <v>386</v>
      </c>
      <c r="G31">
        <v>5.0</v>
      </c>
      <c r="H31" t="s">
        <v>386</v>
      </c>
      <c r="I31">
        <v>5.0</v>
      </c>
      <c r="J31" t="s">
        <v>386</v>
      </c>
      <c r="K31">
        <v>5.0</v>
      </c>
    </row>
    <row r="32" spans="8:8" ht="20.65">
      <c r="C32" s="502" t="s">
        <v>360</v>
      </c>
      <c r="D32" s="503"/>
      <c r="F32" t="s">
        <v>74</v>
      </c>
      <c r="G32">
        <v>3.0</v>
      </c>
      <c r="H32" t="s">
        <v>74</v>
      </c>
      <c r="I32">
        <v>3.0</v>
      </c>
      <c r="J32" t="s">
        <v>74</v>
      </c>
      <c r="K32">
        <v>3.0</v>
      </c>
    </row>
    <row r="33" spans="8:8" ht="20.65">
      <c r="C33" s="502" t="s">
        <v>360</v>
      </c>
      <c r="D33" s="503"/>
      <c r="F33" t="s">
        <v>398</v>
      </c>
      <c r="G33">
        <v>3.0</v>
      </c>
      <c r="H33" t="s">
        <v>398</v>
      </c>
      <c r="I33">
        <v>3.0</v>
      </c>
      <c r="J33" t="s">
        <v>403</v>
      </c>
      <c r="K33">
        <v>1.0</v>
      </c>
    </row>
    <row r="34" spans="8:8" ht="20.65">
      <c r="C34" s="502" t="s">
        <v>360</v>
      </c>
      <c r="D34" s="503"/>
      <c r="F34" t="s">
        <v>388</v>
      </c>
      <c r="G34">
        <v>4.0</v>
      </c>
      <c r="H34" t="s">
        <v>388</v>
      </c>
      <c r="I34">
        <v>4.0</v>
      </c>
      <c r="J34" t="s">
        <v>388</v>
      </c>
      <c r="K34">
        <v>4.0</v>
      </c>
    </row>
    <row r="35" spans="8:8" ht="20.65">
      <c r="C35" s="504" t="s">
        <v>360</v>
      </c>
      <c r="D35" s="505"/>
      <c r="F35" t="s">
        <v>261</v>
      </c>
      <c r="G35">
        <v>2.0</v>
      </c>
      <c r="H35" t="s">
        <v>261</v>
      </c>
      <c r="I35">
        <v>2.0</v>
      </c>
      <c r="J35" t="s">
        <v>261</v>
      </c>
      <c r="K35">
        <v>2.0</v>
      </c>
    </row>
    <row r="36" spans="8:8" ht="20.65">
      <c r="F36"/>
      <c r="G36"/>
      <c r="H36"/>
      <c r="I36"/>
      <c r="J36" t="s">
        <v>404</v>
      </c>
      <c r="K36">
        <v>0.0</v>
      </c>
    </row>
    <row r="37" spans="8:8" ht="16.7">
      <c r="F37" t="s">
        <v>390</v>
      </c>
      <c r="G37">
        <v>3.0</v>
      </c>
      <c r="H37" t="s">
        <v>390</v>
      </c>
      <c r="I37">
        <v>3.0</v>
      </c>
      <c r="J37" t="s">
        <v>390</v>
      </c>
      <c r="K37">
        <v>3.0</v>
      </c>
    </row>
    <row r="38" spans="8:8" ht="16.7">
      <c r="F38" t="s">
        <v>259</v>
      </c>
      <c r="G38">
        <v>1.0</v>
      </c>
      <c r="H38" t="s">
        <v>259</v>
      </c>
      <c r="I38">
        <v>1.0</v>
      </c>
      <c r="J38" t="s">
        <v>259</v>
      </c>
      <c r="K38">
        <v>1.0</v>
      </c>
    </row>
  </sheetData>
  <mergeCells count="34">
    <mergeCell ref="C16:D16"/>
    <mergeCell ref="C28:D28"/>
    <mergeCell ref="C2:D2"/>
    <mergeCell ref="C13:D13"/>
    <mergeCell ref="C3:D3"/>
    <mergeCell ref="C4:D4"/>
    <mergeCell ref="C33:D33"/>
    <mergeCell ref="C17:D17"/>
    <mergeCell ref="C20:D20"/>
    <mergeCell ref="C21:D21"/>
    <mergeCell ref="C25:D25"/>
    <mergeCell ref="C34:D34"/>
    <mergeCell ref="C32:D32"/>
    <mergeCell ref="C18:D18"/>
    <mergeCell ref="C35:D35"/>
    <mergeCell ref="C15:D15"/>
    <mergeCell ref="C6:D6"/>
    <mergeCell ref="C14:D14"/>
    <mergeCell ref="C19:D19"/>
    <mergeCell ref="C30:D30"/>
    <mergeCell ref="C5:D5"/>
    <mergeCell ref="C12:D12"/>
    <mergeCell ref="C11:D11"/>
    <mergeCell ref="C9:D9"/>
    <mergeCell ref="C8:D8"/>
    <mergeCell ref="C7:D7"/>
    <mergeCell ref="C10:D10"/>
    <mergeCell ref="C31:D31"/>
    <mergeCell ref="C22:D22"/>
    <mergeCell ref="C24:D24"/>
    <mergeCell ref="C27:D27"/>
    <mergeCell ref="C26:D26"/>
    <mergeCell ref="C23:D23"/>
    <mergeCell ref="C29:D29"/>
  </mergeCells>
  <pageMargins left="0.75" right="0.75" top="1.0" bottom="1.0" header="0.511805555555556" footer="0.51180555555555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rangeList sheetStid="2" master=""/>
  <rangeList sheetStid="3" master=""/>
  <rangeList sheetStid="4" master=""/>
  <rangeList sheetStid="5" master=""/>
  <rangeList sheetStid="6"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cp:lastModifiedBy>iPhone</cp:lastModifiedBy>
  <dcterms:created xsi:type="dcterms:W3CDTF">2017-08-01T03:16:00Z</dcterms:created>
  <dcterms:modified xsi:type="dcterms:W3CDTF">2025-12-26T03:38:47Z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2052-12.19.2</vt:lpwstr>
  </property>
  <property fmtid="{D5CDD505-2E9C-101B-9397-08002B2CF9AE}" pid="3" name="ICV">
    <vt:lpwstr>4852EB3C49C94D3EAA00CE87DDDAD5E5_13</vt:lpwstr>
  </property>
</Properties>
</file>