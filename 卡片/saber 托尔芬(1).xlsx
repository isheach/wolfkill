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9029"/>
  <workbookPr defaultThemeVersion="153222"/>
  <bookViews>
    <workbookView xWindow="1140" yWindow="1140" windowWidth="24300" windowHeight="13390" firstSheet="1" activeTab="1"/>
  </bookViews>
  <sheets>
    <sheet name="说明" sheetId="1" r:id="rId2" state="hidden"/>
    <sheet name="角色卡 " sheetId="2" r:id="rId3"/>
    <sheet name="角色經歷" sheetId="3" r:id="rId4"/>
    <sheet name="调卡用表" sheetId="4" r:id="rId5"/>
    <sheet name="建卡用参考资源" sheetId="5" r:id="rId6" state="hidden"/>
    <sheet name="技能&amp;宝具资源库" sheetId="6" r:id="rId7" state="hidden"/>
    <sheet name="數值參考" sheetId="7" r:id="rId8" state="hidden"/>
  </sheets>
  <externalReferences>
    <externalReference r:id="rId1"/>
  </externalReferences>
  <definedNames>
    <definedName name="_xlnm.Print_Area" localSheetId="1">'角色卡 '!$B$2:$N$76</definedName>
    <definedName name="阵营">數值參考!$C$3:$C$35</definedName>
  </definedNames>
  <calcPr calcId="191029"/>
</workbook>
</file>

<file path=xl/comments2.xml><?xml version="1.0" encoding="utf-8"?>
<comments xmlns="http://schemas.openxmlformats.org/spreadsheetml/2006/main">
  <authors>
    <author>dell</author>
  </authors>
  <commentList>
    <comment ref="H3" authorId="0">
      <text>
        <r>
          <rPr>
            <sz val="9"/>
            <rFont val="宋体"/>
            <family val="3"/>
            <charset val="134"/>
          </rPr>
          <t xml:space="preserve">放置角色肖像的栏位。
请选适当的图片。
若手机没办法贴上，请在交卡时直接传一张给GM。</t>
        </r>
      </text>
    </comment>
    <comment ref="N8" authorId="0">
      <text>
        <r>
          <rPr>
            <sz val="9"/>
            <rFont val="宋体"/>
            <family val="3"/>
            <charset val="134"/>
          </rPr>
          <t xml:space="preserve">幻灵皆为虚造。
非特殊情况下，未来、异闻带不开放。</t>
        </r>
      </text>
    </comment>
    <comment ref="F13" authorId="0">
      <text>
        <r>
          <rPr>
            <sz val="9"/>
            <rFont val="宋体"/>
            <family val="3"/>
            <charset val="134"/>
          </rPr>
          <t xml:space="preserve">袖珍：0~140cm；
通常：141~220cm；
巨大：221~1000cm；
超巨大：1001~∞。</t>
        </r>
      </text>
    </comment>
  </commentList>
</comments>
</file>

<file path=xl/comments3.xml><?xml version="1.0" encoding="utf-8"?>
<comments xmlns="http://schemas.openxmlformats.org/spreadsheetml/2006/main">
  <authors>
    <author>misak</author>
  </authors>
  <commentList>
    <comment ref="E18" authorId="0">
      <text>
        <r>
          <rPr>
            <sz val="9"/>
            <rFont val="宋体"/>
            <family val="3"/>
            <charset val="134"/>
          </rPr>
          <t xml:space="preserve">此处由GM凭借个人主观意志进行填写。</t>
        </r>
      </text>
    </comment>
  </commentList>
</comments>
</file>

<file path=xl/sharedStrings.xml><?xml version="1.0" encoding="utf-8"?>
<sst xmlns="http://schemas.openxmlformats.org/spreadsheetml/2006/main" uniqueCount="501" count="501">
  <si>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</si>
  <si>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</si>
  <si>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</si>
  <si>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</si>
  <si>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</si>
  <si>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</si>
  <si>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</si>
  <si>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</si>
  <si>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</si>
  <si>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</si>
  <si>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</si>
  <si>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</si>
  <si>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</si>
  <si>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</si>
  <si>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</si>
  <si>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</si>
  <si>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</si>
  <si>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</si>
  <si>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</si>
  <si>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</si>
  <si>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</si>
  <si>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</si>
  <si>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</si>
  <si>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</si>
  <si>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</si>
  <si>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</si>
  <si>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</si>
  <si>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</si>
  <si>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</si>
  <si>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</si>
  <si>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</si>
  <si>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</si>
  <si>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</si>
  <si>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</si>
  <si>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</si>
  <si>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t>
  </si>
  <si>
    <t>灵基</t>
  </si>
  <si>
    <t>令咒</t>
  </si>
  <si>
    <t>剩余资源</t>
  </si>
  <si>
    <t>特性</t>
  </si>
  <si>
    <t>花费资源</t>
  </si>
  <si>
    <t>时代</t>
  </si>
  <si>
    <t>过去</t>
  </si>
  <si>
    <t>Saber</t>
  </si>
  <si>
    <t>隐属</t>
  </si>
  <si>
    <t>地</t>
  </si>
  <si>
    <t>英灵</t>
  </si>
  <si>
    <t>性别</t>
  </si>
  <si>
    <t>人型</t>
  </si>
  <si>
    <t>扩容</t>
  </si>
  <si>
    <t>体型</t>
  </si>
  <si>
    <t>注释</t>
  </si>
  <si>
    <t>通常</t>
  </si>
  <si>
    <t>特攻列表不会也不能为其他角色所获取。</t>
  </si>
  <si>
    <t>等级</t>
  </si>
  <si>
    <t>筋力</t>
  </si>
  <si>
    <t>耐久</t>
  </si>
  <si>
    <t>敏捷</t>
  </si>
  <si>
    <t>魔力</t>
  </si>
  <si>
    <t>幸运</t>
  </si>
  <si>
    <t>宝具</t>
  </si>
  <si>
    <t>属性点数</t>
  </si>
  <si>
    <t>RP补正</t>
  </si>
  <si>
    <t>合计</t>
  </si>
  <si>
    <t>分配</t>
  </si>
  <si>
    <t>剩余点数</t>
  </si>
  <si>
    <t>基础上限</t>
  </si>
  <si>
    <t>补正</t>
  </si>
  <si>
    <t>职阶技能</t>
  </si>
  <si>
    <t>模板</t>
  </si>
  <si>
    <t>对魔力</t>
  </si>
  <si>
    <t>A(本职)</t>
  </si>
  <si>
    <t>资源</t>
  </si>
  <si>
    <t>风王结界</t>
  </si>
  <si>
    <t>C</t>
  </si>
  <si>
    <t>名称</t>
  </si>
  <si>
    <t>类型</t>
  </si>
  <si>
    <t>职介</t>
  </si>
  <si>
    <t>回转</t>
  </si>
  <si>
    <t>对军</t>
  </si>
  <si>
    <t>发动时机</t>
  </si>
  <si>
    <t>常驻</t>
  </si>
  <si>
    <t>魔力消耗</t>
  </si>
  <si>
    <t>效果</t>
  </si>
  <si>
    <t>（不论持有的职介技能数量，对于从者职介带来的职介技能，其基础等级皆为E，每提升一级都需要消耗1RP）</t>
  </si>
  <si>
    <t>（每名从者持有一个初始宝具栏，每个额外宝具栏需消耗2RP购入，写作[扩容]）</t>
  </si>
  <si>
    <t>背景</t>
  </si>
  <si>
    <t>誓约胜利之剑</t>
  </si>
  <si>
    <t>A</t>
  </si>
  <si>
    <t>对人</t>
  </si>
  <si>
    <t>随时</t>
  </si>
  <si>
    <t>保有技能</t>
  </si>
  <si>
    <t>礼装</t>
  </si>
  <si>
    <t>魔力放出</t>
  </si>
  <si>
    <t>/</t>
  </si>
  <si>
    <t>技艺</t>
  </si>
  <si>
    <t>（建卡时，从者无法持有礼装）</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</si>
  <si>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</si>
  <si>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</si>
  <si>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</si>
  <si>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</si>
  <si>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</si>
  <si>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</si>
  <si>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</si>
  <si>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</si>
  <si>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</si>
  <si>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</si>
  <si>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</si>
  <si>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</si>
  <si>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</si>
  <si>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</si>
  <si>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</si>
  <si>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</si>
  <si>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</si>
  <si>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</si>
  <si>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</si>
  <si>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</si>
  <si>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</si>
  <si>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</si>
  <si>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</si>
  <si>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</si>
  <si>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</si>
  <si>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</si>
  <si>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</si>
  <si>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</si>
  <si>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</si>
  <si>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</si>
  <si>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</si>
  <si>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</si>
  <si>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</si>
  <si>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</si>
  <si>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</si>
  <si>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</si>
  <si>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（为什么你扮演的角色作为这个职介现界？）</t>
  </si>
  <si>
    <t>英灵原则</t>
  </si>
  <si>
    <t>（在圣杯战争中，你扮演的角色会遵循哪些世俗的道德原则？又或者他存在自己的原则？）</t>
  </si>
  <si>
    <t>下方的效果将严重影响角色方针，请自行填写描述，由GM决定具体效果</t>
  </si>
  <si>
    <t>特性:</t>
  </si>
  <si>
    <t>（例：无尽的强制）</t>
  </si>
  <si>
    <t>效果︰</t>
  </si>
  <si>
    <t>（例：执行[机动]的回合内作为袭击方参与战斗时将额外获得[+5%]的胜率补正）</t>
  </si>
  <si>
    <t>描述︰</t>
  </si>
  <si>
    <t>（例：你的角色无论如何都不会放弃圣杯，将会用尽一切手段攻击其他可能的阻碍者或在战斗中胜出）</t>
  </si>
  <si>
    <t>职阶名称</t>
  </si>
  <si>
    <t>技能等级</t>
  </si>
  <si>
    <r>
      <rPr>
        <charset val="134"/>
        <sz val="12"/>
        <color rgb="FF000000"/>
        <rFont val="宋体"/>
      </rPr>
      <t>对应</t>
    </r>
    <r>
      <rPr>
        <b/>
        <charset val="134"/>
        <sz val="12"/>
        <color rgb="FF000000"/>
        <rFont val="宋体"/>
      </rPr>
      <t>RP</t>
    </r>
  </si>
  <si>
    <t>宝具等级</t>
  </si>
  <si>
    <t>E</t>
  </si>
  <si>
    <t>Saber(骑乘)</t>
  </si>
  <si>
    <t>D</t>
  </si>
  <si>
    <t>Lancer</t>
  </si>
  <si>
    <t>Rider</t>
  </si>
  <si>
    <t>B</t>
  </si>
  <si>
    <t>Archer</t>
  </si>
  <si>
    <t>Caster</t>
  </si>
  <si>
    <t>EX</t>
  </si>
  <si>
    <t>Assassin</t>
  </si>
  <si>
    <t>-(E)</t>
  </si>
  <si>
    <t>Berserker</t>
  </si>
  <si>
    <t>-(D)</t>
  </si>
  <si>
    <t>Pretender（特供）</t>
  </si>
  <si>
    <t>-(C)</t>
  </si>
  <si>
    <t>-(B)</t>
  </si>
  <si>
    <t>-(A)</t>
  </si>
  <si>
    <t>-(EX)</t>
  </si>
  <si>
    <t>E+</t>
  </si>
  <si>
    <t>D+</t>
  </si>
  <si>
    <t>C+</t>
  </si>
  <si>
    <t>B+</t>
  </si>
  <si>
    <t>A+</t>
  </si>
  <si>
    <t>E++</t>
  </si>
  <si>
    <t>D++</t>
  </si>
  <si>
    <t>C++</t>
  </si>
  <si>
    <t>B++</t>
  </si>
  <si>
    <t>A++</t>
  </si>
  <si>
    <t>E+++</t>
  </si>
  <si>
    <t>D+++</t>
  </si>
  <si>
    <t>C+++</t>
  </si>
  <si>
    <t>B+++</t>
  </si>
  <si>
    <t>A+++</t>
  </si>
  <si>
    <t>*仅包含常用资源</t>
  </si>
  <si>
    <t>基础属性</t>
  </si>
  <si>
    <t>职阶奖励与特性</t>
  </si>
  <si>
    <t>属性</t>
  </si>
  <si>
    <t>[对魔力]上升一级。</t>
  </si>
  <si>
    <t>点数</t>
  </si>
  <si>
    <t>需要主动释放且[类型：对人宝具]的宝具所消耗的魔力降低10点。</t>
  </si>
  <si>
    <t>从[对魔力]或[单独行动]中，择一项上升一级。</t>
  </si>
  <si>
    <t>从[对魔力]或[骑乘]中，择一项上升一级。</t>
  </si>
  <si>
    <t>从[阵地制作]或[道具制作]中，择一项上升一级。</t>
  </si>
  <si>
    <t>[气息遮蔽]上升一级。</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</si>
  <si>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</si>
  <si>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</si>
  <si>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</si>
  <si>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</si>
  <si>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</si>
  <si>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</si>
  <si>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</si>
  <si>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</si>
  <si>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</si>
  <si>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</si>
  <si>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</si>
  <si>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</si>
  <si>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</si>
  <si>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</si>
  <si>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</si>
  <si>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</si>
  <si>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</si>
  <si>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</si>
  <si>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</si>
  <si>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</si>
  <si>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</si>
  <si>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</si>
  <si>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</si>
  <si>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</si>
  <si>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</si>
  <si>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</si>
  <si>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</si>
  <si>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</si>
  <si>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</si>
  <si>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</si>
  <si>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</si>
  <si>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</si>
  <si>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</si>
  <si>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</si>
  <si>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</si>
  <si>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</si>
  <si>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</si>
  <si>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</si>
  <si>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</si>
  <si>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</si>
  <si>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</si>
  <si>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</si>
  <si>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</si>
  <si>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</si>
  <si>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</si>
  <si>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</si>
  <si>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</si>
  <si>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</si>
  <si>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</si>
  <si>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</si>
  <si>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</si>
  <si>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</si>
  <si>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</si>
  <si>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</si>
  <si>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</si>
  <si>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</si>
  <si>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</si>
  <si>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</si>
  <si>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</si>
  <si>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</si>
  <si>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</si>
  <si>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</si>
  <si>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</si>
  <si>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</si>
  <si>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</si>
  <si>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</si>
  <si>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</si>
  <si>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</si>
  <si>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</si>
  <si>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</si>
  <si>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</si>
  <si>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</si>
  <si>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</si>
  <si>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</si>
  <si>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</si>
  <si>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</si>
  <si>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</si>
  <si>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</si>
  <si>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</si>
  <si>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</si>
  <si>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</si>
  <si>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</si>
  <si>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</si>
  <si>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</si>
  <si>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</si>
  <si>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</si>
  <si>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</si>
  <si>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</si>
  <si>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</si>
  <si>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</si>
  <si>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</si>
  <si>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</si>
  <si>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</si>
  <si>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</si>
  <si>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</si>
  <si>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</si>
  <si>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</si>
  <si>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</si>
  <si>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</si>
  <si>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技能发动时</t>
  </si>
  <si>
    <t>[反击][支援]
当自身成为此技能等级相同或以下的[类型：魔术]技能的效果对象，或受到其效果影响时可以发动，令那个技能对自身可能生效的效果无效，且不会返还发动消耗。</t>
  </si>
  <si>
    <t>骑乘</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</si>
  <si>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</si>
  <si>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</si>
  <si>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</si>
  <si>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</si>
  <si>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</si>
  <si>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</si>
  <si>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</si>
  <si>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</si>
  <si>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</si>
  <si>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</si>
  <si>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</si>
  <si>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</si>
  <si>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</si>
  <si>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</si>
  <si>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</si>
  <si>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</si>
  <si>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</si>
  <si>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</si>
  <si>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</si>
  <si>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</si>
  <si>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</si>
  <si>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</si>
  <si>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</si>
  <si>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</si>
  <si>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</si>
  <si>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</si>
  <si>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</si>
  <si>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</si>
  <si>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</si>
  <si>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</si>
  <si>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</si>
  <si>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</si>
  <si>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</si>
  <si>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</si>
  <si>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</si>
  <si>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</si>
  <si>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</si>
  <si>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</si>
  <si>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</si>
  <si>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</si>
  <si>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</si>
  <si>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</si>
  <si>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</si>
  <si>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</si>
  <si>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</si>
  <si>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</si>
  <si>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</si>
  <si>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</si>
  <si>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</si>
  <si>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</si>
  <si>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</si>
  <si>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</si>
  <si>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</si>
  <si>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</si>
  <si>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</si>
  <si>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</si>
  <si>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</si>
  <si>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</si>
  <si>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</si>
  <si>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</si>
  <si>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</si>
  <si>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</si>
  <si>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</si>
  <si>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</si>
  <si>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</si>
  <si>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</si>
  <si>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</si>
  <si>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</si>
  <si>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</si>
  <si>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</si>
  <si>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</si>
  <si>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</si>
  <si>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</si>
  <si>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</si>
  <si>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</si>
  <si>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</si>
  <si>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</si>
  <si>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</si>
  <si>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</si>
  <si>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</si>
  <si>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</si>
  <si>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</si>
  <si>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</si>
  <si>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</si>
  <si>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</si>
  <si>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</si>
  <si>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</si>
  <si>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职阶特性</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</si>
  <si>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</si>
  <si>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</si>
  <si>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</si>
  <si>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</si>
  <si>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</si>
  <si>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</si>
  <si>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</si>
  <si>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</si>
  <si>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</si>
  <si>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</si>
  <si>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</si>
  <si>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</si>
  <si>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</si>
  <si>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</si>
  <si>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</si>
  <si>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</si>
  <si>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</si>
  <si>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</si>
  <si>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</si>
  <si>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</si>
  <si>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</si>
  <si>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</si>
  <si>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</si>
  <si>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</si>
  <si>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</si>
  <si>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</si>
  <si>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</si>
  <si>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</si>
  <si>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</si>
  <si>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</si>
  <si>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</si>
  <si>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</si>
  <si>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 [视为A级]</t>
  </si>
  <si>
    <t>B(本职)</t>
  </si>
  <si>
    <t>- [视为B级]</t>
  </si>
  <si>
    <t>C(本职)</t>
  </si>
  <si>
    <t>- [视为C级]</t>
  </si>
  <si>
    <t>D(本职)</t>
  </si>
  <si>
    <t>E(本职)</t>
  </si>
  <si>
    <t>随</t>
  </si>
  <si>
    <t>1、无法[魂食]，发生[魂食暴露]时必须[介入]并[袭击]魂食单位，与[混沌恶]单位发生[交流]时会
立刻知悉并对敌方宣言[袭击]；
2、所有战斗工序中都必须解放符合时机且不处于回转的自身宝具，在敌方解放过宝具的工序内，
若自身有宝具可以在本场战斗中解放，则无法宣言撤退；
3、若敌方不存在阵营[恶]或者进行过[魂食]的单位，则自身无法作为袭击方参与到与敌方的战斗
中；
4、无法破弃任何契约，进行语言类角色扮演时所有发言必须从角色视角为真（原则上脑交也必
须为真）；
5、无法对未参战单位宣言[冲锋]，若敌方[主力位]首次与自身战斗，自身无法宣言[死斗]；
6、仅能宣言[破袭]或[强击]作为战术，只要最终胜率不为[0]就无法在最终工序内撤退；
自身违背生效特质时，移除对应记录。
自身处于主力位时，始终给予自身[+记录特质数*15%]的胜率补正。
此技能等级达到EX时，若自身未曾违背任一特质，额外给予自身[+15%]胜率补正。</t>
  </si>
  <si>
    <t>王途踏破</t>
  </si>
  <si>
    <t>勇者的不凋花</t>
  </si>
  <si>
    <t>建卡时，若持有[闪耀于终焉之枪 A+/A++/EX]或[誓约胜利之剑 A+/A++/EX]，则必须获取此
宝具。
此宝具只能和[闪耀于终焉之枪]或[誓约胜利之剑]一同购入，占用同一宝具栏位，且仅能在建卡
时获取。
[闪耀于终焉之枪]或[誓约胜利之剑]效果生效时，根据以下条件：
1、与自身持有圣杯契约的御主令咒数量为[0]，或自身作为被[袭击]方。
2、目标等级高于自身或持有[巨大]。
3、自身未曾进行过[魂食]。
4、进行语言类角色扮演时所有发言必须从角色视角为真（原则上脑交也必须为真）
5、敌方战斗位所有单位均不持有具有[精灵]字段的技能和宝具。
6、己方战斗位仅有自身。
7、敌方战斗位存在阵营为恶的单位。
8、敌方战斗位单位其自阵营存在进行[魂食]的单位
9、敌方战斗位单位，其自阵营单位具有[对人类威胁]或[隐藏属性：兽]。
10、解放时，须将自身真名展露并通告全局。
11、持有[同盟契约]，并且[同盟契约]影响的单位不存在阵营[恶]。
12、敌方[主力位]阵营为[混沌]且不为[善]。
13、同时达成了其他所有条件。
在对应宝具给予自身胜率补正时，额外给予自身[+30*（达成条件数-4）%]胜率补正，此胜率
补正为负数时将转化为一半数值的胜率惩罚。此胜率补正至多为[60%]。并且在自身达成至少[7]
条条件时，此胜率补正及其上限翻倍。
在对应宝具对敌方单位造成胜率惩罚时时，则改为造成上述效果胜率补正一半数值的胜率惩罚，
当此宝具同时达成了13条条件，则本次解放的[闪耀于终焉之枪]或[誓约胜利之剑]无需[蓄力]，
其效果将在宣言解放的当下立即生效。并且在其生效时，给予自身[+30%]最终胜率。
此宝具带来的效果，在判定上来源于[闪耀于终焉之枪]或[誓约胜利之剑]。</t>
  </si>
  <si>
    <t>对宝具 (视为对人)</t>
  </si>
  <si>
    <t xml:space="preserve">十三封印·Seal·Thirteen </t>
  </si>
  <si>
    <t>兽化</t>
  </si>
  <si>
    <t>维京血脉</t>
  </si>
  <si>
    <t>建卡时，给予自身[野兽的逻辑 B]并破除自身持有的[狂化]，以此方式破除[狂化]时，给予自身
[+1]RP点。
持有此技能时，自身始终持有[特性赋予：猛兽]或[特性赋予：魔兽]。
给予自身除[宝具]以外全属性[+35/30/25/20/15]的常驻补正。
此技能名称同样为[狂化]。</t>
  </si>
  <si>
    <t>建卡时，给予自身[野兽的逻辑 B]并破除自身持有的[狂化]，以此方式破除[狂化]时，给予自身
[+1]RP点。
持有此技能时，自身始终持有[特性赋予：猛兽]或[特性赋予：魔兽]。
给予自身除[宝具]以外全属性[+50]的常驻补正。
此技能名称同样为[狂化]。</t>
  </si>
  <si>
    <t>[反击]
给予自身[抗性上升：+5%]。
若受到此技能效果影响的[类型：魔术]技能未能对自身造成效果，给予自身[+10%]胜率补正。
当自身成为[类型：魔术]技能的效果对象时允许宣言产生以下效果：
仅在此次判定中，将其对自身的效果下降[-]级。
上述效果生效后，使此技能失去 1 回转，在获得全部回转前，此效果无法再次生效。
若因此技能而导致其效果等级降低，但其效果不存在相应模板时，将以其效果最低等级生效；
若其效果等级降低至低于E级，则使之无效化，且不会返还发动消耗。
此技能持有加符时，不会获得加符原本效果，而是给予此技能[抗性上升：+10%]。</t>
  </si>
  <si>
    <t>[主力位]
建卡时，允许额外购入一枚加符。
主要阶段进行解放宣言。[蓄力]。
最终工序时，给予自身[+60/50/40%]的胜率补正。
最终工序时，允许自阵营御主单位追加宣言消耗至少一枚令咒，摧毁当前灵脉所有[阵地][魔术工
房][神殿][魔术结界]，令宝具持有者对自身进行一次成功率=[70/60/50%]的[轰击]判定，成功的
场合下，本回合中，始终给予自身[+60%]胜率补正。
此外，每额外追加宣言一枚令咒，都将额外进行一次相同的[轰击]判定。
此宝具持有加符时，不会产生加符原本效果，而是允许在对应时机宣言移除一枚加符并支付[40]
魔力，视为消耗一枚令咒发起[轰击]判定。
特别的，若此宝具持有两枚以上加符，则在发起[轰击]判定时，若己方最终胜率为[0]，则本次判
定默认成功。</t>
  </si>
  <si>
    <t>[主力位]
建卡时，允许额外购入一枚加符。
主要阶段进行解放宣言。[蓄力]。
最终工序时，给予自身[+60/50/40%]的胜率补正。
最终工序时，允许自阵营御主单位追加宣言消耗至少一枚令咒，摧毁当前灵脉所有[阵地][魔术工
房][神殿][魔术结界]，令宝具持有者对自身进行一次成功率=[50%]的[轰击]判定，成功的
场合下，本回合中，始终给予自身[+60%]胜率补正。
此外，每额外追加宣言一枚令咒，都将额外进行一次相同的[轰击]判定。
此宝具持有加符时，不会产生加符原本效果，而是允许在对应时机宣言移除一枚加符并支付[40]
魔力，视为消耗一枚令咒发起[轰击]判定。
特别的，若此宝具持有两枚以上加符，则在发起[轰击]判定时，若己方最终胜率为[0]，则本次判
定默认成功。</t>
  </si>
  <si>
    <t>[主力位]
建卡时，允许额外购入一枚加符。
主要阶段进行解放宣言。[蓄力]。
最终工序时，给予自身[+40%]的胜率补正。
最终工序时，允许自阵营御主单位追加宣言消耗至少一枚令咒，摧毁当前灵脉所有[阵地][魔术工
房][神殿][魔术结界]，令宝具持有者对自身进行一次成功率=[50%]的[轰击]判定，成功的
场合下，本回合中，始终给予自身[+60%]胜率补正。
此外，每额外追加宣言一枚令咒，都将额外进行一次相同的[轰击]判定。
此宝具持有加符时，不会产生加符原本效果，而是允许在对应时机宣言移除一枚加符并支付[40]
魔力，视为消耗一枚令咒发起[轰击]判定。
特别的，若此宝具持有两枚以上加符，则在发起[轰击]判定时，若己方最终胜率为[0]，则本次判
定默认成功。</t>
  </si>
  <si>
    <t>给予自身[抗性上升：+30%]
当自身受到的[即死]判定时，令此次判定默认失败；此效果每生效一次，此宝具的[魔力消耗][+10]。自身成为保有等级不低于此宝具的[神性]单位技能宝具的效果目标，或受到其效果影响时，此宝
具本回合无效化</t>
  </si>
  <si>
    <t xml:space="preserve">对宝具 </t>
  </si>
  <si>
    <t>对宝具(视为对人)</t>
  </si>
  <si>
    <t>不杀誓约·Oath·Non·Killing</t>
  </si>
  <si>
    <t>荣冠</t>
  </si>
  <si>
    <t>血浪战骸</t>
  </si>
  <si>
    <t>战士背上的伤痕从来不是屈辱，而是自己值得夸耀的荣耀</t>
  </si>
  <si>
    <t>野兽的逻辑</t>
  </si>
  <si>
    <t xml:space="preserve">约姆的战鬼 </t>
  </si>
  <si>
    <t xml:space="preserve">尤姆的战鬼 </t>
  </si>
  <si>
    <t>男</t>
  </si>
  <si>
    <t>冰岛</t>
  </si>
  <si>
    <t>无</t>
  </si>
  <si>
    <t>维京</t>
  </si>
  <si>
    <t>探险家/战士</t>
  </si>
  <si>
    <t>战士/探险家</t>
  </si>
  <si>
    <t>托尔芬·卡尔塞夫尼</t>
  </si>
  <si>
    <t>早些年间有在征战沙场，常以两把短剑作为武器</t>
  </si>
  <si>
    <t>尽量不杀生，甚至尽量不杀人</t>
  </si>
  <si>
    <t>托尔芬·卡尔塞夫尼/Torfin Kersefni</t>
  </si>
  <si>
    <t>1、无法[魂食]，发生[魂食暴露]时必须[介入]并[袭击]魂食单位，与[混沌恶]单位发生[交流]时会
立刻知悉并对敌方宣言[袭击]；
3、若敌方不存在阵营[恶]或者进行过[魂食]的单位，则自身无法作为袭击方参与到与敌方的战斗
中；
4、无法破弃任何契约，进行语言类角色扮演时所有发言必须从角色视角为真（原则上脑交也必
须为真）；
5、无法对未参战单位宣言[冲锋]，若敌方[主力位]首次与自身战斗，自身无法宣言[死斗]；
6、仅能宣言[破袭]或[强击]作为战术，只要最终胜率不为[0]就无法在最终工序内撤退；
自身违背生效特质时，移除对应记录。
自身处于主力位时，始终给予自身[+记录特质数*15%]的胜率补正。
此技能等级达到EX时，若自身未曾违背任一特质，额外给予自身[+15%]胜率补正。</t>
  </si>
  <si>
    <t>自身作为[袭击方]参与战斗时，以下效果生效：
1、必须以杀死敌人为目的；
2、自身对他人发起的负面判定，其成功率无法获得补正；
3、若己方最终胜率不为[0%]则自身无法在战斗工序中撤退。
4、己方有能够解放的宝具时，必须进行解放。
此技能不会占用[面向：天赋]，但是会占用建卡时的技能栏位。</t>
  </si>
  <si>
    <t xml:space="preserve">达到米兰时北欧人带着武器，而那时候的武器大多数为长剑或长剑或斧，其本身也有一定的战斗能力 </t>
  </si>
  <si>
    <t>1.将后世对于哥伦布是第一个到美洲的事迹变回原本的史实
2.回到过去重新征服米兰</t>
  </si>
  <si>
    <t>[主力位]
建卡时，允许额外购入一枚加符。
主要阶段进行解放宣言。[蓄力]。
最终工序时，给予自身[+60%]的胜率补正。
最终工序时，允许自阵营御主单位追加宣言消耗至少一枚令咒，摧毁当前灵脉所有[阵地][魔术工
房][神殿][魔术结界]，令宝具持有者对自身进行一次成功率=[70%]的[轰击]判定，成功的
场合下，本回合中，始终给予自身[+60%]胜率补正。
此外，每额外追加宣言一枚令咒，都将额外进行一次相同的[轰击]判定。
此宝具持有加符时，不会产生加符原本效果，而是允许在对应时机宣言移除一枚加符并支付[40]
魔力，视为消耗一枚令咒发起[轰击]判定。
特别的，若此宝具持有两枚以上加符，则在发起[轰击]判定时，若己方最终胜率为[0]，则本次判
定默认成功。</t>
  </si>
  <si>
    <t>1、无法[魂食]，发生[魂食暴露]时必须[介入]并[袭击]魂食单位，与[混沌恶]单位发生[交流]时会
立刻知悉并对敌方宣言[袭击]；
3、若敌方不存在阵营[恶]或者进行过[魂食]的单位，则自身无法作为袭击方参与到与敌方的战斗
中；
4、无法破弃任何契约，进行语言类角色扮演时所有发言必须从角色视角为真（原则上脑交也必
须为真）；
5、无法对未参战单位宣言[冲锋]，若敌方[主力位]首次与自身战斗，自身无法宣言[死斗]；
6、仅能宣言[破袭]或[强击]作为战术，只要最终胜率不为[0]就无法在最终工序内撤退；
自身违背生效特质时，移除对应记录。
自身处于主力位时，始终给予自身[+记录特质数*15%]的胜率补正</t>
  </si>
  <si>
    <t>其达到美洲的时候，曾与维京探险队立下誓约，尽可能的与当地调和好矛盾，建立沟通联系，一开始还算是友善，然而后面因为猜忌与文化误解产生了巨多冲突
虽然...双方语言不通 也基本上没啥交流，最后也只是因</t>
  </si>
  <si>
    <t>其达到美洲的时候，曾与维京探险队立下誓约，尽可能的与当地调和好矛盾，建立沟通联系，一开始还算是友善，然而后面因为猜忌与文化误解产生了巨多冲突
虽然...双方语言不通 也基本上没啥交流，最后也只是不欢而散</t>
  </si>
  <si>
    <t>北欧文化圈经常的一个共同认知：战士背上的伤痕从来不是屈辱，而是自己值得夸耀的荣耀</t>
  </si>
  <si>
    <t>意志力</t>
  </si>
  <si>
    <t>其在历史上并无直接的具有着与魔术相关的传闻或者是记载，</t>
  </si>
  <si>
    <t>作为职阶而获得，历史上并无直接记载或传闻它有具有和神秘的魔术有所关联
只不过这种能力的来源，除了职阶降世以外，大抵可以理解为其本身远渡的意志力</t>
  </si>
  <si>
    <t>虽说其为探险家，但其骨子里流淌着的是依旧是以嗜杀为生的北欧维京血脉，其生长环境就极具好战以及屠戮
在那个时期英格兰人眼中，北欧这些维京海盗都是无秩序的野兽</t>
  </si>
  <si>
    <t>星辰的引航者</t>
  </si>
  <si>
    <t>他的远征比哥伦布到达美洲早了近500年。他的故事证明了北欧探险家是最早到达北美的欧洲人
他见证着维京并非野蛮的象征</t>
  </si>
  <si>
    <t>星</t>
  </si>
  <si>
    <t>殖民主义</t>
  </si>
  <si>
    <t>无论包裹的多光鲜亮丽，依旧无法掩盖他开拓的本质是掠夺，是想在那建立殖民地，但是失败的行为举措</t>
  </si>
  <si>
    <t>无论包裹的多光鲜亮丽，依旧无法掩盖他开拓的本质是掠夺，是想在那建立殖民地，但是失败的行为举措
弱者就是废物，就该被奴役，这便是他的认知，也是那个时期社会的普遍认知</t>
  </si>
  <si>
    <t>“</t>
  </si>
  <si>
    <t>探险员领军</t>
  </si>
  <si>
    <t>记述吧，勇于开拓星辰之人</t>
  </si>
  <si>
    <t>托尔芬·克尔塞夫尼是首位横渡大西洋并发现美洲的欧洲探险家，比哥伦布早约500年。他率领船队从冰岛出发，目的是在新大陆建立殖民据点并砍伐木材，这一壮举在当时的欧洲被视为极具开拓性的冒险</t>
  </si>
  <si>
    <t>托尔芬·克尔塞夫尼是首位横渡大西洋并发现美洲的欧洲探险家
比哥伦布早约500年。他率领船队从冰岛出发，目的是在新大陆建立殖民据点并砍伐木材，这一壮举在当时的欧洲被视为极具开拓性的冒险</t>
  </si>
  <si>
    <t>朗姆酒</t>
  </si>
  <si>
    <t>中立-中庸</t>
  </si>
  <si>
    <t>以王对王，会以全胜的姿态面对 并且打败对手，之后俘虏殖民</t>
  </si>
  <si>
    <t>友谊？友谊便是互相了解，值得将后辈所托付之人</t>
  </si>
  <si>
    <t>天海</t>
  </si>
  <si>
    <t>“我们在这里无法过上平静的日子，因此才需要开拓”</t>
  </si>
  <si>
    <t>托尔芬，其本身是一个比哥伦布更早达到的人，虽然严格意义上来说 真正的第一个达到美洲的人应该是雷芙。但是根据百度百科的一篇文章中有所提及 这两个可能本身是具有某种亲朋好友的性质存在的
因此我个人认为是可以将它评判为比哥伦布更早达到美洲的第一人，因此如果在fgo中出现的话，应该是能够作为一个星之开拓者</t>
  </si>
  <si>
    <t>战斗中，始终赋予位于主力位上的自身【抗性上升+25/20/15%】.自身始终保有等同于自身【抗性上升】数值的【胜率补正】，以此法获得的胜率补正至多为【60/50/40%】。特别的，若敌方主力位持有【隐藏属性：天/兽】，则使得本技能只在那场战斗中带来的胜率补正及其上限翻倍。</t>
  </si>
  <si>
    <t>战斗中，始终赋予位于主力位上的自身【抗性上升+25%】.自身始终保有等同于自身【抗性上升】数值的【胜率补正】，以此法获得的胜率补正至多为【60%】。特别的，若敌方主力位持有【隐藏属性：天/兽】，则使得本技能只在那场战斗中带来的胜率补正及其上限翻倍。</t>
  </si>
  <si>
    <t>何为维京？是征服？是杀戮还是什么呢？他们认为只有在战场上战死的才是真正的勇士，而勇士死了之后是会进入英灵殿的。他们因此保留着人类最野蛮的本性
而他并不清楚自己心中的血性到底是些什么，他对未来有着渴望，他对远方有着向往
此宝具解放之后，当年的远征队将化为幻影，重新出现于此世，化为利刃重新进行远征</t>
  </si>
  <si>
    <t>托尔芬，其本身是一个比哥伦布更早达到的人，虽然严格意义上来说 真正的第一个达到美洲的人应该是雷芙。但是根据百度百科的一篇文章中有所提及 这两个可能本身是具有某种亲朋好友的性质存在的
因此我个人认为是可以将它评判为比哥伦布更早达到美洲的第一人，因此如果在fgo中出现的话，应该是能够作为一个星之开拓者
个人认知角色应该是那种尽量不动手的那种，虽然在历史上没有直接记载其有直接的战斗能力，但是出于当时时代的时代特征所考虑，不可能单纯只派一个只会探险的人去组建一支舰队去远征北美</t>
  </si>
  <si>
    <t>托尔芬，其本身是一个比哥伦布更早达到的人，虽然严格意义上来说 真正的第一个达到美洲的人应该是雷芙。但是根据百度百科的一篇文章中有所提及 这两个可能本身是具有某种亲朋好友的性质存在的
因此我个人认为是可以将它评判为比哥伦布更早达到美洲的第一人，因此如果在fgo中出现的话，应该是能够作为一个星之开拓者
个人认知角色应该是那种尽量不动手的那种，虽然在历史上没有直接记载其有直接的战斗能力，但是出于当时时代的时代特征所考虑，不可能单纯只派一个只会探险的人去组建一支舰队去远征北美
由于其地理原因或者是其时代原因 其的故事以及流传度并没有广泛而为之，以及其于克努特王朝所建立下来的故事，而北海帝国本身就成立了二三十年就马上就垮掉了，所以其本身的故事的传承性也是一个问题</t>
  </si>
  <si>
    <t>勇敢！勇猛！御主强行命令自己做不想做的事情</t>
  </si>
  <si>
    <t>深海的断剑</t>
  </si>
  <si>
    <t>星之开拓者</t>
  </si>
  <si>
    <t>对城</t>
  </si>
  <si>
    <t>，</t>
  </si>
  <si>
    <t>c+</t>
  </si>
  <si>
    <t>给予自身[抗性上升：+40%]
当自身受到的[即死]判定时，令此次判定默认失败；此效果每生效一次，此宝具的[魔力消耗][+10]。自身成为保有等级不低于此宝具的[神性]单位技能宝具的效果目标，或受到其效果影响时，此宝
具本回合无效化</t>
  </si>
  <si>
    <t>e</t>
  </si>
  <si>
    <t>b</t>
  </si>
  <si>
    <t>战斗中，始终赋予位于主力位上的自身【抗性上升+20%】.自身始终保有等同于自身【抗性上升】数值的【胜率补正】，以此法获得的胜率补正至多为【50%】。特别的，若敌方主力位持有【隐藏属性：天/兽】，则使得本技能只在那场战斗中带来的胜率补正及其上限翻倍。</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</si>
</sst>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9">
    <font>
      <name val="宋体"/>
      <sz val="12"/>
    </font>
    <font>
      <name val="宋体"/>
      <b/>
      <charset val="134"/>
      <sz val="50"/>
      <color rgb="FFFF0000"/>
    </font>
    <font>
      <name val="新細明體"/>
      <charset val="134"/>
      <sz val="11"/>
      <color rgb="FF000000"/>
    </font>
    <font>
      <name val="宋体"/>
      <charset val="134"/>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微軟正黑體"/>
      <charset val="134"/>
      <sz val="10"/>
      <color rgb="FF000000"/>
    </font>
    <font>
      <name val="微軟正黑體"/>
      <charset val="136"/>
      <sz val="10"/>
      <color rgb="FF000000"/>
    </font>
    <font>
      <name val="微軟正黑體"/>
      <charset val="134"/>
      <sz val="11"/>
    </font>
    <font>
      <name val="微軟正黑體"/>
      <charset val="134"/>
      <sz val="11"/>
      <color rgb="FFFFFFFF"/>
    </font>
    <font>
      <name val="微软雅黑"/>
      <charset val="134"/>
      <sz val="11"/>
    </font>
    <font>
      <name val="汉仪青云简"/>
      <charset val="134"/>
      <sz val="10"/>
      <color rgb="FF000000"/>
    </font>
    <font>
      <name val="微軟正黑體"/>
      <b/>
      <charset val="136"/>
      <sz val="10"/>
      <color rgb="FF000000"/>
    </font>
    <font>
      <name val="微軟正黑體"/>
      <charset val="134"/>
      <sz val="11"/>
      <color rgb="FF000000"/>
    </font>
    <font>
      <name val="微軟正黑體"/>
      <charset val="134"/>
      <sz val="12"/>
      <color rgb="FF000000"/>
    </font>
    <font>
      <name val="微軟正黑體"/>
      <charset val="134"/>
      <sz val="10"/>
    </font>
    <font>
      <name val="微软雅黑"/>
      <charset val="134"/>
      <sz val="11"/>
      <color rgb="FF000000"/>
    </font>
    <font>
      <name val="微软雅黑"/>
      <charset val="134"/>
      <sz val="11"/>
      <color rgb="FFFFFFFF"/>
    </font>
    <font>
      <name val="微軟正黑體"/>
      <b/>
      <charset val="134"/>
      <sz val="10"/>
      <color rgb="FF000000"/>
    </font>
    <font>
      <name val="宋体"/>
      <charset val="134"/>
      <sz val="10"/>
    </font>
    <font>
      <name val="微軟正黑體"/>
      <b/>
      <charset val="134"/>
      <sz val="11"/>
    </font>
    <font>
      <name val="Microsoft YaHei"/>
      <b/>
      <charset val="134"/>
      <sz val="11"/>
    </font>
    <font>
      <name val="Microsoft YaHei"/>
      <b/>
      <charset val="134"/>
      <sz val="11"/>
      <color rgb="FF000000"/>
    </font>
    <font>
      <name val="Microsoft YaHei"/>
      <charset val="134"/>
      <sz val="10"/>
      <color rgb="FF000000"/>
    </font>
    <font>
      <name val="Microsoft YaHei"/>
      <charset val="134"/>
      <sz val="11"/>
      <color rgb="FF000000"/>
    </font>
    <font>
      <name val="汉仪青云简"/>
      <charset val="134"/>
      <sz val="18"/>
    </font>
    <font>
      <name val="微軟正黑體"/>
      <b/>
      <charset val="134"/>
      <sz val="12"/>
      <color rgb="FF000000"/>
    </font>
    <font>
      <name val="汉仪青云简"/>
      <b/>
      <charset val="134"/>
      <sz val="18"/>
      <color rgb="FF000000"/>
    </font>
    <font>
      <name val="微軟正黑體"/>
      <charset val="134"/>
      <sz val="12"/>
    </font>
    <font>
      <name val="微軟正黑體"/>
      <b/>
      <charset val="134"/>
      <sz val="11"/>
      <color rgb="FFFF0000"/>
    </font>
    <font>
      <name val="宋体"/>
      <charset val="134"/>
      <sz val="12"/>
      <color rgb="FF000000"/>
    </font>
    <font>
      <name val="微軟正黑體"/>
      <charset val="134"/>
      <sz val="11"/>
      <color rgb="FF000000"/>
    </font>
    <font>
      <name val="kaiti"/>
      <sz val="12"/>
      <color rgb="FF000000"/>
    </font>
    <font>
      <name val="kaiti"/>
      <sz val="12"/>
      <color rgb="FFFF0000"/>
    </font>
    <font>
      <name val="KaiTi"/>
      <sz val="11"/>
      <color rgb="FF000000"/>
    </font>
    <font>
      <name val="微软雅黑 Light"/>
      <charset val="134"/>
      <sz val="12"/>
      <color rgb="FF000000"/>
    </font>
    <font>
      <name val="微软雅黑 Light"/>
      <charset val="134"/>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4"/>
      <sz val="11"/>
      <color rgb="FF1F497D"/>
    </font>
    <font>
      <name val="宋体"/>
      <b/>
      <charset val="134"/>
      <sz val="11"/>
      <color rgb="FF1F497D"/>
    </font>
    <font>
      <name val="宋体"/>
      <charset val="134"/>
      <sz val="12"/>
      <color rgb="FF3F3F76"/>
    </font>
    <font>
      <name val="宋体"/>
      <b/>
      <charset val="134"/>
      <sz val="15"/>
      <color rgb="FF1F497D"/>
    </font>
  </fonts>
  <fills count="27">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FFC000"/>
        <bgColor indexed="64"/>
      </patternFill>
    </fill>
    <fill>
      <patternFill patternType="solid">
        <fgColor rgb="FFBFBFBF"/>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4" fillId="0" borderId="0">
      <alignment vertical="bottom"/>
      <protection locked="0" hidden="0"/>
    </xf>
    <xf numFmtId="0" fontId="45" fillId="0" borderId="0">
      <alignment vertical="bottom"/>
      <protection locked="0" hidden="0"/>
    </xf>
    <xf numFmtId="0" fontId="46" fillId="0" borderId="0">
      <alignment vertical="bottom"/>
      <protection locked="0" hidden="0"/>
    </xf>
    <xf numFmtId="0" fontId="47" fillId="26" borderId="62">
      <alignment vertical="bottom"/>
      <protection locked="0" hidden="0"/>
    </xf>
    <xf numFmtId="0" fontId="46" fillId="0" borderId="63">
      <alignment vertical="bottom"/>
      <protection locked="0" hidden="0"/>
    </xf>
    <xf numFmtId="0" fontId="48" fillId="0" borderId="64">
      <alignment vertical="bottom"/>
      <protection locked="0" hidden="0"/>
    </xf>
  </cellStyleXfs>
  <cellXfs count="493">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10" fillId="2" borderId="1" xfId="0" applyFont="1" applyFill="1" applyBorder="1" applyAlignment="1">
      <alignment horizontal="center" vertical="center"/>
    </xf>
    <xf numFmtId="164" fontId="11" fillId="3" borderId="7" xfId="1" applyNumberFormat="1" applyFont="1" applyFill="1" applyBorder="1" applyAlignment="1">
      <alignment horizontal="center" vertical="center"/>
    </xf>
    <xf numFmtId="164" fontId="12" fillId="3" borderId="8" xfId="1" applyNumberFormat="1" applyFont="1" applyFill="1" applyBorder="1" applyAlignment="1">
      <alignment horizontal="center" vertical="center"/>
    </xf>
    <xf numFmtId="164" fontId="12" fillId="3" borderId="9" xfId="1" applyNumberFormat="1" applyFont="1" applyFill="1" applyBorder="1" applyAlignment="1">
      <alignment horizontal="center" vertical="center"/>
    </xf>
    <xf numFmtId="0" fontId="13" fillId="0" borderId="0" xfId="1" applyFont="1">
      <alignment vertical="center"/>
    </xf>
    <xf numFmtId="0" fontId="14" fillId="0" borderId="10" xfId="1" applyFont="1" applyBorder="1" applyAlignment="1">
      <alignment horizontal="center" vertical="center"/>
    </xf>
    <xf numFmtId="0" fontId="14" fillId="0" borderId="0" xfId="1" applyFont="1" applyAlignment="1">
      <alignment horizontal="center" vertical="center"/>
    </xf>
    <xf numFmtId="49" fontId="9" fillId="4" borderId="4" xfId="1" applyNumberFormat="1" applyFont="1" applyFill="1" applyBorder="1" applyAlignment="1">
      <alignment horizontal="center" vertical="center" wrapText="1"/>
      <protection locked="0" hidden="0"/>
    </xf>
    <xf numFmtId="49" fontId="9" fillId="4" borderId="5" xfId="1" applyNumberFormat="1" applyFont="1" applyFill="1" applyBorder="1" applyAlignment="1">
      <alignment horizontal="center" vertical="center" wrapText="1"/>
      <protection locked="0" hidden="0"/>
    </xf>
    <xf numFmtId="49" fontId="9" fillId="4" borderId="6" xfId="1" applyNumberFormat="1" applyFont="1" applyFill="1" applyBorder="1" applyAlignment="1">
      <alignment horizontal="center" vertical="center" wrapText="1"/>
      <protection locked="0" hidden="0"/>
    </xf>
    <xf numFmtId="0" fontId="9" fillId="0" borderId="0" xfId="1" applyFont="1" applyAlignment="1">
      <alignment horizontal="center" vertical="center" wrapText="1"/>
      <protection locked="0" hidden="0"/>
    </xf>
    <xf numFmtId="0" fontId="9" fillId="0" borderId="11" xfId="1" applyFont="1" applyBorder="1" applyAlignment="1">
      <alignment horizontal="center" vertical="center" wrapText="1"/>
      <protection locked="0" hidden="0"/>
    </xf>
    <xf numFmtId="0" fontId="15" fillId="2" borderId="12" xfId="0" applyFont="1" applyFill="1" applyBorder="1" applyAlignment="1">
      <alignment horizontal="center" vertical="center"/>
    </xf>
    <xf numFmtId="164" fontId="11" fillId="5" borderId="13" xfId="1" applyNumberFormat="1" applyFont="1" applyFill="1" applyBorder="1" applyAlignment="1">
      <alignment horizontal="center" vertical="center"/>
    </xf>
    <xf numFmtId="164" fontId="11" fillId="5" borderId="14" xfId="1" applyNumberFormat="1" applyFont="1" applyFill="1" applyBorder="1" applyAlignment="1">
      <alignment horizontal="center" vertical="center"/>
    </xf>
    <xf numFmtId="164" fontId="11" fillId="6" borderId="14" xfId="1" applyNumberFormat="1" applyFont="1" applyFill="1" applyBorder="1" applyAlignment="1">
      <alignment horizontal="center" vertical="center"/>
    </xf>
    <xf numFmtId="164" fontId="11" fillId="6" borderId="15" xfId="1" applyNumberFormat="1" applyFont="1" applyFill="1" applyBorder="1" applyAlignment="1">
      <alignment horizontal="center" vertical="center"/>
    </xf>
    <xf numFmtId="0" fontId="14" fillId="0" borderId="16" xfId="1" applyFont="1" applyBorder="1" applyAlignment="1">
      <alignment horizontal="center" vertical="center"/>
    </xf>
    <xf numFmtId="0" fontId="14" fillId="0" borderId="17" xfId="1" applyFont="1" applyBorder="1" applyAlignment="1">
      <alignment horizontal="center" vertical="center"/>
    </xf>
    <xf numFmtId="49" fontId="9" fillId="4" borderId="10" xfId="1" applyNumberFormat="1" applyFont="1" applyFill="1" applyBorder="1" applyAlignment="1">
      <alignment horizontal="center" vertical="center" wrapText="1"/>
      <protection locked="0" hidden="0"/>
    </xf>
    <xf numFmtId="49" fontId="9" fillId="4" borderId="0" xfId="1" applyNumberFormat="1" applyFont="1" applyFill="1" applyAlignment="1">
      <alignment horizontal="center" vertical="center" wrapText="1"/>
      <protection locked="0" hidden="0"/>
    </xf>
    <xf numFmtId="49" fontId="9" fillId="4" borderId="11" xfId="1" applyNumberFormat="1" applyFont="1" applyFill="1" applyBorder="1" applyAlignment="1">
      <alignment horizontal="center" vertical="center" wrapText="1"/>
      <protection locked="0" hidden="0"/>
    </xf>
    <xf numFmtId="0" fontId="15" fillId="0" borderId="0" xfId="0" applyFont="1" applyAlignment="1">
      <alignment horizontal="center" vertical="center"/>
    </xf>
    <xf numFmtId="0" fontId="16" fillId="5" borderId="13" xfId="1" applyFont="1" applyFill="1" applyBorder="1" applyAlignment="1">
      <alignment horizontal="center" vertical="center"/>
    </xf>
    <xf numFmtId="0" fontId="16" fillId="5" borderId="14" xfId="1" applyFont="1" applyFill="1" applyBorder="1" applyAlignment="1">
      <alignment horizontal="center" vertical="center"/>
    </xf>
    <xf numFmtId="0" fontId="16" fillId="6" borderId="14" xfId="1" applyFont="1" applyFill="1" applyBorder="1" applyAlignment="1">
      <alignment horizontal="center" vertical="center"/>
    </xf>
    <xf numFmtId="0" fontId="16" fillId="6" borderId="15"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18" xfId="1" applyFont="1" applyFill="1" applyBorder="1" applyAlignment="1">
      <alignment horizontal="center" vertical="center"/>
    </xf>
    <xf numFmtId="0" fontId="9" fillId="0" borderId="19" xfId="1" applyFont="1" applyBorder="1" applyAlignment="1">
      <alignment horizontal="center" vertical="center"/>
      <protection locked="0" hidden="0"/>
    </xf>
    <xf numFmtId="0" fontId="9" fillId="0" borderId="20" xfId="1" applyFont="1" applyBorder="1" applyAlignment="1">
      <alignment horizontal="center" vertical="center"/>
      <protection locked="0" hidden="0"/>
    </xf>
    <xf numFmtId="0" fontId="16" fillId="6" borderId="21" xfId="1" applyFont="1" applyFill="1" applyBorder="1" applyAlignment="1">
      <alignment horizontal="center" vertical="center"/>
    </xf>
    <xf numFmtId="0" fontId="16" fillId="6" borderId="15" xfId="1" applyFont="1" applyFill="1" applyBorder="1" applyAlignment="1">
      <alignment horizontal="center" vertical="center"/>
    </xf>
    <xf numFmtId="0" fontId="9" fillId="0" borderId="10" xfId="1" applyFont="1" applyBorder="1" applyAlignment="1">
      <alignment horizontal="center" vertical="center"/>
      <protection locked="0" hidden="0"/>
    </xf>
    <xf numFmtId="0" fontId="9" fillId="0" borderId="0" xfId="1" applyFont="1" applyAlignment="1">
      <alignment horizontal="center" vertical="center"/>
      <protection locked="0" hidden="0"/>
    </xf>
    <xf numFmtId="164" fontId="9" fillId="4" borderId="0" xfId="0" applyNumberFormat="1" applyFont="1" applyFill="1" applyAlignment="1">
      <alignment horizontal="center" vertical="center"/>
    </xf>
    <xf numFmtId="49" fontId="9" fillId="4" borderId="16" xfId="1" applyNumberFormat="1" applyFont="1" applyFill="1" applyBorder="1" applyAlignment="1">
      <alignment horizontal="center" vertical="center" wrapText="1"/>
      <protection locked="0" hidden="0"/>
    </xf>
    <xf numFmtId="49" fontId="9" fillId="4" borderId="17" xfId="1" applyNumberFormat="1" applyFont="1" applyFill="1" applyBorder="1" applyAlignment="1">
      <alignment horizontal="center" vertical="center" wrapText="1"/>
      <protection locked="0" hidden="0"/>
    </xf>
    <xf numFmtId="49" fontId="9" fillId="4" borderId="22" xfId="1" applyNumberFormat="1" applyFont="1" applyFill="1" applyBorder="1" applyAlignment="1">
      <alignment horizontal="center" vertical="center" wrapText="1"/>
      <protection locked="0" hidden="0"/>
    </xf>
    <xf numFmtId="0" fontId="16" fillId="4" borderId="14" xfId="1" applyFont="1" applyFill="1" applyBorder="1" applyAlignment="1">
      <alignment horizontal="center" vertical="center"/>
      <protection locked="0" hidden="0"/>
    </xf>
    <xf numFmtId="0" fontId="16" fillId="4" borderId="15" xfId="1" applyFont="1" applyFill="1" applyBorder="1" applyAlignment="1">
      <alignment horizontal="center" vertical="center"/>
      <protection locked="0" hidden="0"/>
    </xf>
    <xf numFmtId="0" fontId="9" fillId="2" borderId="7" xfId="1" applyFont="1" applyFill="1" applyBorder="1" applyAlignment="1">
      <alignment horizontal="center" vertical="center"/>
    </xf>
    <xf numFmtId="0" fontId="9" fillId="0" borderId="8" xfId="0" applyFont="1" applyBorder="1" applyAlignment="1">
      <alignment horizontal="center" vertical="center"/>
      <protection locked="0" hidden="0"/>
    </xf>
    <xf numFmtId="0" fontId="9" fillId="0" borderId="9" xfId="0" applyFont="1" applyBorder="1" applyAlignment="1">
      <alignment horizontal="center" vertical="center"/>
      <protection locked="0" hidden="0"/>
    </xf>
    <xf numFmtId="0" fontId="9" fillId="2" borderId="13" xfId="1" applyFont="1" applyFill="1" applyBorder="1" applyAlignment="1">
      <alignment horizontal="center" vertical="center"/>
    </xf>
    <xf numFmtId="0" fontId="9" fillId="4" borderId="14" xfId="1" applyFont="1" applyFill="1" applyBorder="1" applyAlignment="1">
      <alignment horizontal="center" vertical="center"/>
      <protection locked="0" hidden="0"/>
    </xf>
    <xf numFmtId="0" fontId="9" fillId="4" borderId="15" xfId="1" applyFont="1" applyFill="1" applyBorder="1" applyAlignment="1">
      <alignment horizontal="center" vertical="center"/>
      <protection locked="0" hidden="0"/>
    </xf>
    <xf numFmtId="0" fontId="9" fillId="2" borderId="13" xfId="1" applyFont="1" applyFill="1" applyBorder="1" applyAlignment="1">
      <alignment horizontal="center" vertical="center" wrapText="1"/>
    </xf>
    <xf numFmtId="0" fontId="9" fillId="4" borderId="14" xfId="1" applyFont="1" applyFill="1" applyBorder="1" applyAlignment="1">
      <alignment horizontal="center" vertical="center"/>
      <protection locked="0" hidden="0"/>
    </xf>
    <xf numFmtId="0" fontId="9" fillId="4" borderId="15" xfId="1" applyFont="1" applyFill="1" applyBorder="1" applyAlignment="1">
      <alignment horizontal="center" vertical="center"/>
      <protection locked="0" hidden="0"/>
    </xf>
    <xf numFmtId="164" fontId="11" fillId="5" borderId="23" xfId="1" applyNumberFormat="1" applyFont="1" applyFill="1" applyBorder="1" applyAlignment="1">
      <alignment horizontal="center" vertical="center"/>
    </xf>
    <xf numFmtId="164" fontId="11" fillId="5" borderId="24" xfId="1" applyNumberFormat="1" applyFont="1" applyFill="1" applyBorder="1" applyAlignment="1">
      <alignment horizontal="center" vertical="center"/>
    </xf>
    <xf numFmtId="164" fontId="11" fillId="6" borderId="24" xfId="1" applyNumberFormat="1" applyFont="1" applyFill="1" applyBorder="1" applyAlignment="1">
      <alignment horizontal="center" vertical="center"/>
    </xf>
    <xf numFmtId="164" fontId="11" fillId="6" borderId="25" xfId="1" applyNumberFormat="1" applyFont="1" applyFill="1" applyBorder="1" applyAlignment="1">
      <alignment horizontal="center" vertical="center"/>
    </xf>
    <xf numFmtId="0" fontId="9" fillId="2" borderId="13" xfId="1" applyFont="1" applyFill="1" applyBorder="1" applyAlignment="1">
      <alignment horizontal="center" vertical="center"/>
    </xf>
    <xf numFmtId="0" fontId="17" fillId="3" borderId="4" xfId="1" applyFont="1" applyFill="1" applyBorder="1" applyAlignment="1">
      <alignment horizontal="center"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9" fillId="2" borderId="23" xfId="1" applyFont="1" applyFill="1" applyBorder="1" applyAlignment="1">
      <alignment horizontal="center" vertical="center"/>
    </xf>
    <xf numFmtId="164" fontId="18" fillId="4" borderId="24" xfId="1" applyNumberFormat="1" applyFont="1" applyFill="1" applyBorder="1" applyAlignment="1">
      <alignment horizontal="center" vertical="center"/>
      <protection locked="0" hidden="0"/>
    </xf>
    <xf numFmtId="164" fontId="18" fillId="4" borderId="25" xfId="1" applyNumberFormat="1" applyFont="1" applyFill="1" applyBorder="1" applyAlignment="1">
      <alignment horizontal="center" vertical="center"/>
      <protection locked="0" hidden="0"/>
    </xf>
    <xf numFmtId="0" fontId="9" fillId="0" borderId="0" xfId="1" applyFont="1">
      <alignment vertical="center"/>
    </xf>
    <xf numFmtId="0" fontId="11" fillId="5" borderId="13" xfId="2" applyFont="1" applyFill="1" applyBorder="1" applyAlignment="1">
      <alignment horizontal="center" vertical="center"/>
    </xf>
    <xf numFmtId="164" fontId="11" fillId="5" borderId="14" xfId="2" applyNumberFormat="1" applyFont="1" applyFill="1" applyBorder="1" applyAlignment="1">
      <alignment horizontal="center" vertical="center"/>
    </xf>
    <xf numFmtId="0" fontId="11" fillId="5" borderId="14" xfId="2" applyFont="1" applyFill="1" applyBorder="1" applyAlignment="1">
      <alignment horizontal="center" vertical="center"/>
    </xf>
    <xf numFmtId="0" fontId="11" fillId="5" borderId="15" xfId="2" applyFont="1" applyFill="1" applyBorder="1" applyAlignment="1">
      <alignment horizontal="center" vertical="center"/>
    </xf>
    <xf numFmtId="0" fontId="9" fillId="2" borderId="8" xfId="2" applyFont="1" applyFill="1" applyBorder="1" applyAlignment="1">
      <alignment horizontal="center" vertical="center"/>
    </xf>
    <xf numFmtId="0" fontId="9" fillId="2" borderId="26" xfId="2" applyFont="1" applyFill="1" applyBorder="1" applyAlignment="1">
      <alignment horizontal="center" vertical="center"/>
    </xf>
    <xf numFmtId="0" fontId="9" fillId="2" borderId="9" xfId="1" applyFont="1" applyFill="1" applyBorder="1" applyAlignment="1">
      <alignment horizontal="center" vertical="center"/>
    </xf>
    <xf numFmtId="0" fontId="11" fillId="5" borderId="23" xfId="2" applyFont="1" applyFill="1" applyBorder="1" applyAlignment="1">
      <alignment horizontal="center" vertical="center"/>
    </xf>
    <xf numFmtId="164" fontId="11" fillId="5" borderId="24" xfId="2" applyNumberFormat="1" applyFont="1" applyFill="1" applyBorder="1" applyAlignment="1">
      <alignment horizontal="center" vertical="center"/>
    </xf>
    <xf numFmtId="0" fontId="11" fillId="5" borderId="24" xfId="2" applyFont="1" applyFill="1" applyBorder="1" applyAlignment="1">
      <alignment horizontal="center" vertical="center"/>
    </xf>
    <xf numFmtId="0" fontId="11" fillId="5" borderId="25" xfId="2" applyFont="1" applyFill="1" applyBorder="1" applyAlignment="1">
      <alignment horizontal="center" vertical="center"/>
    </xf>
    <xf numFmtId="0" fontId="19" fillId="0" borderId="0" xfId="1" applyFont="1" applyAlignment="1">
      <alignment horizontal="center" vertical="center"/>
    </xf>
    <xf numFmtId="164" fontId="20" fillId="4" borderId="0" xfId="1" applyNumberFormat="1" applyFont="1" applyFill="1" applyAlignment="1">
      <alignment horizontal="center" vertical="center"/>
    </xf>
    <xf numFmtId="0" fontId="9" fillId="2" borderId="13" xfId="1" applyFont="1" applyFill="1" applyBorder="1" applyAlignment="1">
      <alignment horizontal="center" vertical="center" wrapText="1"/>
    </xf>
    <xf numFmtId="0" fontId="21" fillId="2" borderId="14" xfId="1" applyFont="1" applyFill="1" applyBorder="1" applyAlignment="1">
      <alignment horizontal="center" vertical="center"/>
    </xf>
    <xf numFmtId="0" fontId="21" fillId="2" borderId="15" xfId="1" applyFont="1" applyFill="1" applyBorder="1" applyAlignment="1">
      <alignment horizontal="center" vertical="center"/>
    </xf>
    <xf numFmtId="0" fontId="15" fillId="2" borderId="27" xfId="0" applyFont="1" applyFill="1" applyBorder="1" applyAlignment="1">
      <alignment horizontal="center" vertical="center"/>
    </xf>
    <xf numFmtId="0" fontId="17" fillId="0" borderId="0" xfId="1" applyFont="1">
      <alignment vertical="center"/>
    </xf>
    <xf numFmtId="164" fontId="9" fillId="2" borderId="14" xfId="1" applyNumberFormat="1" applyFont="1" applyFill="1" applyBorder="1" applyAlignment="1">
      <alignment horizontal="center" vertical="center"/>
    </xf>
    <xf numFmtId="0" fontId="16" fillId="2" borderId="14" xfId="3" applyFont="1" applyFill="1" applyBorder="1" applyAlignment="1">
      <alignment horizontal="center" vertical="center"/>
    </xf>
    <xf numFmtId="0" fontId="22" fillId="0" borderId="0" xfId="0" applyFont="1">
      <alignment vertical="center"/>
    </xf>
    <xf numFmtId="0" fontId="19" fillId="0" borderId="0" xfId="1" applyFont="1">
      <alignment vertical="center"/>
    </xf>
    <xf numFmtId="0" fontId="9" fillId="0" borderId="14" xfId="0" applyFont="1" applyBorder="1" applyAlignment="1">
      <alignment horizontal="center" vertical="center"/>
      <protection locked="0" hidden="0"/>
    </xf>
    <xf numFmtId="0" fontId="9" fillId="4" borderId="14" xfId="2" applyFont="1" applyFill="1" applyBorder="1" applyAlignment="1">
      <alignment horizontal="center" vertical="center"/>
      <protection locked="0" hidden="0"/>
    </xf>
    <xf numFmtId="0" fontId="9" fillId="2" borderId="28" xfId="1" applyFont="1" applyFill="1" applyBorder="1" applyAlignment="1">
      <alignment horizontal="center" vertical="center"/>
    </xf>
    <xf numFmtId="0" fontId="9" fillId="2" borderId="29" xfId="1" applyFont="1" applyFill="1" applyBorder="1" applyAlignment="1">
      <alignment horizontal="center" vertical="center"/>
    </xf>
    <xf numFmtId="0" fontId="9" fillId="2" borderId="23" xfId="1" applyFont="1" applyFill="1" applyBorder="1" applyAlignment="1">
      <alignment horizontal="center" vertical="center" wrapText="1"/>
    </xf>
    <xf numFmtId="164" fontId="9" fillId="4" borderId="24" xfId="2" applyNumberFormat="1" applyFont="1" applyFill="1" applyBorder="1" applyAlignment="1">
      <alignment horizontal="center" vertical="center"/>
      <protection locked="0" hidden="0"/>
    </xf>
    <xf numFmtId="164" fontId="9" fillId="4" borderId="24" xfId="1" applyNumberFormat="1" applyFont="1" applyFill="1" applyBorder="1" applyAlignment="1">
      <alignment horizontal="center" vertical="center"/>
      <protection locked="0" hidden="0"/>
    </xf>
    <xf numFmtId="0" fontId="21" fillId="2" borderId="30" xfId="1" applyFont="1" applyFill="1" applyBorder="1" applyAlignment="1">
      <alignment horizontal="center" vertical="center"/>
    </xf>
    <xf numFmtId="0" fontId="9" fillId="0" borderId="27" xfId="1" applyFont="1" applyBorder="1" applyAlignment="1">
      <alignment horizontal="center" vertical="center"/>
      <protection locked="0" hidden="0"/>
    </xf>
    <xf numFmtId="0" fontId="23" fillId="7" borderId="31" xfId="2" applyFont="1" applyFill="1" applyBorder="1" applyAlignment="1">
      <alignment horizontal="center" vertical="center"/>
    </xf>
    <xf numFmtId="0" fontId="23" fillId="7" borderId="32" xfId="2" applyFont="1" applyFill="1" applyBorder="1" applyAlignment="1">
      <alignment horizontal="center" vertical="center"/>
    </xf>
    <xf numFmtId="0" fontId="23" fillId="7" borderId="33" xfId="2" applyFont="1" applyFill="1" applyBorder="1" applyAlignment="1">
      <alignment horizontal="center" vertical="center"/>
    </xf>
    <xf numFmtId="0" fontId="23" fillId="8" borderId="34" xfId="3" applyFont="1" applyFill="1" applyBorder="1" applyAlignment="1">
      <alignment horizontal="center" vertical="center"/>
    </xf>
    <xf numFmtId="0" fontId="23" fillId="8" borderId="35" xfId="3" applyFont="1" applyFill="1" applyBorder="1" applyAlignment="1">
      <alignment horizontal="center" vertical="center"/>
    </xf>
    <xf numFmtId="0" fontId="23" fillId="8" borderId="36" xfId="3" applyFont="1" applyFill="1" applyBorder="1" applyAlignment="1">
      <alignment horizontal="center" vertical="center"/>
    </xf>
    <xf numFmtId="0" fontId="16" fillId="9" borderId="13" xfId="2" applyFont="1" applyFill="1" applyBorder="1" applyAlignment="1">
      <alignment horizontal="center" vertical="center" wrapText="1"/>
    </xf>
    <xf numFmtId="0" fontId="16" fillId="0" borderId="14" xfId="1" applyFont="1" applyBorder="1" applyAlignment="1">
      <alignment horizontal="center" vertical="center" wrapText="1"/>
      <protection locked="0" hidden="0"/>
    </xf>
    <xf numFmtId="0" fontId="16" fillId="9" borderId="14" xfId="2" applyFont="1" applyFill="1" applyBorder="1" applyAlignment="1">
      <alignment horizontal="center" vertical="center" wrapText="1"/>
    </xf>
    <xf numFmtId="0" fontId="16" fillId="4" borderId="14" xfId="2" applyFont="1" applyFill="1" applyBorder="1" applyAlignment="1">
      <alignment horizontal="center" vertical="center" wrapText="1"/>
      <protection locked="0" hidden="0"/>
    </xf>
    <xf numFmtId="0" fontId="16" fillId="9" borderId="14" xfId="2" applyFont="1" applyFill="1" applyBorder="1" applyAlignment="1">
      <alignment horizontal="center" vertical="center"/>
    </xf>
    <xf numFmtId="0" fontId="16" fillId="0" borderId="14" xfId="1" applyFont="1" applyBorder="1" applyAlignment="1">
      <alignment horizontal="center" vertical="center" wrapText="1"/>
      <protection locked="0" hidden="0"/>
    </xf>
    <xf numFmtId="0" fontId="16" fillId="4" borderId="15" xfId="2" applyFont="1" applyFill="1" applyBorder="1" applyAlignment="1">
      <alignment horizontal="center" vertical="center" wrapText="1"/>
    </xf>
    <xf numFmtId="0" fontId="16" fillId="10" borderId="13" xfId="2" applyFont="1" applyFill="1" applyBorder="1" applyAlignment="1">
      <alignment horizontal="center" vertical="center" wrapText="1"/>
    </xf>
    <xf numFmtId="0" fontId="16" fillId="10" borderId="14" xfId="2" applyFont="1" applyFill="1" applyBorder="1" applyAlignment="1">
      <alignment horizontal="center" vertical="center" wrapText="1"/>
    </xf>
    <xf numFmtId="0" fontId="16" fillId="10" borderId="14" xfId="2" applyFont="1" applyFill="1" applyBorder="1" applyAlignment="1">
      <alignment horizontal="center" vertical="center"/>
    </xf>
    <xf numFmtId="0" fontId="16" fillId="9" borderId="13" xfId="2" applyFont="1" applyFill="1" applyBorder="1" applyAlignment="1">
      <alignment horizontal="center" vertical="center" wrapText="1"/>
    </xf>
    <xf numFmtId="0" fontId="16" fillId="0" borderId="37" xfId="1" applyFont="1" applyBorder="1" applyAlignment="1">
      <alignment horizontal="center" vertical="center" wrapText="1"/>
      <protection locked="0" hidden="0"/>
    </xf>
    <xf numFmtId="0" fontId="16" fillId="0" borderId="38" xfId="1" applyFont="1" applyBorder="1" applyAlignment="1">
      <alignment horizontal="center" vertical="center" wrapText="1"/>
      <protection locked="0" hidden="0"/>
    </xf>
    <xf numFmtId="0" fontId="16" fillId="0" borderId="28" xfId="1" applyFont="1" applyBorder="1" applyAlignment="1">
      <alignment horizontal="center" vertical="center" wrapText="1"/>
      <protection locked="0" hidden="0"/>
    </xf>
    <xf numFmtId="165" fontId="16" fillId="0" borderId="39" xfId="1" applyNumberFormat="1" applyFont="1" applyBorder="1" applyAlignment="1">
      <alignment horizontal="left" vertical="center" wrapText="1"/>
      <protection locked="0" hidden="0"/>
    </xf>
    <xf numFmtId="0" fontId="16" fillId="10" borderId="13" xfId="2" applyFont="1" applyFill="1" applyBorder="1" applyAlignment="1">
      <alignment horizontal="center" vertical="center" wrapText="1"/>
    </xf>
    <xf numFmtId="0" fontId="16" fillId="0" borderId="40" xfId="1" applyFont="1" applyBorder="1" applyAlignment="1">
      <alignment horizontal="center" vertical="center" wrapText="1"/>
      <protection locked="0" hidden="0"/>
    </xf>
    <xf numFmtId="0" fontId="16" fillId="0" borderId="41" xfId="1" applyFont="1" applyBorder="1" applyAlignment="1">
      <alignment horizontal="center" vertical="center" wrapText="1"/>
      <protection locked="0" hidden="0"/>
    </xf>
    <xf numFmtId="0" fontId="16" fillId="0" borderId="39" xfId="1" applyFont="1" applyBorder="1" applyAlignment="1">
      <alignment horizontal="center" vertical="center" wrapText="1"/>
      <protection locked="0" hidden="0"/>
    </xf>
    <xf numFmtId="0" fontId="16" fillId="0" borderId="15" xfId="1" applyFont="1" applyBorder="1" applyAlignment="1">
      <alignment horizontal="center" vertical="center" wrapText="1"/>
      <protection locked="0" hidden="0"/>
    </xf>
    <xf numFmtId="0" fontId="7" fillId="0" borderId="0" xfId="1" applyFont="1" applyAlignment="1">
      <alignment horizontal="center" vertical="center"/>
    </xf>
    <xf numFmtId="165" fontId="16" fillId="0" borderId="39" xfId="1" applyNumberFormat="1" applyFont="1" applyBorder="1" applyAlignment="1">
      <alignment horizontal="center" vertical="center" wrapText="1"/>
      <protection locked="0" hidden="0"/>
    </xf>
    <xf numFmtId="0" fontId="16" fillId="0" borderId="28" xfId="1" applyFont="1" applyBorder="1" applyAlignment="1">
      <alignment horizontal="right" vertical="center" wrapText="1"/>
      <protection locked="0" hidden="0"/>
    </xf>
    <xf numFmtId="0" fontId="16" fillId="0" borderId="39" xfId="1" applyFont="1" applyBorder="1" applyAlignment="1">
      <alignment horizontal="left" vertical="center" wrapText="1"/>
      <protection locked="0" hidden="0"/>
    </xf>
    <xf numFmtId="0" fontId="16" fillId="9" borderId="42" xfId="2" applyFont="1" applyFill="1" applyBorder="1" applyAlignment="1">
      <alignment horizontal="center" vertical="center" wrapText="1"/>
    </xf>
    <xf numFmtId="0" fontId="16" fillId="0" borderId="43" xfId="1" applyFont="1" applyBorder="1" applyAlignment="1">
      <alignment horizontal="center" vertical="center" wrapText="1"/>
      <protection locked="0" hidden="0"/>
    </xf>
    <xf numFmtId="0" fontId="16" fillId="0" borderId="44" xfId="1" applyFont="1" applyBorder="1" applyAlignment="1">
      <alignment horizontal="center" vertical="center" wrapText="1"/>
      <protection locked="0" hidden="0"/>
    </xf>
    <xf numFmtId="0" fontId="16" fillId="10" borderId="42" xfId="2" applyFont="1" applyFill="1" applyBorder="1" applyAlignment="1">
      <alignment horizontal="center" vertical="center" wrapText="1"/>
    </xf>
    <xf numFmtId="0" fontId="24" fillId="11" borderId="34" xfId="2" applyFont="1" applyFill="1" applyBorder="1" applyAlignment="1">
      <alignment horizontal="center" vertical="center" wrapText="1"/>
    </xf>
    <xf numFmtId="0" fontId="24" fillId="11" borderId="35" xfId="2" applyFont="1" applyFill="1" applyBorder="1" applyAlignment="1">
      <alignment horizontal="center" vertical="center" wrapText="1"/>
    </xf>
    <xf numFmtId="0" fontId="24" fillId="11" borderId="36" xfId="2" applyFont="1" applyFill="1" applyBorder="1" applyAlignment="1">
      <alignment horizontal="center" vertical="center" wrapText="1"/>
    </xf>
    <xf numFmtId="0" fontId="25" fillId="0" borderId="0" xfId="1" applyFont="1" applyAlignment="1">
      <alignment horizontal="center" vertical="center" wrapText="1"/>
    </xf>
    <xf numFmtId="0" fontId="24" fillId="12" borderId="34" xfId="3" applyFont="1" applyFill="1" applyBorder="1" applyAlignment="1">
      <alignment horizontal="center" vertical="center" wrapText="1"/>
    </xf>
    <xf numFmtId="0" fontId="24" fillId="12" borderId="35" xfId="3" applyFont="1" applyFill="1" applyBorder="1" applyAlignment="1">
      <alignment horizontal="center" vertical="center" wrapText="1"/>
    </xf>
    <xf numFmtId="0" fontId="24" fillId="12" borderId="36" xfId="3" applyFont="1" applyFill="1" applyBorder="1" applyAlignment="1">
      <alignment horizontal="center" vertical="center" wrapText="1"/>
    </xf>
    <xf numFmtId="0" fontId="26" fillId="13" borderId="13" xfId="2" applyFont="1" applyFill="1" applyBorder="1" applyAlignment="1">
      <alignment horizontal="center" vertical="center" wrapText="1"/>
    </xf>
    <xf numFmtId="0" fontId="26" fillId="0" borderId="14" xfId="1" applyFont="1" applyBorder="1" applyAlignment="1">
      <alignment horizontal="center" vertical="center" wrapText="1"/>
      <protection locked="0" hidden="0"/>
    </xf>
    <xf numFmtId="0" fontId="26" fillId="13" borderId="14" xfId="2" applyFont="1" applyFill="1" applyBorder="1" applyAlignment="1">
      <alignment horizontal="center" vertical="center" wrapText="1"/>
    </xf>
    <xf numFmtId="0" fontId="26" fillId="4" borderId="14" xfId="2" applyFont="1" applyFill="1" applyBorder="1" applyAlignment="1">
      <alignment horizontal="center" vertical="center" wrapText="1"/>
      <protection locked="0" hidden="0"/>
    </xf>
    <xf numFmtId="0" fontId="26" fillId="0" borderId="14" xfId="1" applyFont="1" applyBorder="1" applyAlignment="1">
      <alignment horizontal="center" vertical="center" wrapText="1"/>
      <protection locked="0" hidden="0"/>
    </xf>
    <xf numFmtId="0" fontId="26" fillId="4" borderId="15" xfId="2" applyFont="1" applyFill="1" applyBorder="1" applyAlignment="1">
      <alignment horizontal="center" vertical="center" wrapText="1"/>
    </xf>
    <xf numFmtId="0" fontId="26" fillId="0" borderId="0" xfId="1" applyFont="1" applyAlignment="1">
      <alignment horizontal="center" vertical="center" wrapText="1"/>
    </xf>
    <xf numFmtId="0" fontId="26" fillId="6" borderId="13" xfId="2" applyFont="1" applyFill="1" applyBorder="1" applyAlignment="1">
      <alignment horizontal="center" vertical="center" wrapText="1"/>
    </xf>
    <xf numFmtId="0" fontId="26" fillId="6" borderId="14" xfId="2" applyFont="1" applyFill="1" applyBorder="1" applyAlignment="1">
      <alignment horizontal="center" vertical="center" wrapText="1"/>
    </xf>
    <xf numFmtId="0" fontId="26" fillId="13" borderId="13" xfId="2" applyFont="1" applyFill="1" applyBorder="1" applyAlignment="1">
      <alignment horizontal="center" vertical="center" wrapText="1"/>
    </xf>
    <xf numFmtId="0" fontId="26" fillId="0" borderId="37" xfId="1" applyFont="1" applyBorder="1" applyAlignment="1">
      <alignment horizontal="center" vertical="center" wrapText="1"/>
      <protection locked="0" hidden="0"/>
    </xf>
    <xf numFmtId="0" fontId="26" fillId="0" borderId="38" xfId="1" applyFont="1" applyBorder="1" applyAlignment="1">
      <alignment horizontal="center" vertical="center" wrapText="1"/>
      <protection locked="0" hidden="0"/>
    </xf>
    <xf numFmtId="0" fontId="26" fillId="0" borderId="28" xfId="1" applyFont="1" applyBorder="1" applyAlignment="1">
      <alignment horizontal="center" vertical="center" wrapText="1"/>
      <protection locked="0" hidden="0"/>
    </xf>
    <xf numFmtId="165" fontId="26" fillId="0" borderId="39" xfId="1" applyNumberFormat="1" applyFont="1" applyBorder="1" applyAlignment="1">
      <alignment horizontal="center" vertical="center" wrapText="1"/>
      <protection locked="0" hidden="0"/>
    </xf>
    <xf numFmtId="0" fontId="26" fillId="6" borderId="13" xfId="2" applyFont="1" applyFill="1" applyBorder="1" applyAlignment="1">
      <alignment horizontal="center" vertical="center" wrapText="1"/>
    </xf>
    <xf numFmtId="0" fontId="26" fillId="0" borderId="40" xfId="1" applyFont="1" applyBorder="1" applyAlignment="1">
      <alignment horizontal="center" vertical="center" wrapText="1"/>
      <protection locked="0" hidden="0"/>
    </xf>
    <xf numFmtId="0" fontId="26" fillId="0" borderId="41" xfId="1" applyFont="1" applyBorder="1" applyAlignment="1">
      <alignment horizontal="center" vertical="center" wrapText="1"/>
      <protection locked="0" hidden="0"/>
    </xf>
    <xf numFmtId="0" fontId="26" fillId="0" borderId="39" xfId="1" applyFont="1" applyBorder="1" applyAlignment="1">
      <alignment horizontal="center" vertical="center" wrapText="1"/>
      <protection locked="0" hidden="0"/>
    </xf>
    <xf numFmtId="0" fontId="26" fillId="0" borderId="15" xfId="1" applyFont="1" applyBorder="1" applyAlignment="1">
      <alignment horizontal="center" vertical="center" wrapText="1"/>
      <protection locked="0" hidden="0"/>
    </xf>
    <xf numFmtId="0" fontId="27" fillId="13" borderId="13" xfId="2" applyFont="1" applyFill="1" applyBorder="1" applyAlignment="1">
      <alignment horizontal="center" vertical="center" wrapText="1"/>
    </xf>
    <xf numFmtId="0" fontId="25" fillId="0" borderId="37" xfId="1" applyFont="1" applyBorder="1" applyAlignment="1">
      <alignment horizontal="center" vertical="center" wrapText="1"/>
      <protection locked="0" hidden="0"/>
    </xf>
    <xf numFmtId="0" fontId="25" fillId="0" borderId="38" xfId="1" applyFont="1" applyBorder="1" applyAlignment="1">
      <alignment horizontal="center" vertical="center" wrapText="1"/>
      <protection locked="0" hidden="0"/>
    </xf>
    <xf numFmtId="0" fontId="27" fillId="13" borderId="14" xfId="2" applyFont="1" applyFill="1" applyBorder="1" applyAlignment="1">
      <alignment horizontal="center" vertical="center" wrapText="1"/>
    </xf>
    <xf numFmtId="0" fontId="27" fillId="0" borderId="14" xfId="1" applyFont="1" applyBorder="1" applyAlignment="1">
      <alignment horizontal="center" vertical="center" wrapText="1"/>
      <protection locked="0" hidden="0"/>
    </xf>
    <xf numFmtId="0" fontId="27" fillId="0" borderId="28" xfId="1" applyFont="1" applyBorder="1" applyAlignment="1">
      <alignment horizontal="center" vertical="center" wrapText="1"/>
      <protection locked="0" hidden="0"/>
    </xf>
    <xf numFmtId="165" fontId="25" fillId="0" borderId="39" xfId="1" applyNumberFormat="1" applyFont="1" applyBorder="1" applyAlignment="1">
      <alignment horizontal="center" vertical="center" wrapText="1"/>
      <protection locked="0" hidden="0"/>
    </xf>
    <xf numFmtId="0" fontId="27" fillId="6" borderId="13" xfId="2" applyFont="1" applyFill="1" applyBorder="1" applyAlignment="1">
      <alignment horizontal="center" vertical="center" wrapText="1"/>
    </xf>
    <xf numFmtId="0" fontId="27" fillId="6" borderId="14" xfId="2" applyFont="1" applyFill="1" applyBorder="1" applyAlignment="1">
      <alignment horizontal="center" vertical="center" wrapText="1"/>
    </xf>
    <xf numFmtId="0" fontId="25" fillId="0" borderId="14" xfId="1" applyFont="1" applyBorder="1" applyAlignment="1">
      <alignment horizontal="center" vertical="center" wrapText="1"/>
      <protection locked="0" hidden="0"/>
    </xf>
    <xf numFmtId="0" fontId="25" fillId="0" borderId="28" xfId="1" applyFont="1" applyBorder="1" applyAlignment="1">
      <alignment horizontal="center" vertical="center" wrapText="1"/>
      <protection locked="0" hidden="0"/>
    </xf>
    <xf numFmtId="0" fontId="25" fillId="0" borderId="40" xfId="1" applyFont="1" applyBorder="1" applyAlignment="1">
      <alignment horizontal="center" vertical="center" wrapText="1"/>
      <protection locked="0" hidden="0"/>
    </xf>
    <xf numFmtId="0" fontId="25" fillId="0" borderId="41" xfId="1" applyFont="1" applyBorder="1" applyAlignment="1">
      <alignment horizontal="center" vertical="center" wrapText="1"/>
      <protection locked="0" hidden="0"/>
    </xf>
    <xf numFmtId="0" fontId="27" fillId="0" borderId="39" xfId="1" applyFont="1" applyBorder="1" applyAlignment="1">
      <alignment horizontal="center" vertical="center" wrapText="1"/>
      <protection locked="0" hidden="0"/>
    </xf>
    <xf numFmtId="0" fontId="25" fillId="0" borderId="39" xfId="1" applyFont="1" applyBorder="1" applyAlignment="1">
      <alignment horizontal="center" vertical="center" wrapText="1"/>
      <protection locked="0" hidden="0"/>
    </xf>
    <xf numFmtId="0" fontId="27" fillId="0" borderId="15" xfId="1" applyFont="1" applyBorder="1" applyAlignment="1">
      <alignment horizontal="center" vertical="center" wrapText="1"/>
      <protection locked="0" hidden="0"/>
    </xf>
    <xf numFmtId="0" fontId="25" fillId="0" borderId="15" xfId="1" applyFont="1" applyBorder="1" applyAlignment="1">
      <alignment horizontal="center" vertical="center" wrapText="1"/>
      <protection locked="0" hidden="0"/>
    </xf>
    <xf numFmtId="0" fontId="27" fillId="13" borderId="13" xfId="2" applyFont="1" applyFill="1" applyBorder="1" applyAlignment="1">
      <alignment horizontal="center" vertical="center" wrapText="1"/>
    </xf>
    <xf numFmtId="0" fontId="27" fillId="4" borderId="14" xfId="2" applyFont="1" applyFill="1" applyBorder="1" applyAlignment="1">
      <alignment horizontal="center" vertical="center" wrapText="1"/>
      <protection locked="0" hidden="0"/>
    </xf>
    <xf numFmtId="0" fontId="27" fillId="0" borderId="14" xfId="1" applyFont="1" applyBorder="1" applyAlignment="1">
      <alignment horizontal="center" vertical="center" wrapText="1"/>
      <protection locked="0" hidden="0"/>
    </xf>
    <xf numFmtId="0" fontId="27" fillId="4" borderId="15" xfId="2" applyFont="1" applyFill="1" applyBorder="1" applyAlignment="1">
      <alignment horizontal="center" vertical="center" wrapText="1"/>
    </xf>
    <xf numFmtId="0" fontId="27" fillId="6" borderId="13" xfId="2" applyFont="1" applyFill="1" applyBorder="1" applyAlignment="1">
      <alignment horizontal="center" vertical="center" wrapText="1"/>
    </xf>
    <xf numFmtId="0" fontId="25" fillId="4" borderId="14" xfId="2" applyFont="1" applyFill="1" applyBorder="1" applyAlignment="1">
      <alignment horizontal="center" vertical="center" wrapText="1"/>
      <protection locked="0" hidden="0"/>
    </xf>
    <xf numFmtId="0" fontId="25" fillId="0" borderId="14" xfId="1" applyFont="1" applyBorder="1" applyAlignment="1">
      <alignment horizontal="center" vertical="center" wrapText="1"/>
      <protection locked="0" hidden="0"/>
    </xf>
    <xf numFmtId="0" fontId="25" fillId="4" borderId="15" xfId="2" applyFont="1" applyFill="1" applyBorder="1" applyAlignment="1">
      <alignment horizontal="center" vertical="center" wrapText="1"/>
    </xf>
    <xf numFmtId="0" fontId="27" fillId="0" borderId="37" xfId="1" applyFont="1" applyBorder="1" applyAlignment="1">
      <alignment horizontal="center" vertical="center" wrapText="1"/>
      <protection locked="0" hidden="0"/>
    </xf>
    <xf numFmtId="0" fontId="27" fillId="0" borderId="38" xfId="1" applyFont="1" applyBorder="1" applyAlignment="1">
      <alignment horizontal="center" vertical="center" wrapText="1"/>
      <protection locked="0" hidden="0"/>
    </xf>
    <xf numFmtId="165" fontId="27" fillId="0" borderId="39" xfId="1" applyNumberFormat="1" applyFont="1" applyBorder="1" applyAlignment="1">
      <alignment horizontal="center" vertical="center" wrapText="1"/>
      <protection locked="0" hidden="0"/>
    </xf>
    <xf numFmtId="0" fontId="27" fillId="0" borderId="40" xfId="1" applyFont="1" applyBorder="1" applyAlignment="1">
      <alignment horizontal="center" vertical="center" wrapText="1"/>
      <protection locked="0" hidden="0"/>
    </xf>
    <xf numFmtId="0" fontId="27" fillId="0" borderId="41" xfId="1" applyFont="1" applyBorder="1" applyAlignment="1">
      <alignment horizontal="center" vertical="center" wrapText="1"/>
      <protection locked="0" hidden="0"/>
    </xf>
    <xf numFmtId="0" fontId="27" fillId="13" borderId="23" xfId="2" applyFont="1" applyFill="1" applyBorder="1" applyAlignment="1">
      <alignment horizontal="center" vertical="center" wrapText="1"/>
    </xf>
    <xf numFmtId="0" fontId="27" fillId="0" borderId="24" xfId="1" applyFont="1" applyBorder="1" applyAlignment="1">
      <alignment horizontal="center" vertical="center" wrapText="1"/>
      <protection locked="0" hidden="0"/>
    </xf>
    <xf numFmtId="0" fontId="27" fillId="0" borderId="25" xfId="1" applyFont="1" applyBorder="1" applyAlignment="1">
      <alignment horizontal="center" vertical="center" wrapText="1"/>
      <protection locked="0" hidden="0"/>
    </xf>
    <xf numFmtId="0" fontId="27" fillId="6" borderId="23" xfId="2" applyFont="1" applyFill="1" applyBorder="1" applyAlignment="1">
      <alignment horizontal="center" vertical="center" wrapText="1"/>
    </xf>
    <xf numFmtId="0" fontId="25" fillId="0" borderId="24" xfId="1" applyFont="1" applyBorder="1" applyAlignment="1">
      <alignment horizontal="center" vertical="center" wrapText="1"/>
      <protection locked="0" hidden="0"/>
    </xf>
    <xf numFmtId="0" fontId="25" fillId="0" borderId="25" xfId="1" applyFont="1" applyBorder="1" applyAlignment="1">
      <alignment horizontal="center" vertical="center" wrapText="1"/>
      <protection locked="0" hidden="0"/>
    </xf>
    <xf numFmtId="0" fontId="7" fillId="0" borderId="0" xfId="0" applyFont="1">
      <alignment vertical="center"/>
      <protection locked="0" hidden="0"/>
    </xf>
    <xf numFmtId="0" fontId="11" fillId="14" borderId="7" xfId="3" applyFont="1" applyFill="1" applyBorder="1" applyAlignment="1">
      <alignment horizontal="center" vertical="center"/>
    </xf>
    <xf numFmtId="0" fontId="11" fillId="14" borderId="8" xfId="3" applyFont="1" applyFill="1" applyBorder="1" applyAlignment="1">
      <alignment horizontal="center" vertical="center"/>
    </xf>
    <xf numFmtId="0" fontId="11" fillId="14" borderId="9" xfId="3" applyFont="1" applyFill="1" applyBorder="1" applyAlignment="1">
      <alignment horizontal="center" vertical="center"/>
    </xf>
    <xf numFmtId="0" fontId="5" fillId="0" borderId="5" xfId="0" applyFont="1" applyBorder="1">
      <alignment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13" borderId="9" xfId="0" applyFont="1" applyFill="1" applyBorder="1" applyAlignment="1">
      <alignment horizontal="center" vertical="center"/>
    </xf>
    <xf numFmtId="0" fontId="28" fillId="0" borderId="13" xfId="4" applyFont="1" applyFill="1" applyBorder="1" applyAlignment="1">
      <alignment horizontal="center" vertical="center" wrapText="1"/>
      <protection locked="0" hidden="0"/>
    </xf>
    <xf numFmtId="0" fontId="28" fillId="0" borderId="14" xfId="4" applyFont="1" applyFill="1" applyBorder="1" applyAlignment="1">
      <alignment horizontal="center" vertical="center" wrapText="1"/>
      <protection locked="0" hidden="0"/>
    </xf>
    <xf numFmtId="0" fontId="28" fillId="0" borderId="15" xfId="4" applyFont="1" applyFill="1" applyBorder="1" applyAlignment="1">
      <alignment horizontal="center" vertical="center" wrapText="1"/>
      <protection locked="0" hidden="0"/>
    </xf>
    <xf numFmtId="0" fontId="17" fillId="0" borderId="13" xfId="0" applyFont="1" applyBorder="1" applyAlignment="1">
      <alignment horizontal="center" vertical="center" wrapText="1"/>
      <protection locked="0" hidden="0"/>
    </xf>
    <xf numFmtId="0" fontId="17" fillId="0" borderId="14" xfId="0" applyFont="1" applyBorder="1" applyAlignment="1">
      <alignment horizontal="center" vertical="center"/>
      <protection locked="0" hidden="0"/>
    </xf>
    <xf numFmtId="0" fontId="17" fillId="0" borderId="15" xfId="0" applyFont="1" applyBorder="1" applyAlignment="1">
      <alignment horizontal="center" vertical="center"/>
      <protection locked="0" hidden="0"/>
    </xf>
    <xf numFmtId="0" fontId="17" fillId="0" borderId="13" xfId="0" applyFont="1" applyBorder="1" applyAlignment="1">
      <alignment horizontal="center" vertical="center"/>
      <protection locked="0" hidden="0"/>
    </xf>
    <xf numFmtId="0" fontId="28" fillId="0" borderId="42" xfId="4" applyFont="1" applyFill="1" applyBorder="1" applyAlignment="1">
      <alignment horizontal="center" vertical="center" wrapText="1"/>
      <protection locked="0" hidden="0"/>
    </xf>
    <xf numFmtId="0" fontId="28" fillId="0" borderId="43" xfId="4" applyFont="1" applyFill="1" applyBorder="1" applyAlignment="1">
      <alignment horizontal="center" vertical="center" wrapText="1"/>
      <protection locked="0" hidden="0"/>
    </xf>
    <xf numFmtId="0" fontId="28" fillId="0" borderId="44" xfId="4" applyFont="1" applyFill="1" applyBorder="1" applyAlignment="1">
      <alignment horizontal="center" vertical="center" wrapText="1"/>
      <protection locked="0" hidden="0"/>
    </xf>
    <xf numFmtId="0" fontId="17" fillId="14" borderId="13" xfId="2" applyFont="1" applyFill="1" applyBorder="1" applyAlignment="1">
      <alignment horizontal="center" vertical="center"/>
    </xf>
    <xf numFmtId="0" fontId="17" fillId="14" borderId="14" xfId="2" applyFont="1" applyFill="1" applyBorder="1" applyAlignment="1">
      <alignment horizontal="center" vertical="center"/>
    </xf>
    <xf numFmtId="0" fontId="17" fillId="14" borderId="15" xfId="2" applyFont="1" applyFill="1" applyBorder="1" applyAlignment="1">
      <alignment horizontal="center" vertical="center"/>
    </xf>
    <xf numFmtId="0" fontId="29" fillId="0" borderId="42" xfId="1" applyFont="1" applyBorder="1" applyAlignment="1">
      <alignment horizontal="center" vertical="center"/>
    </xf>
    <xf numFmtId="0" fontId="29" fillId="0" borderId="24" xfId="1" applyFont="1" applyBorder="1" applyAlignment="1">
      <alignment horizontal="center" vertical="center"/>
    </xf>
    <xf numFmtId="0" fontId="29" fillId="0" borderId="25" xfId="1" applyFont="1" applyBorder="1" applyAlignment="1">
      <alignment horizontal="center" vertical="center"/>
    </xf>
    <xf numFmtId="0" fontId="17" fillId="13" borderId="7" xfId="0" applyFont="1" applyFill="1" applyBorder="1" applyAlignment="1">
      <alignment horizontal="center" vertical="center"/>
    </xf>
    <xf numFmtId="0" fontId="17" fillId="0" borderId="8" xfId="0" applyFont="1" applyBorder="1" applyAlignment="1">
      <alignment horizontal="center" vertical="center"/>
      <protection locked="0" hidden="0"/>
    </xf>
    <xf numFmtId="0" fontId="17" fillId="13" borderId="8" xfId="0" applyFont="1" applyFill="1" applyBorder="1" applyAlignment="1">
      <alignment horizontal="center" vertical="center" wrapText="1"/>
    </xf>
    <xf numFmtId="0" fontId="17" fillId="13" borderId="8" xfId="0" applyFont="1" applyFill="1" applyBorder="1" applyAlignment="1">
      <alignment horizontal="center" vertical="center"/>
    </xf>
    <xf numFmtId="0" fontId="17" fillId="0" borderId="45" xfId="0" applyFont="1" applyBorder="1" applyAlignment="1">
      <alignment horizontal="right" vertical="center"/>
      <protection locked="0" hidden="0"/>
    </xf>
    <xf numFmtId="0" fontId="17" fillId="0" borderId="46" xfId="0" applyFont="1" applyBorder="1" applyAlignment="1">
      <alignment horizontal="right" vertical="center"/>
      <protection locked="0" hidden="0"/>
    </xf>
    <xf numFmtId="0" fontId="17" fillId="13" borderId="13" xfId="0" applyFont="1" applyFill="1" applyBorder="1" applyAlignment="1">
      <alignment horizontal="center" vertical="center"/>
    </xf>
    <xf numFmtId="0" fontId="5" fillId="0" borderId="14" xfId="0" applyFont="1" applyBorder="1" applyAlignment="1">
      <alignment horizontal="right" vertical="center" wrapText="1"/>
      <protection locked="0" hidden="0"/>
    </xf>
    <xf numFmtId="0" fontId="5" fillId="0" borderId="26" xfId="0" applyFont="1" applyBorder="1" applyAlignment="1">
      <alignment horizontal="right" vertical="center" wrapText="1"/>
      <protection locked="0" hidden="0"/>
    </xf>
    <xf numFmtId="0" fontId="5" fillId="0" borderId="47" xfId="0" applyFont="1" applyBorder="1" applyAlignment="1">
      <alignment horizontal="right" vertical="center" wrapText="1"/>
      <protection locked="0" hidden="0"/>
    </xf>
    <xf numFmtId="0" fontId="5" fillId="0" borderId="15" xfId="0" applyFont="1" applyBorder="1" applyAlignment="1">
      <alignment horizontal="right" vertical="center" wrapText="1"/>
      <protection locked="0" hidden="0"/>
    </xf>
    <xf numFmtId="0" fontId="16" fillId="13" borderId="13" xfId="0" applyFont="1" applyFill="1" applyBorder="1" applyAlignment="1">
      <alignment horizontal="center" vertical="center"/>
      <protection locked="0" hidden="0"/>
    </xf>
    <xf numFmtId="0" fontId="16" fillId="13" borderId="14" xfId="0" applyFont="1" applyFill="1" applyBorder="1" applyAlignment="1">
      <alignment horizontal="center" vertical="center"/>
      <protection locked="0" hidden="0"/>
    </xf>
    <xf numFmtId="0" fontId="17" fillId="13" borderId="14" xfId="0" applyFont="1" applyFill="1" applyBorder="1" applyAlignment="1">
      <alignment horizontal="center" vertical="center" wrapText="1"/>
    </xf>
    <xf numFmtId="0" fontId="17" fillId="13" borderId="14" xfId="0" applyFont="1" applyFill="1" applyBorder="1" applyAlignment="1">
      <alignment horizontal="center" vertical="center"/>
    </xf>
    <xf numFmtId="0" fontId="17" fillId="0" borderId="43" xfId="0" applyFont="1" applyBorder="1" applyAlignment="1">
      <alignment horizontal="right" vertical="center"/>
      <protection locked="0" hidden="0"/>
    </xf>
    <xf numFmtId="0" fontId="17" fillId="0" borderId="44" xfId="0" applyFont="1" applyBorder="1" applyAlignment="1">
      <alignment horizontal="right" vertical="center"/>
      <protection locked="0" hidden="0"/>
    </xf>
    <xf numFmtId="0" fontId="5" fillId="0" borderId="13" xfId="0" applyFont="1" applyBorder="1" applyAlignment="1">
      <alignment horizontal="center" vertical="center"/>
      <protection locked="0" hidden="0"/>
    </xf>
    <xf numFmtId="0" fontId="5" fillId="0" borderId="14" xfId="0" applyFont="1" applyBorder="1" applyAlignment="1">
      <alignment horizontal="center" vertical="center"/>
      <protection locked="0" hidden="0"/>
    </xf>
    <xf numFmtId="0" fontId="5" fillId="0" borderId="14" xfId="0" applyFont="1" applyBorder="1" applyAlignment="1">
      <alignment horizontal="right" vertical="top"/>
      <protection locked="0" hidden="0"/>
    </xf>
    <xf numFmtId="0" fontId="5" fillId="0" borderId="26" xfId="0" applyFont="1" applyBorder="1" applyAlignment="1">
      <alignment horizontal="right" vertical="top"/>
      <protection locked="0" hidden="0"/>
    </xf>
    <xf numFmtId="0" fontId="5" fillId="0" borderId="47" xfId="0" applyFont="1" applyBorder="1" applyAlignment="1">
      <alignment horizontal="right" vertical="top"/>
      <protection locked="0" hidden="0"/>
    </xf>
    <xf numFmtId="0" fontId="5" fillId="0" borderId="15" xfId="0" applyFont="1" applyBorder="1" applyAlignment="1">
      <alignment horizontal="right" vertical="top"/>
      <protection locked="0" hidden="0"/>
    </xf>
    <xf numFmtId="0" fontId="16" fillId="13" borderId="13" xfId="5" applyFont="1" applyFill="1" applyBorder="1" applyAlignment="1">
      <alignment horizontal="center" vertical="center"/>
    </xf>
    <xf numFmtId="0" fontId="16" fillId="13" borderId="14" xfId="5" applyFont="1" applyFill="1" applyBorder="1" applyAlignment="1">
      <alignment horizontal="center" vertical="center"/>
    </xf>
    <xf numFmtId="0" fontId="30" fillId="0" borderId="13" xfId="0" applyFont="1" applyBorder="1" applyAlignment="1">
      <alignment horizontal="center" vertical="center"/>
      <protection locked="0" hidden="0"/>
    </xf>
    <xf numFmtId="0" fontId="30" fillId="0" borderId="14" xfId="0" applyFont="1" applyBorder="1" applyAlignment="1">
      <alignment horizontal="center" vertical="center"/>
      <protection locked="0" hidden="0"/>
    </xf>
    <xf numFmtId="0" fontId="30" fillId="0" borderId="23" xfId="0" applyFont="1" applyBorder="1" applyAlignment="1">
      <alignment horizontal="center" vertical="center"/>
      <protection locked="0" hidden="0"/>
    </xf>
    <xf numFmtId="0" fontId="30" fillId="0" borderId="24" xfId="0" applyFont="1" applyBorder="1" applyAlignment="1">
      <alignment horizontal="center" vertical="center"/>
      <protection locked="0" hidden="0"/>
    </xf>
    <xf numFmtId="0" fontId="5" fillId="0" borderId="24" xfId="0" applyFont="1" applyBorder="1" applyAlignment="1">
      <alignment horizontal="right" vertical="top"/>
      <protection locked="0" hidden="0"/>
    </xf>
    <xf numFmtId="0" fontId="5" fillId="0" borderId="25" xfId="0" applyFont="1" applyBorder="1" applyAlignment="1">
      <alignment horizontal="right" vertical="top"/>
      <protection locked="0" hidden="0"/>
    </xf>
    <xf numFmtId="164" fontId="31" fillId="4" borderId="10" xfId="0" applyNumberFormat="1" applyFont="1" applyFill="1" applyBorder="1" applyAlignment="1">
      <alignment horizontal="center" vertical="center"/>
      <protection locked="0" hidden="0"/>
    </xf>
    <xf numFmtId="164" fontId="31" fillId="4" borderId="0" xfId="0" applyNumberFormat="1" applyFont="1" applyFill="1" applyAlignment="1">
      <alignment horizontal="center" vertical="center"/>
      <protection locked="0" hidden="0"/>
    </xf>
    <xf numFmtId="0" fontId="17" fillId="9" borderId="26" xfId="0" applyFont="1" applyFill="1" applyBorder="1" applyAlignment="1">
      <alignment horizontal="center" vertical="center"/>
      <protection locked="0" hidden="0"/>
    </xf>
    <xf numFmtId="164" fontId="31" fillId="4" borderId="48" xfId="0" applyNumberFormat="1" applyFont="1" applyFill="1" applyBorder="1" applyAlignment="1">
      <alignment horizontal="center" vertical="center"/>
      <protection locked="0" hidden="0"/>
    </xf>
    <xf numFmtId="164" fontId="31" fillId="4" borderId="11" xfId="0" applyNumberFormat="1" applyFont="1" applyFill="1" applyBorder="1" applyAlignment="1">
      <alignment horizontal="center" vertical="center"/>
      <protection locked="0" hidden="0"/>
    </xf>
    <xf numFmtId="0" fontId="17" fillId="9" borderId="14" xfId="0" applyFont="1" applyFill="1" applyBorder="1" applyAlignment="1">
      <alignment horizontal="center" vertical="center"/>
    </xf>
    <xf numFmtId="0" fontId="17" fillId="9" borderId="14" xfId="0" applyFont="1" applyFill="1" applyBorder="1">
      <alignment vertical="center"/>
    </xf>
    <xf numFmtId="164" fontId="31" fillId="4" borderId="16" xfId="0" applyNumberFormat="1" applyFont="1" applyFill="1" applyBorder="1" applyAlignment="1">
      <alignment horizontal="center" vertical="center"/>
      <protection locked="0" hidden="0"/>
    </xf>
    <xf numFmtId="164" fontId="31" fillId="4" borderId="17" xfId="0" applyNumberFormat="1" applyFont="1" applyFill="1" applyBorder="1" applyAlignment="1">
      <alignment horizontal="center" vertical="center"/>
      <protection locked="0" hidden="0"/>
    </xf>
    <xf numFmtId="0" fontId="17" fillId="9" borderId="24" xfId="0" applyFont="1" applyFill="1" applyBorder="1">
      <alignment vertical="center"/>
    </xf>
    <xf numFmtId="0" fontId="17" fillId="0" borderId="24" xfId="0" applyFont="1" applyBorder="1" applyAlignment="1">
      <alignment horizontal="center" vertical="center"/>
      <protection locked="0" hidden="0"/>
    </xf>
    <xf numFmtId="164" fontId="31" fillId="4" borderId="49" xfId="0" applyNumberFormat="1" applyFont="1" applyFill="1" applyBorder="1" applyAlignment="1">
      <alignment horizontal="center" vertical="center"/>
      <protection locked="0" hidden="0"/>
    </xf>
    <xf numFmtId="164" fontId="31" fillId="4" borderId="22" xfId="0" applyNumberFormat="1" applyFont="1" applyFill="1" applyBorder="1" applyAlignment="1">
      <alignment horizontal="center" vertical="center"/>
      <protection locked="0" hidden="0"/>
    </xf>
    <xf numFmtId="0" fontId="17" fillId="5" borderId="50" xfId="5" applyFont="1" applyFill="1" applyBorder="1" applyAlignment="1">
      <alignment horizontal="center" vertical="center"/>
    </xf>
    <xf numFmtId="0" fontId="17" fillId="4" borderId="40" xfId="0" applyFont="1" applyFill="1" applyBorder="1" applyAlignment="1">
      <alignment horizontal="center" vertical="center"/>
      <protection locked="0" hidden="0"/>
    </xf>
    <xf numFmtId="0" fontId="17" fillId="4" borderId="41" xfId="0" applyFont="1" applyFill="1" applyBorder="1" applyAlignment="1">
      <alignment horizontal="center" vertical="center"/>
      <protection locked="0" hidden="0"/>
    </xf>
    <xf numFmtId="0" fontId="17" fillId="5" borderId="26" xfId="0" applyFont="1" applyFill="1" applyBorder="1" applyAlignment="1">
      <alignment horizontal="center" vertical="center"/>
      <protection locked="0" hidden="0"/>
    </xf>
    <xf numFmtId="0" fontId="17" fillId="5" borderId="47" xfId="0" applyFont="1" applyFill="1" applyBorder="1" applyAlignment="1">
      <alignment horizontal="center" vertical="center"/>
      <protection locked="0" hidden="0"/>
    </xf>
    <xf numFmtId="0" fontId="5" fillId="13" borderId="13"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5" xfId="0" applyFont="1" applyFill="1" applyBorder="1" applyAlignment="1">
      <alignment horizontal="center" vertical="center"/>
    </xf>
    <xf numFmtId="0" fontId="17" fillId="5" borderId="13" xfId="5" applyFont="1" applyFill="1" applyBorder="1" applyAlignment="1">
      <alignment horizontal="center" vertical="center"/>
    </xf>
    <xf numFmtId="0" fontId="17" fillId="4" borderId="28" xfId="0" applyFont="1" applyFill="1" applyBorder="1" applyAlignment="1">
      <alignment horizontal="center" vertical="center"/>
      <protection locked="0" hidden="0"/>
    </xf>
    <xf numFmtId="0" fontId="17" fillId="4" borderId="21" xfId="0" applyFont="1" applyFill="1" applyBorder="1" applyAlignment="1">
      <alignment horizontal="center" vertical="center"/>
      <protection locked="0" hidden="0"/>
    </xf>
    <xf numFmtId="0" fontId="17" fillId="4" borderId="14" xfId="0" applyFont="1" applyFill="1" applyBorder="1" applyAlignment="1">
      <alignment horizontal="center" vertical="center" wrapText="1"/>
      <protection locked="0" hidden="0"/>
    </xf>
    <xf numFmtId="0" fontId="17" fillId="4" borderId="15" xfId="0" applyFont="1" applyFill="1" applyBorder="1" applyAlignment="1">
      <alignment horizontal="center" vertical="center" wrapText="1"/>
      <protection locked="0" hidden="0"/>
    </xf>
    <xf numFmtId="0" fontId="17" fillId="5" borderId="13" xfId="0" applyFont="1" applyFill="1" applyBorder="1" applyAlignment="1">
      <alignment horizontal="center" vertical="center"/>
    </xf>
    <xf numFmtId="0" fontId="17" fillId="5" borderId="42" xfId="3" applyFont="1" applyFill="1" applyBorder="1" applyAlignment="1">
      <alignment horizontal="center" vertical="center"/>
    </xf>
    <xf numFmtId="0" fontId="5" fillId="0" borderId="37" xfId="0" applyFont="1" applyBorder="1" applyAlignment="1">
      <alignment horizontal="center" vertical="center"/>
      <protection locked="0" hidden="0"/>
    </xf>
    <xf numFmtId="0" fontId="5" fillId="0" borderId="38" xfId="0" applyFont="1" applyBorder="1" applyAlignment="1">
      <alignment horizontal="center" vertical="center"/>
      <protection locked="0" hidden="0"/>
    </xf>
    <xf numFmtId="0" fontId="17" fillId="4" borderId="43" xfId="0" applyFont="1" applyFill="1" applyBorder="1" applyAlignment="1">
      <alignment horizontal="center" vertical="center" wrapText="1"/>
      <protection locked="0" hidden="0"/>
    </xf>
    <xf numFmtId="0" fontId="17" fillId="4" borderId="44" xfId="0" applyFont="1" applyFill="1" applyBorder="1" applyAlignment="1">
      <alignment horizontal="center" vertical="center" wrapText="1"/>
      <protection locked="0" hidden="0"/>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17" fillId="0" borderId="13" xfId="3" applyFont="1" applyBorder="1" applyAlignment="1">
      <alignment horizontal="center" vertical="center" wrapText="1"/>
      <protection locked="0" hidden="0"/>
    </xf>
    <xf numFmtId="0" fontId="17" fillId="13" borderId="14" xfId="3" applyFont="1" applyFill="1" applyBorder="1" applyAlignment="1">
      <alignment horizontal="center" vertical="center"/>
      <protection locked="0" hidden="0"/>
    </xf>
    <xf numFmtId="0" fontId="17" fillId="0" borderId="14" xfId="3" applyFont="1" applyBorder="1" applyAlignment="1">
      <alignment horizontal="center" vertical="center"/>
      <protection locked="0" hidden="0"/>
    </xf>
    <xf numFmtId="0" fontId="17" fillId="0" borderId="15" xfId="3" applyFont="1" applyBorder="1" applyAlignment="1">
      <alignment horizontal="center" vertical="center"/>
      <protection locked="0" hidden="0"/>
    </xf>
    <xf numFmtId="0" fontId="17" fillId="0" borderId="13" xfId="3" applyFont="1" applyBorder="1" applyAlignment="1">
      <alignment horizontal="center" vertical="center"/>
      <protection locked="0" hidden="0"/>
    </xf>
    <xf numFmtId="0" fontId="17" fillId="4" borderId="14" xfId="3" applyFont="1" applyFill="1" applyBorder="1" applyAlignment="1">
      <alignment horizontal="center" vertical="center"/>
      <protection locked="0" hidden="0"/>
    </xf>
    <xf numFmtId="0" fontId="17" fillId="13" borderId="13" xfId="3" applyFont="1" applyFill="1" applyBorder="1" applyAlignment="1">
      <alignment horizontal="center" vertical="center"/>
      <protection locked="0" hidden="0"/>
    </xf>
    <xf numFmtId="0" fontId="17" fillId="5" borderId="13" xfId="4" applyFont="1" applyFill="1" applyBorder="1" applyAlignment="1">
      <alignment horizontal="center" vertical="center" wrapText="1"/>
      <protection locked="0" hidden="0"/>
    </xf>
    <xf numFmtId="0" fontId="17" fillId="5" borderId="14" xfId="4" applyFont="1" applyFill="1" applyBorder="1" applyAlignment="1">
      <alignment horizontal="center" vertical="center" wrapText="1"/>
      <protection locked="0" hidden="0"/>
    </xf>
    <xf numFmtId="0" fontId="17" fillId="5" borderId="15" xfId="4" applyFont="1" applyFill="1" applyBorder="1" applyAlignment="1">
      <alignment horizontal="center" vertical="center" wrapText="1"/>
      <protection locked="0" hidden="0"/>
    </xf>
    <xf numFmtId="0" fontId="17" fillId="0" borderId="23" xfId="0" applyFont="1" applyBorder="1" applyAlignment="1">
      <alignment horizontal="center" vertical="center"/>
      <protection locked="0" hidden="0"/>
    </xf>
    <xf numFmtId="0" fontId="17" fillId="0" borderId="25" xfId="0" applyFont="1" applyBorder="1" applyAlignment="1">
      <alignment horizontal="center" vertical="center"/>
      <protection locked="0" hidden="0"/>
    </xf>
    <xf numFmtId="0" fontId="17" fillId="0" borderId="19" xfId="0" applyFont="1" applyBorder="1" applyAlignment="1">
      <alignment horizontal="center" vertical="center"/>
      <protection locked="0" hidden="0"/>
    </xf>
    <xf numFmtId="0" fontId="17" fillId="0" borderId="20" xfId="0" applyFont="1" applyBorder="1" applyAlignment="1">
      <alignment horizontal="center" vertical="center"/>
      <protection locked="0" hidden="0"/>
    </xf>
    <xf numFmtId="0" fontId="17" fillId="0" borderId="51" xfId="0" applyFont="1" applyBorder="1" applyAlignment="1">
      <alignment horizontal="center" vertical="center"/>
      <protection locked="0" hidden="0"/>
    </xf>
    <xf numFmtId="0" fontId="17" fillId="13" borderId="52" xfId="3" applyFont="1" applyFill="1" applyBorder="1" applyAlignment="1">
      <alignment horizontal="center" vertical="center"/>
    </xf>
    <xf numFmtId="0" fontId="17" fillId="13" borderId="53" xfId="3" applyFont="1" applyFill="1" applyBorder="1" applyAlignment="1">
      <alignment horizontal="center" vertical="center"/>
    </xf>
    <xf numFmtId="0" fontId="17" fillId="13" borderId="54" xfId="3" applyFont="1" applyFill="1" applyBorder="1" applyAlignment="1">
      <alignment horizontal="center" vertical="center"/>
    </xf>
    <xf numFmtId="0" fontId="17" fillId="0" borderId="10" xfId="0" applyFont="1" applyBorder="1" applyAlignment="1">
      <alignment horizontal="center" vertical="center"/>
      <protection locked="0" hidden="0"/>
    </xf>
    <xf numFmtId="0" fontId="17" fillId="0" borderId="0" xfId="0" applyFont="1" applyAlignment="1">
      <alignment horizontal="center" vertical="center"/>
      <protection locked="0" hidden="0"/>
    </xf>
    <xf numFmtId="0" fontId="17" fillId="0" borderId="11" xfId="0" applyFont="1" applyBorder="1" applyAlignment="1">
      <alignment horizontal="center" vertical="center"/>
      <protection locked="0" hidden="0"/>
    </xf>
    <xf numFmtId="0" fontId="17" fillId="4" borderId="52" xfId="3" applyFont="1" applyFill="1" applyBorder="1" applyAlignment="1">
      <alignment horizontal="center" vertical="center"/>
    </xf>
    <xf numFmtId="0" fontId="17" fillId="4" borderId="53" xfId="3" applyFont="1" applyFill="1" applyBorder="1" applyAlignment="1">
      <alignment horizontal="center" vertical="center"/>
    </xf>
    <xf numFmtId="0" fontId="17" fillId="4" borderId="54" xfId="3" applyFont="1" applyFill="1" applyBorder="1" applyAlignment="1">
      <alignment horizontal="center" vertical="center"/>
    </xf>
    <xf numFmtId="0" fontId="17" fillId="0" borderId="52" xfId="0" applyFont="1" applyBorder="1" applyAlignment="1">
      <alignment horizontal="center" vertical="center"/>
      <protection locked="0" hidden="0"/>
    </xf>
    <xf numFmtId="0" fontId="17" fillId="0" borderId="53" xfId="0" applyFont="1" applyBorder="1" applyAlignment="1">
      <alignment horizontal="center" vertical="center"/>
      <protection locked="0" hidden="0"/>
    </xf>
    <xf numFmtId="0" fontId="17" fillId="0" borderId="54" xfId="0" applyFont="1" applyBorder="1" applyAlignment="1">
      <alignment horizontal="center" vertical="center"/>
      <protection locked="0" hidden="0"/>
    </xf>
    <xf numFmtId="0" fontId="5" fillId="0" borderId="13" xfId="0" applyFont="1" applyBorder="1" applyAlignment="1">
      <alignment horizontal="center" vertical="center" wrapText="1"/>
      <protection locked="0" hidden="0"/>
    </xf>
    <xf numFmtId="0" fontId="5" fillId="0" borderId="1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17" fillId="0" borderId="52" xfId="3" applyFont="1" applyBorder="1" applyAlignment="1">
      <alignment horizontal="center" vertical="center"/>
    </xf>
    <xf numFmtId="0" fontId="17" fillId="0" borderId="53" xfId="3" applyFont="1" applyBorder="1" applyAlignment="1">
      <alignment horizontal="center" vertical="center"/>
    </xf>
    <xf numFmtId="0" fontId="17" fillId="0" borderId="54" xfId="3" applyFont="1" applyBorder="1" applyAlignment="1">
      <alignment horizontal="center" vertical="center"/>
    </xf>
    <xf numFmtId="0" fontId="5" fillId="0" borderId="42" xfId="0" applyFont="1" applyBorder="1" applyAlignment="1">
      <alignment horizontal="center" vertical="center" wrapText="1"/>
      <protection locked="0" hidden="0"/>
    </xf>
    <xf numFmtId="0" fontId="5" fillId="0" borderId="43" xfId="0" applyFont="1" applyBorder="1" applyAlignment="1">
      <alignment horizontal="center" vertical="center" wrapText="1"/>
      <protection locked="0" hidden="0"/>
    </xf>
    <xf numFmtId="0" fontId="5" fillId="0" borderId="44" xfId="0" applyFont="1" applyBorder="1" applyAlignment="1">
      <alignment horizontal="center" vertical="center" wrapText="1"/>
      <protection locked="0" hidden="0"/>
    </xf>
    <xf numFmtId="0" fontId="32" fillId="15" borderId="1" xfId="1" applyFont="1" applyFill="1" applyBorder="1" applyAlignment="1">
      <alignment horizontal="center" vertical="center"/>
    </xf>
    <xf numFmtId="0" fontId="32" fillId="15" borderId="2" xfId="1" applyFont="1" applyFill="1" applyBorder="1" applyAlignment="1">
      <alignment horizontal="center" vertical="center"/>
    </xf>
    <xf numFmtId="0" fontId="32" fillId="15" borderId="3" xfId="1" applyFont="1" applyFill="1" applyBorder="1" applyAlignment="1">
      <alignment horizontal="center" vertical="center"/>
    </xf>
    <xf numFmtId="0" fontId="16" fillId="15" borderId="13" xfId="6" applyFont="1" applyFill="1" applyBorder="1" applyAlignment="1">
      <alignment horizontal="center" vertical="center"/>
    </xf>
    <xf numFmtId="0" fontId="16" fillId="0" borderId="14" xfId="2" applyFont="1" applyBorder="1" applyAlignment="1">
      <alignment horizontal="center" vertical="center"/>
      <protection locked="0" hidden="0"/>
    </xf>
    <xf numFmtId="0" fontId="16" fillId="0" borderId="15" xfId="2" applyFont="1" applyBorder="1" applyAlignment="1">
      <alignment horizontal="center" vertical="center"/>
      <protection locked="0" hidden="0"/>
    </xf>
    <xf numFmtId="0" fontId="16" fillId="15" borderId="13" xfId="2" applyFont="1" applyFill="1" applyBorder="1" applyAlignment="1">
      <alignment horizontal="center" vertical="center" wrapText="1"/>
    </xf>
    <xf numFmtId="0" fontId="16" fillId="0" borderId="28" xfId="1" applyFont="1" applyBorder="1" applyAlignment="1">
      <alignment horizontal="center" vertical="center" wrapText="1"/>
      <protection locked="0" hidden="0"/>
    </xf>
    <xf numFmtId="0" fontId="16" fillId="0" borderId="55" xfId="1" applyFont="1" applyBorder="1" applyAlignment="1">
      <alignment horizontal="center" vertical="center" wrapText="1"/>
      <protection locked="0" hidden="0"/>
    </xf>
    <xf numFmtId="0" fontId="16" fillId="0" borderId="56" xfId="1" applyFont="1" applyBorder="1" applyAlignment="1">
      <alignment horizontal="center" vertical="center" wrapText="1"/>
      <protection locked="0" hidden="0"/>
    </xf>
    <xf numFmtId="0" fontId="16" fillId="15" borderId="13" xfId="2" applyFont="1" applyFill="1" applyBorder="1" applyAlignment="1">
      <alignment horizontal="center" vertical="center"/>
    </xf>
    <xf numFmtId="0" fontId="16" fillId="0" borderId="20" xfId="1" applyFont="1" applyBorder="1" applyAlignment="1">
      <alignment horizontal="center" vertical="center" wrapText="1"/>
      <protection locked="0" hidden="0"/>
    </xf>
    <xf numFmtId="0" fontId="16" fillId="0" borderId="51" xfId="1" applyFont="1" applyBorder="1" applyAlignment="1">
      <alignment horizontal="center" vertical="center" wrapText="1"/>
      <protection locked="0" hidden="0"/>
    </xf>
    <xf numFmtId="0" fontId="16" fillId="0" borderId="48" xfId="1" applyFont="1" applyBorder="1" applyAlignment="1">
      <alignment horizontal="center" vertical="center" wrapText="1"/>
      <protection locked="0" hidden="0"/>
    </xf>
    <xf numFmtId="0" fontId="16" fillId="0" borderId="0" xfId="1" applyFont="1" applyAlignment="1">
      <alignment horizontal="center" vertical="center" wrapText="1"/>
      <protection locked="0" hidden="0"/>
    </xf>
    <xf numFmtId="0" fontId="16" fillId="0" borderId="11" xfId="1" applyFont="1" applyBorder="1" applyAlignment="1">
      <alignment horizontal="center" vertical="center" wrapText="1"/>
      <protection locked="0" hidden="0"/>
    </xf>
    <xf numFmtId="0" fontId="17" fillId="16" borderId="52" xfId="3" applyFont="1" applyFill="1" applyBorder="1" applyAlignment="1">
      <alignment horizontal="center" vertical="center"/>
    </xf>
    <xf numFmtId="0" fontId="17" fillId="16" borderId="53" xfId="3" applyFont="1" applyFill="1" applyBorder="1" applyAlignment="1">
      <alignment horizontal="center" vertical="center"/>
    </xf>
    <xf numFmtId="0" fontId="17" fillId="16" borderId="54" xfId="3" applyFont="1" applyFill="1" applyBorder="1" applyAlignment="1">
      <alignment horizontal="center" vertical="center"/>
    </xf>
    <xf numFmtId="0" fontId="16" fillId="15" borderId="23" xfId="2" applyFont="1" applyFill="1" applyBorder="1" applyAlignment="1">
      <alignment horizontal="center" vertical="center"/>
    </xf>
    <xf numFmtId="0" fontId="16" fillId="0" borderId="49" xfId="1" applyFont="1" applyBorder="1" applyAlignment="1">
      <alignment horizontal="center" vertical="center" wrapText="1"/>
      <protection locked="0" hidden="0"/>
    </xf>
    <xf numFmtId="0" fontId="16" fillId="0" borderId="17" xfId="1" applyFont="1" applyBorder="1" applyAlignment="1">
      <alignment horizontal="center" vertical="center" wrapText="1"/>
      <protection locked="0" hidden="0"/>
    </xf>
    <xf numFmtId="0" fontId="16" fillId="0" borderId="22" xfId="1" applyFont="1" applyBorder="1" applyAlignment="1">
      <alignment horizontal="center" vertical="center" wrapText="1"/>
      <protection locked="0" hidden="0"/>
    </xf>
    <xf numFmtId="0" fontId="5" fillId="0" borderId="17" xfId="0" applyFont="1" applyBorder="1">
      <alignment vertical="center"/>
    </xf>
    <xf numFmtId="0" fontId="33" fillId="17" borderId="14" xfId="0" applyFont="1" applyFill="1" applyBorder="1">
      <alignment vertical="center"/>
    </xf>
    <xf numFmtId="0" fontId="34" fillId="17" borderId="14" xfId="3" applyFont="1" applyFill="1" applyBorder="1" applyAlignment="1">
      <alignment horizontal="center" vertical="center"/>
    </xf>
    <xf numFmtId="0" fontId="34" fillId="17" borderId="14" xfId="0" applyFont="1" applyFill="1" applyBorder="1" applyAlignment="1">
      <alignment horizontal="center" vertical="center"/>
    </xf>
    <xf numFmtId="49" fontId="34" fillId="17" borderId="14" xfId="0" applyNumberFormat="1" applyFont="1" applyFill="1" applyBorder="1" applyAlignment="1">
      <alignment horizontal="center" vertical="center"/>
    </xf>
    <xf numFmtId="49" fontId="34" fillId="17" borderId="14" xfId="3" applyNumberFormat="1" applyFont="1" applyFill="1" applyBorder="1" applyAlignment="1">
      <alignment horizontal="center" vertical="center"/>
    </xf>
    <xf numFmtId="0" fontId="35" fillId="0" borderId="0" xfId="0" applyFont="1">
      <alignment vertical="center"/>
    </xf>
    <xf numFmtId="0" fontId="36" fillId="0" borderId="0" xfId="0" applyFont="1">
      <alignment vertical="center"/>
    </xf>
    <xf numFmtId="0" fontId="35" fillId="2" borderId="1" xfId="0" applyFont="1" applyFill="1" applyBorder="1">
      <alignment vertical="center"/>
    </xf>
    <xf numFmtId="0" fontId="35" fillId="2" borderId="2" xfId="0" applyFont="1" applyFill="1" applyBorder="1">
      <alignment vertical="center"/>
    </xf>
    <xf numFmtId="0" fontId="35" fillId="2" borderId="18" xfId="0" applyFont="1" applyFill="1" applyBorder="1">
      <alignment vertical="center"/>
    </xf>
    <xf numFmtId="0" fontId="35" fillId="2" borderId="3" xfId="0" applyFont="1" applyFill="1" applyBorder="1">
      <alignment vertical="center"/>
    </xf>
    <xf numFmtId="0" fontId="35" fillId="0" borderId="52" xfId="0" applyFont="1" applyBorder="1">
      <alignment vertical="center"/>
    </xf>
    <xf numFmtId="0" fontId="35" fillId="0" borderId="53" xfId="0" applyFont="1" applyBorder="1">
      <alignment vertical="center"/>
    </xf>
    <xf numFmtId="0" fontId="35" fillId="0" borderId="48" xfId="0" applyFont="1" applyBorder="1">
      <alignment vertical="center"/>
    </xf>
    <xf numFmtId="0" fontId="35" fillId="0" borderId="48" xfId="0" applyFont="1" applyBorder="1">
      <alignment vertical="center"/>
    </xf>
    <xf numFmtId="0" fontId="35" fillId="0" borderId="0" xfId="0" applyFont="1">
      <alignment vertical="center"/>
    </xf>
    <xf numFmtId="0" fontId="35" fillId="0" borderId="11" xfId="0" applyFont="1" applyBorder="1">
      <alignment vertical="center"/>
    </xf>
    <xf numFmtId="0" fontId="35" fillId="0" borderId="10" xfId="0" applyFont="1" applyBorder="1">
      <alignment vertical="center"/>
    </xf>
    <xf numFmtId="0" fontId="35" fillId="0" borderId="48" xfId="0" applyFont="1" applyBorder="1" applyAlignment="1">
      <alignment horizontal="center" vertical="center"/>
    </xf>
    <xf numFmtId="0" fontId="35" fillId="0" borderId="0" xfId="0" applyFont="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20" xfId="0" applyFont="1" applyBorder="1">
      <alignment vertical="center"/>
    </xf>
    <xf numFmtId="0" fontId="35" fillId="0" borderId="37" xfId="0" applyFont="1" applyBorder="1">
      <alignment vertical="center"/>
    </xf>
    <xf numFmtId="0" fontId="35" fillId="0" borderId="37" xfId="0" applyFont="1" applyBorder="1">
      <alignment vertical="center"/>
    </xf>
    <xf numFmtId="0" fontId="35" fillId="0" borderId="20" xfId="0" applyFont="1" applyBorder="1">
      <alignment vertical="center"/>
    </xf>
    <xf numFmtId="0" fontId="35" fillId="0" borderId="51" xfId="0" applyFont="1" applyBorder="1">
      <alignment vertical="center"/>
    </xf>
    <xf numFmtId="0" fontId="35" fillId="0" borderId="57" xfId="0" applyFont="1" applyBorder="1">
      <alignment vertical="center"/>
    </xf>
    <xf numFmtId="0" fontId="35" fillId="0" borderId="55" xfId="0" applyFont="1" applyBorder="1">
      <alignment vertical="center"/>
    </xf>
    <xf numFmtId="0" fontId="35" fillId="0" borderId="40" xfId="0" applyFont="1" applyBorder="1">
      <alignment vertical="center"/>
    </xf>
    <xf numFmtId="0" fontId="35" fillId="0" borderId="53" xfId="0" applyFont="1" applyBorder="1">
      <alignment vertical="center"/>
    </xf>
    <xf numFmtId="0" fontId="35" fillId="0" borderId="54" xfId="0" applyFont="1" applyBorder="1">
      <alignment vertical="center"/>
    </xf>
    <xf numFmtId="0" fontId="35" fillId="0" borderId="48" xfId="0" applyFont="1" applyBorder="1" applyAlignment="1">
      <alignment vertical="center" wrapText="1"/>
    </xf>
    <xf numFmtId="0" fontId="35" fillId="0" borderId="16" xfId="0" applyFont="1" applyBorder="1">
      <alignment vertical="center"/>
    </xf>
    <xf numFmtId="0" fontId="35" fillId="0" borderId="49" xfId="0" applyFont="1" applyBorder="1">
      <alignment vertical="center"/>
    </xf>
    <xf numFmtId="0" fontId="35" fillId="0" borderId="30" xfId="0" applyFont="1" applyBorder="1" applyAlignment="1">
      <alignment horizontal="center" vertical="center"/>
    </xf>
    <xf numFmtId="0" fontId="35" fillId="0" borderId="58" xfId="0" applyFont="1" applyBorder="1" applyAlignment="1">
      <alignment horizontal="center" vertical="center"/>
    </xf>
    <xf numFmtId="0" fontId="35" fillId="0" borderId="59" xfId="0" applyFont="1" applyBorder="1" applyAlignment="1">
      <alignment horizontal="center" vertical="center"/>
    </xf>
    <xf numFmtId="0" fontId="35" fillId="0" borderId="49" xfId="0" applyFont="1" applyBorder="1" applyAlignment="1">
      <alignment vertical="center" wrapText="1"/>
    </xf>
    <xf numFmtId="0" fontId="35" fillId="0" borderId="17" xfId="0" applyFont="1" applyBorder="1">
      <alignment vertical="center"/>
    </xf>
    <xf numFmtId="0" fontId="35" fillId="0" borderId="22" xfId="0" applyFont="1" applyBorder="1">
      <alignment vertical="center"/>
    </xf>
    <xf numFmtId="0" fontId="35" fillId="18" borderId="60" xfId="0" applyFont="1" applyFill="1" applyBorder="1" applyAlignment="1">
      <alignment horizontal="center" vertical="center"/>
    </xf>
    <xf numFmtId="0" fontId="35" fillId="18" borderId="45" xfId="0" applyFont="1" applyFill="1" applyBorder="1" applyAlignment="1">
      <alignment horizontal="center" vertical="center"/>
    </xf>
    <xf numFmtId="0" fontId="35" fillId="18" borderId="46" xfId="0" applyFont="1" applyFill="1" applyBorder="1" applyAlignment="1">
      <alignment horizontal="center" vertical="center"/>
    </xf>
    <xf numFmtId="0" fontId="35" fillId="19" borderId="57" xfId="0" applyFont="1" applyFill="1" applyBorder="1" applyAlignment="1">
      <alignment horizontal="center" vertical="center"/>
    </xf>
    <xf numFmtId="0" fontId="35" fillId="19" borderId="55" xfId="0" applyFont="1" applyFill="1" applyBorder="1" applyAlignment="1">
      <alignment horizontal="center" vertical="center"/>
    </xf>
    <xf numFmtId="0" fontId="35" fillId="7" borderId="50" xfId="0" applyFont="1" applyFill="1" applyBorder="1" applyAlignment="1">
      <alignment horizontal="center" vertical="center"/>
    </xf>
    <xf numFmtId="0" fontId="35" fillId="7" borderId="26" xfId="0" applyFont="1" applyFill="1" applyBorder="1" applyAlignment="1">
      <alignment horizontal="center" vertical="center"/>
    </xf>
    <xf numFmtId="0" fontId="35" fillId="7" borderId="47" xfId="0" applyFont="1" applyFill="1" applyBorder="1" applyAlignment="1">
      <alignment horizontal="center" vertical="center"/>
    </xf>
    <xf numFmtId="0" fontId="37" fillId="9" borderId="13" xfId="3" applyFont="1" applyFill="1" applyBorder="1" applyAlignment="1">
      <alignment horizontal="center" vertical="center" wrapText="1"/>
    </xf>
    <xf numFmtId="0" fontId="37" fillId="0" borderId="14" xfId="0" applyFont="1" applyBorder="1" applyAlignment="1">
      <alignment horizontal="center" vertical="center" wrapText="1"/>
      <protection locked="0" hidden="0"/>
    </xf>
    <xf numFmtId="0" fontId="37" fillId="9" borderId="14" xfId="3" applyFont="1" applyFill="1" applyBorder="1" applyAlignment="1">
      <alignment horizontal="center" vertical="center" wrapText="1"/>
    </xf>
    <xf numFmtId="0" fontId="37" fillId="9" borderId="14" xfId="3" applyFont="1" applyFill="1" applyBorder="1" applyAlignment="1">
      <alignment horizontal="center" vertical="center"/>
    </xf>
    <xf numFmtId="0" fontId="35" fillId="0" borderId="14" xfId="0" applyFont="1" applyBorder="1" applyAlignment="1">
      <alignment horizontal="center" vertical="center"/>
    </xf>
    <xf numFmtId="0" fontId="35" fillId="0" borderId="15" xfId="0" applyFont="1" applyBorder="1" applyAlignment="1">
      <alignment horizontal="center" vertical="center"/>
    </xf>
    <xf numFmtId="0" fontId="37" fillId="9" borderId="13" xfId="3" applyFont="1" applyFill="1" applyBorder="1" applyAlignment="1">
      <alignment horizontal="center" vertical="center" wrapText="1"/>
    </xf>
    <xf numFmtId="0" fontId="37" fillId="9" borderId="14" xfId="3" applyFont="1" applyFill="1" applyBorder="1" applyAlignment="1">
      <alignment horizontal="center" vertical="center" wrapText="1"/>
    </xf>
    <xf numFmtId="0" fontId="35" fillId="0" borderId="14" xfId="0" applyFont="1" applyBorder="1" applyAlignment="1">
      <alignment horizontal="center" vertical="center" wrapText="1"/>
    </xf>
    <xf numFmtId="0" fontId="35" fillId="0" borderId="15" xfId="0" applyFont="1" applyBorder="1" applyAlignment="1">
      <alignment horizontal="center" vertical="center" wrapText="1"/>
    </xf>
    <xf numFmtId="0" fontId="35" fillId="7" borderId="14"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3" xfId="0" applyFont="1" applyFill="1" applyBorder="1" applyAlignment="1">
      <alignment horizontal="center" vertical="center"/>
    </xf>
    <xf numFmtId="0" fontId="37" fillId="9" borderId="23" xfId="3" applyFont="1" applyFill="1" applyBorder="1" applyAlignment="1">
      <alignment horizontal="center" vertical="center" wrapText="1"/>
    </xf>
    <xf numFmtId="0" fontId="35" fillId="0" borderId="24" xfId="0" applyFont="1" applyBorder="1" applyAlignment="1">
      <alignment horizontal="center" vertical="center"/>
    </xf>
    <xf numFmtId="0" fontId="37" fillId="9" borderId="24" xfId="3" applyFont="1" applyFill="1" applyBorder="1" applyAlignment="1">
      <alignment horizontal="center" vertical="center" wrapText="1"/>
    </xf>
    <xf numFmtId="0" fontId="35" fillId="0" borderId="24" xfId="0" applyFont="1" applyBorder="1" applyAlignment="1">
      <alignment horizontal="center" vertical="center" wrapText="1"/>
    </xf>
    <xf numFmtId="0" fontId="35" fillId="0" borderId="25" xfId="0" applyFont="1" applyBorder="1" applyAlignment="1">
      <alignment horizontal="center" vertical="center" wrapText="1"/>
    </xf>
    <xf numFmtId="0" fontId="35" fillId="19" borderId="14" xfId="0" applyFont="1" applyFill="1" applyBorder="1" applyAlignment="1">
      <alignment horizontal="center" vertical="center"/>
    </xf>
    <xf numFmtId="0" fontId="35" fillId="19" borderId="15" xfId="0" applyFont="1" applyFill="1" applyBorder="1" applyAlignment="1">
      <alignment horizontal="center" vertical="center"/>
    </xf>
    <xf numFmtId="0" fontId="35" fillId="20" borderId="60" xfId="0" applyFont="1" applyFill="1" applyBorder="1" applyAlignment="1">
      <alignment horizontal="center" vertical="center"/>
    </xf>
    <xf numFmtId="0" fontId="35" fillId="20" borderId="45" xfId="0" applyFont="1" applyFill="1" applyBorder="1" applyAlignment="1">
      <alignment horizontal="center" vertical="center"/>
    </xf>
    <xf numFmtId="0" fontId="35" fillId="20" borderId="46" xfId="0" applyFont="1" applyFill="1" applyBorder="1" applyAlignment="1">
      <alignment horizontal="center" vertical="center"/>
    </xf>
    <xf numFmtId="0" fontId="35" fillId="21" borderId="13" xfId="0" applyFont="1" applyFill="1" applyBorder="1" applyAlignment="1">
      <alignment horizontal="center" vertical="center"/>
    </xf>
    <xf numFmtId="0" fontId="35" fillId="21" borderId="14" xfId="0" applyFont="1" applyFill="1" applyBorder="1" applyAlignment="1">
      <alignment horizontal="center" vertical="center"/>
    </xf>
    <xf numFmtId="0" fontId="35" fillId="21" borderId="21" xfId="0" applyFont="1" applyFill="1" applyBorder="1" applyAlignment="1">
      <alignment horizontal="center" vertical="center"/>
    </xf>
    <xf numFmtId="0" fontId="35" fillId="21" borderId="15" xfId="0" applyFont="1" applyFill="1" applyBorder="1" applyAlignment="1">
      <alignment horizontal="center" vertical="center"/>
    </xf>
    <xf numFmtId="0" fontId="37" fillId="22" borderId="13" xfId="3" applyFont="1" applyFill="1" applyBorder="1" applyAlignment="1">
      <alignment horizontal="center" vertical="center" wrapText="1"/>
    </xf>
    <xf numFmtId="0" fontId="37" fillId="22" borderId="14" xfId="3" applyFont="1" applyFill="1" applyBorder="1" applyAlignment="1">
      <alignment horizontal="center" vertical="center" wrapText="1"/>
    </xf>
    <xf numFmtId="0" fontId="37" fillId="22" borderId="14" xfId="3" applyFont="1" applyFill="1" applyBorder="1" applyAlignment="1">
      <alignment horizontal="center" vertical="center"/>
    </xf>
    <xf numFmtId="0" fontId="37" fillId="22" borderId="21" xfId="3" applyFont="1" applyFill="1" applyBorder="1" applyAlignment="1">
      <alignment horizontal="center" vertical="center" wrapText="1"/>
    </xf>
    <xf numFmtId="0" fontId="37" fillId="0" borderId="15" xfId="0" applyFont="1" applyBorder="1" applyAlignment="1">
      <alignment horizontal="center" vertical="center" wrapText="1"/>
      <protection locked="0" hidden="0"/>
    </xf>
    <xf numFmtId="0" fontId="37" fillId="22" borderId="13" xfId="3" applyFont="1" applyFill="1" applyBorder="1" applyAlignment="1">
      <alignment horizontal="center" vertical="center" wrapText="1"/>
    </xf>
    <xf numFmtId="0" fontId="37" fillId="22" borderId="21" xfId="3" applyFont="1" applyFill="1" applyBorder="1" applyAlignment="1">
      <alignment horizontal="center" vertical="center" wrapText="1"/>
    </xf>
    <xf numFmtId="0" fontId="37" fillId="0" borderId="37" xfId="0" applyFont="1" applyBorder="1" applyAlignment="1">
      <alignment horizontal="center" vertical="center" wrapText="1"/>
      <protection locked="0" hidden="0"/>
    </xf>
    <xf numFmtId="0" fontId="37" fillId="0" borderId="20" xfId="0" applyFont="1" applyBorder="1" applyAlignment="1">
      <alignment horizontal="center" vertical="center" wrapText="1"/>
      <protection locked="0" hidden="0"/>
    </xf>
    <xf numFmtId="0" fontId="37" fillId="0" borderId="38" xfId="0" applyFont="1" applyBorder="1" applyAlignment="1">
      <alignment horizontal="center" vertical="center" wrapText="1"/>
      <protection locked="0" hidden="0"/>
    </xf>
    <xf numFmtId="0" fontId="37" fillId="0" borderId="51" xfId="0" applyFont="1" applyBorder="1" applyAlignment="1">
      <alignment horizontal="center" vertical="center" wrapText="1"/>
      <protection locked="0" hidden="0"/>
    </xf>
    <xf numFmtId="0" fontId="37" fillId="0" borderId="48" xfId="0" applyFont="1" applyBorder="1" applyAlignment="1">
      <alignment horizontal="center" vertical="center" wrapText="1"/>
      <protection locked="0" hidden="0"/>
    </xf>
    <xf numFmtId="0" fontId="37" fillId="0" borderId="0" xfId="0" applyFont="1" applyAlignment="1">
      <alignment horizontal="center" vertical="center" wrapText="1"/>
      <protection locked="0" hidden="0"/>
    </xf>
    <xf numFmtId="0" fontId="37" fillId="0" borderId="61" xfId="0" applyFont="1" applyBorder="1" applyAlignment="1">
      <alignment horizontal="center" vertical="center" wrapText="1"/>
      <protection locked="0" hidden="0"/>
    </xf>
    <xf numFmtId="0" fontId="37" fillId="0" borderId="11" xfId="0" applyFont="1" applyBorder="1" applyAlignment="1">
      <alignment horizontal="center" vertical="center" wrapText="1"/>
      <protection locked="0" hidden="0"/>
    </xf>
    <xf numFmtId="0" fontId="37" fillId="0" borderId="40" xfId="0" applyFont="1" applyBorder="1" applyAlignment="1">
      <alignment horizontal="center" vertical="center" wrapText="1"/>
      <protection locked="0" hidden="0"/>
    </xf>
    <xf numFmtId="0" fontId="37" fillId="0" borderId="53" xfId="0" applyFont="1" applyBorder="1" applyAlignment="1">
      <alignment horizontal="center" vertical="center" wrapText="1"/>
      <protection locked="0" hidden="0"/>
    </xf>
    <xf numFmtId="0" fontId="37" fillId="0" borderId="41" xfId="0" applyFont="1" applyBorder="1" applyAlignment="1">
      <alignment horizontal="center" vertical="center" wrapText="1"/>
      <protection locked="0" hidden="0"/>
    </xf>
    <xf numFmtId="0" fontId="37" fillId="0" borderId="54" xfId="0" applyFont="1" applyBorder="1" applyAlignment="1">
      <alignment horizontal="center" vertical="center" wrapText="1"/>
      <protection locked="0" hidden="0"/>
    </xf>
    <xf numFmtId="0" fontId="37" fillId="22" borderId="23" xfId="3" applyFont="1" applyFill="1" applyBorder="1" applyAlignment="1">
      <alignment horizontal="center" vertical="center" wrapText="1"/>
    </xf>
    <xf numFmtId="0" fontId="37" fillId="0" borderId="24" xfId="0" applyFont="1" applyBorder="1" applyAlignment="1">
      <alignment horizontal="center" vertical="center" wrapText="1"/>
      <protection locked="0" hidden="0"/>
    </xf>
    <xf numFmtId="0" fontId="37" fillId="0" borderId="25" xfId="0" applyFont="1" applyBorder="1" applyAlignment="1">
      <alignment horizontal="center" vertical="center" wrapText="1"/>
      <protection locked="0" hidden="0"/>
    </xf>
    <xf numFmtId="0" fontId="38" fillId="0" borderId="0" xfId="0" applyFont="1">
      <alignment vertical="center"/>
    </xf>
    <xf numFmtId="0" fontId="39" fillId="18" borderId="0" xfId="0" applyFont="1" applyFill="1" applyAlignment="1">
      <alignment horizontal="center" vertical="center"/>
    </xf>
    <xf numFmtId="0" fontId="39" fillId="23" borderId="0" xfId="0" applyFont="1" applyFill="1" applyAlignment="1">
      <alignment horizontal="center" vertical="center"/>
    </xf>
    <xf numFmtId="0" fontId="38" fillId="19" borderId="0" xfId="0" applyFont="1" applyFill="1" applyAlignment="1">
      <alignment horizontal="center" vertical="center"/>
    </xf>
    <xf numFmtId="0" fontId="38" fillId="24" borderId="0" xfId="0" applyFont="1" applyFill="1" applyAlignment="1">
      <alignment horizontal="center" vertical="center"/>
    </xf>
    <xf numFmtId="0" fontId="38" fillId="0" borderId="0" xfId="0" applyFont="1" applyAlignment="1">
      <alignment vertical="center" wrapText="1"/>
    </xf>
    <xf numFmtId="0" fontId="40" fillId="0" borderId="4" xfId="0" applyFont="1" applyBorder="1">
      <alignment vertical="center"/>
    </xf>
    <xf numFmtId="0" fontId="41" fillId="0" borderId="6" xfId="0" applyFont="1" applyBorder="1">
      <alignment vertical="center"/>
    </xf>
    <xf numFmtId="0" fontId="41" fillId="0" borderId="4" xfId="0" applyFont="1" applyBorder="1" applyAlignment="1">
      <alignment horizontal="center" vertical="center"/>
    </xf>
    <xf numFmtId="0" fontId="41" fillId="0" borderId="6" xfId="0" applyFont="1" applyBorder="1" applyAlignment="1">
      <alignment horizontal="center" vertical="center"/>
    </xf>
    <xf numFmtId="0" fontId="41" fillId="0" borderId="4" xfId="0" applyFont="1" applyBorder="1">
      <alignment vertical="center"/>
    </xf>
    <xf numFmtId="0" fontId="42" fillId="25" borderId="18" xfId="3" applyFont="1" applyFill="1" applyBorder="1">
      <alignment vertical="center"/>
      <protection locked="0" hidden="0"/>
    </xf>
    <xf numFmtId="0" fontId="42" fillId="25" borderId="18" xfId="3" applyFont="1" applyFill="1" applyBorder="1">
      <alignment vertical="center"/>
    </xf>
    <xf numFmtId="0" fontId="41" fillId="25" borderId="6" xfId="0" applyFont="1" applyFill="1" applyBorder="1">
      <alignment vertical="center"/>
    </xf>
    <xf numFmtId="0" fontId="41" fillId="0" borderId="10" xfId="0" applyFont="1" applyBorder="1">
      <alignment vertical="center"/>
    </xf>
    <xf numFmtId="0" fontId="40" fillId="0" borderId="11" xfId="0" applyFont="1" applyBorder="1">
      <alignment vertical="center"/>
    </xf>
    <xf numFmtId="0" fontId="43" fillId="0" borderId="10" xfId="0" applyFont="1" applyBorder="1">
      <alignment vertical="center"/>
      <protection locked="0" hidden="0"/>
    </xf>
    <xf numFmtId="0" fontId="43" fillId="0" borderId="11" xfId="0" applyFont="1" applyBorder="1">
      <alignment vertical="center"/>
      <protection locked="0" hidden="0"/>
    </xf>
    <xf numFmtId="0" fontId="41" fillId="0" borderId="0" xfId="0" applyFont="1">
      <alignment vertical="center"/>
    </xf>
    <xf numFmtId="0" fontId="41" fillId="0" borderId="11" xfId="0" applyFont="1" applyBorder="1">
      <alignment vertical="center"/>
    </xf>
    <xf numFmtId="0" fontId="41" fillId="0" borderId="10" xfId="0" applyFont="1" applyBorder="1">
      <alignment vertical="center"/>
      <protection locked="0" hidden="0"/>
    </xf>
    <xf numFmtId="0" fontId="41" fillId="0" borderId="11" xfId="0" applyFont="1" applyBorder="1">
      <alignment vertical="center"/>
      <protection locked="0" hidden="0"/>
    </xf>
    <xf numFmtId="0" fontId="41" fillId="0" borderId="16" xfId="0" applyFont="1" applyBorder="1">
      <alignment vertical="center"/>
      <protection locked="0" hidden="0"/>
    </xf>
    <xf numFmtId="0" fontId="41" fillId="0" borderId="22" xfId="0" applyFont="1" applyBorder="1">
      <alignment vertical="center"/>
      <protection locked="0" hidden="0"/>
    </xf>
    <xf numFmtId="0" fontId="40" fillId="0" borderId="10" xfId="0" applyFont="1" applyBorder="1">
      <alignment vertical="center"/>
    </xf>
    <xf numFmtId="0" fontId="40" fillId="0" borderId="10" xfId="0" applyFont="1" applyBorder="1">
      <alignment vertical="center"/>
      <protection locked="0" hidden="0"/>
    </xf>
    <xf numFmtId="0" fontId="41" fillId="0" borderId="0" xfId="0" applyFont="1">
      <alignment vertical="center"/>
      <protection locked="0" hidden="0"/>
    </xf>
    <xf numFmtId="0" fontId="40" fillId="0" borderId="10" xfId="0" applyFont="1" applyBorder="1">
      <alignment vertical="center"/>
      <protection locked="0" hidden="0"/>
    </xf>
    <xf numFmtId="0" fontId="40" fillId="0" borderId="11" xfId="0" applyFont="1" applyBorder="1">
      <alignment vertical="center"/>
      <protection locked="0" hidden="0"/>
    </xf>
    <xf numFmtId="0" fontId="3" fillId="0" borderId="0" xfId="0" applyFont="1">
      <alignment vertical="center"/>
      <protection locked="0" hidden="0"/>
    </xf>
    <xf numFmtId="0" fontId="41" fillId="0" borderId="17" xfId="0" applyFont="1" applyBorder="1">
      <alignment vertical="center"/>
      <protection locked="0" hidden="0"/>
    </xf>
    <xf numFmtId="0" fontId="41" fillId="0" borderId="10" xfId="0" applyFont="1" applyBorder="1">
      <alignment vertical="center"/>
      <protection locked="0" hidden="0"/>
    </xf>
    <xf numFmtId="0" fontId="41" fillId="0" borderId="11" xfId="0" applyFont="1" applyBorder="1">
      <alignment vertical="center"/>
      <protection locked="0" hidden="0"/>
    </xf>
    <xf numFmtId="0" fontId="41" fillId="0" borderId="16" xfId="0" applyFont="1" applyBorder="1">
      <alignment vertical="center"/>
      <protection locked="0" hidden="0"/>
    </xf>
    <xf numFmtId="0" fontId="41" fillId="0" borderId="22" xfId="0" applyFont="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ont>
        <color rgb="FFFFFFFF"/>
      </font>
    </dxf>
    <dxf>
      <font>
        <color rgb="FFF2F2F2"/>
      </font>
    </dxf>
    <dxf>
      <fill>
        <patternFill patternType="solid">
          <bgColor rgb="FFC5D9F1"/>
        </patternFill>
      </fill>
    </dxf>
    <dxf>
      <fill>
        <patternFill patternType="solid">
          <bgColor rgb="FFDCE6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 Id="rId13" Type="http://schemas.openxmlformats.org/officeDocument/2006/relationships/customXml" Target="../customXml/item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12</xdr:col>
      <xdr:colOff>281776</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0</xdr:colOff>
      <xdr:row>30</xdr:row>
      <xdr:rowOff>0</xdr:rowOff>
    </xdr:from>
    <xdr:to>
      <xdr:col>1</xdr:col>
      <xdr:colOff>485949</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354;&#24819;SP1.153&#24481;&#20027;&#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调卡用表）"/>
      <sheetName val="建卡用参考资源"/>
      <sheetName val="数值参考"/>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BB71"/>
  <sheetViews>
    <sheetView workbookViewId="0">
      <selection activeCell="A1" sqref="A1:K5"/>
    </sheetView>
  </sheetViews>
  <sheetFormatPr defaultRowHeight="15.0"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4">
        <v>5.2</v>
      </c>
      <c r="B12" t="s">
        <v>7</v>
      </c>
    </row>
    <row r="13" spans="8:8">
      <c r="A13" s="4"/>
      <c r="B13" t="s">
        <v>8</v>
      </c>
    </row>
    <row r="14" spans="8:8">
      <c r="A14" s="3">
        <v>5.22</v>
      </c>
      <c r="B14" s="5" t="s">
        <v>9</v>
      </c>
    </row>
    <row r="15" spans="8:8">
      <c r="A15" s="4">
        <v>5.31</v>
      </c>
      <c r="B15" t="s">
        <v>10</v>
      </c>
    </row>
    <row r="16" spans="8:8">
      <c r="A16" s="4"/>
      <c r="B16" t="s">
        <v>11</v>
      </c>
    </row>
    <row r="17" spans="8:8">
      <c r="A17" s="3">
        <v>5.4</v>
      </c>
      <c r="B17" t="s">
        <v>12</v>
      </c>
    </row>
    <row r="18" spans="8:8">
      <c r="A18" s="3">
        <v>5.5</v>
      </c>
      <c r="B18" t="s">
        <v>13</v>
      </c>
    </row>
    <row r="19" spans="8:8">
      <c r="A19" s="3"/>
      <c r="B19" t="s">
        <v>14</v>
      </c>
    </row>
    <row r="20" spans="8:8">
      <c r="A20" s="3"/>
      <c r="B20" t="s">
        <v>15</v>
      </c>
    </row>
    <row r="21" spans="8:8">
      <c r="A21" s="3"/>
      <c r="B21" s="5" t="s">
        <v>16</v>
      </c>
    </row>
    <row r="22" spans="8:8">
      <c r="A22" s="3"/>
      <c r="B22" t="s">
        <v>17</v>
      </c>
    </row>
    <row r="23" spans="8:8">
      <c r="A23" s="3"/>
      <c r="B23" s="5" t="s">
        <v>18</v>
      </c>
    </row>
    <row r="24" spans="8:8" ht="15.5">
      <c r="A24" s="6" t="s">
        <v>19</v>
      </c>
      <c r="B24" s="7" t="s">
        <v>20</v>
      </c>
    </row>
    <row r="25" spans="8:8" ht="15.5">
      <c r="A25" s="8"/>
      <c r="B25" s="7" t="s">
        <v>21</v>
      </c>
    </row>
    <row r="26" spans="8:8" ht="15.5">
      <c r="A26" s="8"/>
      <c r="B26" s="7" t="s">
        <v>22</v>
      </c>
    </row>
    <row r="27" spans="8:8" ht="15.5">
      <c r="A27" s="8"/>
      <c r="B27" s="7" t="s">
        <v>23</v>
      </c>
    </row>
    <row r="28" spans="8:8" ht="15.5">
      <c r="A28" s="9">
        <v>6.01</v>
      </c>
      <c r="B28" s="10" t="s">
        <v>24</v>
      </c>
    </row>
    <row r="29" spans="8:8">
      <c r="A29" s="11" t="s">
        <v>25</v>
      </c>
      <c r="B29" s="11"/>
      <c r="C29" s="11"/>
      <c r="D29" s="11"/>
      <c r="E29" s="11"/>
      <c r="F29" s="11"/>
      <c r="G29" s="11"/>
    </row>
    <row r="30" spans="8:8">
      <c r="A30" s="11"/>
      <c r="B30" s="11"/>
      <c r="C30" s="11"/>
      <c r="D30" s="11"/>
      <c r="E30" s="11"/>
      <c r="F30" s="11"/>
      <c r="G30" s="11"/>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K102"/>
  <sheetViews>
    <sheetView tabSelected="1" workbookViewId="0" topLeftCell="A307" showGridLines="0" zoomScale="30">
      <selection activeCell="J21" sqref="J21"/>
    </sheetView>
  </sheetViews>
  <sheetFormatPr defaultRowHeight="16.5" defaultColWidth="9"/>
  <cols>
    <col min="1" max="21" customWidth="1" width="9.1640625" style="12"/>
    <col min="22" max="16384" customWidth="0" width="9.0" style="12"/>
  </cols>
  <sheetData>
    <row r="1" spans="8:8">
      <c r="C1" s="13">
        <f>C16+C17</f>
        <v>40.0</v>
      </c>
      <c r="D1" s="13">
        <f>D16+D17</f>
        <v>50.0</v>
      </c>
      <c r="E1" s="13">
        <f>E16+E17</f>
        <v>50.0</v>
      </c>
      <c r="F1" s="13">
        <f>F16+F17</f>
        <v>50.0</v>
      </c>
      <c r="G1" s="13">
        <f>G16+G17</f>
        <v>50.0</v>
      </c>
      <c r="H1" s="13">
        <f>H16+H17</f>
        <v>50.0</v>
      </c>
      <c r="I1" s="13">
        <f>I16+I17</f>
        <v>55.0</v>
      </c>
    </row>
    <row r="2" spans="8:8">
      <c r="B2" s="14" t="s">
        <v>30</v>
      </c>
      <c r="C2" s="15"/>
      <c r="D2" s="16"/>
      <c r="E2" s="17" t="s">
        <v>31</v>
      </c>
      <c r="F2" s="18"/>
      <c r="G2" s="19"/>
      <c r="H2" s="14" t="s">
        <v>32</v>
      </c>
      <c r="I2" s="15"/>
      <c r="J2" s="16"/>
      <c r="K2" s="20" t="s">
        <v>33</v>
      </c>
      <c r="L2" s="21" t="s">
        <v>34</v>
      </c>
      <c r="M2" s="22"/>
      <c r="N2" s="22"/>
      <c r="O2" s="23"/>
      <c r="P2"/>
      <c r="T2" s="24"/>
    </row>
    <row r="3" spans="8:8">
      <c r="B3" s="25" t="str">
        <f>角色經歷!B15</f>
        <v>中立-中庸</v>
      </c>
      <c r="C3" s="26"/>
      <c r="D3" s="26"/>
      <c r="E3" s="27"/>
      <c r="F3" s="28"/>
      <c r="G3" s="29"/>
      <c r="H3" s="30"/>
      <c r="I3" s="30"/>
      <c r="J3" s="31"/>
      <c r="K3" s="32">
        <f>24+K15</f>
        <v>29.0</v>
      </c>
      <c r="L3" s="33" t="s">
        <v>35</v>
      </c>
      <c r="M3" s="34"/>
      <c r="N3" s="35" t="str">
        <f>F9</f>
        <v>Saber</v>
      </c>
      <c r="O3" s="36"/>
    </row>
    <row r="4" spans="8:8">
      <c r="B4" s="37"/>
      <c r="C4" s="38"/>
      <c r="D4" s="38"/>
      <c r="E4" s="39"/>
      <c r="F4" s="40"/>
      <c r="G4" s="41"/>
      <c r="H4" s="30"/>
      <c r="I4" s="30"/>
      <c r="J4" s="31"/>
      <c r="K4" s="42"/>
      <c r="L4" s="43" t="s">
        <v>36</v>
      </c>
      <c r="M4" s="44"/>
      <c r="N4" s="45" t="str">
        <f>F10</f>
        <v>英灵</v>
      </c>
      <c r="O4" s="46"/>
    </row>
    <row r="5" spans="8:8">
      <c r="B5" s="47" t="s">
        <v>37</v>
      </c>
      <c r="C5" s="48"/>
      <c r="D5" s="49"/>
      <c r="E5" s="39"/>
      <c r="F5" s="40"/>
      <c r="G5" s="41"/>
      <c r="H5" s="30"/>
      <c r="I5" s="30"/>
      <c r="J5" s="31"/>
      <c r="K5" s="20" t="s">
        <v>38</v>
      </c>
      <c r="L5" s="33" t="s">
        <v>30</v>
      </c>
      <c r="M5" s="34"/>
      <c r="N5" s="35" t="str">
        <f>角色經歷!B15</f>
        <v>中立-中庸</v>
      </c>
      <c r="O5" s="36"/>
    </row>
    <row r="6" spans="8:8">
      <c r="B6" s="50"/>
      <c r="C6" s="51"/>
      <c r="D6" s="51"/>
      <c r="E6" s="39"/>
      <c r="F6" s="40"/>
      <c r="G6" s="41"/>
      <c r="H6" s="30"/>
      <c r="I6" s="30"/>
      <c r="J6" s="31"/>
      <c r="K6" s="32">
        <f>K3-IF(J18&gt;0,K9,K9-J18/20)</f>
        <v>0.0</v>
      </c>
      <c r="L6" s="43" t="s">
        <v>39</v>
      </c>
      <c r="M6" s="44"/>
      <c r="N6" s="52" t="str">
        <f>F11</f>
        <v>人型</v>
      </c>
      <c r="O6" s="53">
        <f>G11</f>
        <v>0.0</v>
      </c>
    </row>
    <row r="7" spans="8:8">
      <c r="B7" s="54"/>
      <c r="C7" s="55"/>
      <c r="D7" s="55"/>
      <c r="E7" s="39"/>
      <c r="F7" s="40"/>
      <c r="G7" s="41"/>
      <c r="H7" s="30"/>
      <c r="I7" s="30"/>
      <c r="J7" s="31"/>
      <c r="K7" s="56"/>
      <c r="L7" s="43"/>
      <c r="M7" s="44"/>
      <c r="N7" s="52">
        <f>F12</f>
        <v>0.0</v>
      </c>
      <c r="O7" s="53">
        <f>G12</f>
        <v>0.0</v>
      </c>
    </row>
    <row r="8" spans="8:8">
      <c r="B8" s="54"/>
      <c r="C8" s="55"/>
      <c r="D8" s="55"/>
      <c r="E8" s="57"/>
      <c r="F8" s="58"/>
      <c r="G8" s="59"/>
      <c r="H8" s="30"/>
      <c r="I8" s="30"/>
      <c r="J8" s="31"/>
      <c r="K8" s="20" t="s">
        <v>40</v>
      </c>
      <c r="L8" s="43" t="s">
        <v>41</v>
      </c>
      <c r="M8" s="44"/>
      <c r="N8" s="60" t="s">
        <v>42</v>
      </c>
      <c r="O8" s="61"/>
    </row>
    <row r="9" spans="8:8">
      <c r="B9" s="54"/>
      <c r="C9" s="55"/>
      <c r="D9" s="55"/>
      <c r="E9" s="62" t="s">
        <v>35</v>
      </c>
      <c r="F9" s="63" t="s">
        <v>43</v>
      </c>
      <c r="G9" s="64"/>
      <c r="H9" s="30"/>
      <c r="I9" s="30"/>
      <c r="J9" s="31"/>
      <c r="K9" s="32">
        <f>J20+J29+J38+J48+J57+J66+T20+T29+T38+T48+T57+T66+K12</f>
        <v>27.0</v>
      </c>
      <c r="L9" s="43" t="s">
        <v>44</v>
      </c>
      <c r="M9" s="44"/>
      <c r="N9" s="60" t="s">
        <v>470</v>
      </c>
      <c r="O9" s="61"/>
    </row>
    <row r="10" spans="8:8">
      <c r="B10" s="54"/>
      <c r="C10" s="55"/>
      <c r="D10" s="55"/>
      <c r="E10" s="65" t="s">
        <v>36</v>
      </c>
      <c r="F10" s="66" t="s">
        <v>46</v>
      </c>
      <c r="G10" s="67"/>
      <c r="H10" s="30"/>
      <c r="I10" s="30"/>
      <c r="J10" s="31"/>
      <c r="K10" s="42"/>
      <c r="L10" s="33" t="s">
        <v>47</v>
      </c>
      <c r="M10" s="34"/>
      <c r="N10" s="35" t="str">
        <f>角色經歷!C27</f>
        <v>男</v>
      </c>
      <c r="O10" s="36"/>
    </row>
    <row r="11" spans="8:8">
      <c r="B11" s="54"/>
      <c r="C11" s="55"/>
      <c r="D11" s="55"/>
      <c r="E11" s="68" t="s">
        <v>39</v>
      </c>
      <c r="F11" s="69" t="s">
        <v>48</v>
      </c>
      <c r="G11" s="70"/>
      <c r="H11" s="30"/>
      <c r="I11" s="30"/>
      <c r="J11" s="31"/>
      <c r="K11" s="20" t="s">
        <v>49</v>
      </c>
      <c r="L11" s="71" t="s">
        <v>50</v>
      </c>
      <c r="M11" s="72"/>
      <c r="N11" s="73" t="str">
        <f>F13</f>
        <v>通常</v>
      </c>
      <c r="O11" s="74"/>
    </row>
    <row r="12" spans="8:8">
      <c r="B12" s="54"/>
      <c r="C12" s="55"/>
      <c r="D12" s="55"/>
      <c r="E12" s="75"/>
      <c r="F12" s="69"/>
      <c r="G12" s="70"/>
      <c r="H12" s="30"/>
      <c r="I12" s="30"/>
      <c r="J12" s="31"/>
      <c r="K12" s="32">
        <f>H20+H29+H38+H48+H57+H66+R20+R29+R38+R48+R57+R66</f>
        <v>9.0</v>
      </c>
      <c r="L12" s="76" t="s">
        <v>51</v>
      </c>
      <c r="M12" s="77"/>
      <c r="N12" s="77"/>
      <c r="O12" s="78"/>
    </row>
    <row r="13" spans="8:8">
      <c r="B13" s="54"/>
      <c r="C13" s="55"/>
      <c r="D13" s="55"/>
      <c r="E13" s="79" t="s">
        <v>50</v>
      </c>
      <c r="F13" s="80" t="s">
        <v>52</v>
      </c>
      <c r="G13" s="81"/>
      <c r="H13" s="30"/>
      <c r="I13" s="30"/>
      <c r="J13" s="31"/>
      <c r="K13" s="82"/>
      <c r="L13" s="83" t="s">
        <v>53</v>
      </c>
      <c r="M13" s="84"/>
      <c r="N13" s="85"/>
      <c r="O13" s="86"/>
    </row>
    <row r="14" spans="8:8">
      <c r="B14" s="62"/>
      <c r="C14" s="87" t="s">
        <v>54</v>
      </c>
      <c r="D14" s="87" t="s">
        <v>55</v>
      </c>
      <c r="E14" s="88" t="s">
        <v>56</v>
      </c>
      <c r="F14" s="88" t="s">
        <v>57</v>
      </c>
      <c r="G14" s="88" t="s">
        <v>58</v>
      </c>
      <c r="H14" s="87" t="s">
        <v>59</v>
      </c>
      <c r="I14" s="87" t="s">
        <v>60</v>
      </c>
      <c r="J14" s="89" t="s">
        <v>61</v>
      </c>
      <c r="K14" s="20" t="s">
        <v>62</v>
      </c>
      <c r="L14" s="90"/>
      <c r="M14" s="91"/>
      <c r="N14" s="92"/>
      <c r="O14" s="93"/>
      <c r="P14" s="94"/>
      <c r="Q14" s="95"/>
    </row>
    <row r="15" spans="8:8">
      <c r="B15" s="96" t="s">
        <v>63</v>
      </c>
      <c r="C15" s="97">
        <f>C16+C17+C18</f>
        <v>40.0</v>
      </c>
      <c r="D15" s="97">
        <f>D16+D17+D18</f>
        <v>100.0</v>
      </c>
      <c r="E15" s="97">
        <f>E16+E17+E18</f>
        <v>100.0</v>
      </c>
      <c r="F15" s="97">
        <f>F16+F17+F18</f>
        <v>100.0</v>
      </c>
      <c r="G15" s="97">
        <f>G16+G17+G18</f>
        <v>100.0</v>
      </c>
      <c r="H15" s="97">
        <f>H16+H17+H18</f>
        <v>100.0</v>
      </c>
      <c r="I15" s="97">
        <f>I16+I17+I18</f>
        <v>55.0</v>
      </c>
      <c r="J15" s="98">
        <f>40+C17*2</f>
        <v>120.0</v>
      </c>
      <c r="K15" s="99">
        <v>5.0</v>
      </c>
      <c r="L15" s="100"/>
      <c r="M15" s="100"/>
      <c r="N15" s="100"/>
      <c r="O15" s="100"/>
      <c r="P15" s="94"/>
      <c r="Q15" s="95"/>
    </row>
    <row r="16" spans="8:8">
      <c r="B16" s="96" t="s">
        <v>35</v>
      </c>
      <c r="C16" s="101"/>
      <c r="D16" s="102">
        <f>VLOOKUP(F9,调卡用表!$B$4:$G$13,2,0)</f>
        <v>20.0</v>
      </c>
      <c r="E16" s="102">
        <f>VLOOKUP(F9,调卡用表!$B$4:$G$13,3,0)</f>
        <v>20.0</v>
      </c>
      <c r="F16" s="102">
        <f>VLOOKUP(F9,调卡用表!$B$4:$G$13,4,0)</f>
        <v>20.0</v>
      </c>
      <c r="G16" s="102">
        <f>VLOOKUP(F9,调卡用表!$B$4:$G$13,5,0)</f>
        <v>10.0</v>
      </c>
      <c r="H16" s="102">
        <f>VLOOKUP(F9,调卡用表!$B$4:$G$13,6,0)</f>
        <v>20.0</v>
      </c>
      <c r="I16" s="69"/>
      <c r="J16" s="98">
        <f>SUM(C16:I16)</f>
        <v>90.0</v>
      </c>
      <c r="K16" s="103"/>
      <c r="L16" s="100"/>
      <c r="M16" s="100"/>
      <c r="N16" s="100"/>
      <c r="O16" s="100"/>
      <c r="P16" s="94"/>
      <c r="Q16" s="94"/>
      <c r="R16" s="104"/>
      <c r="S16" s="104"/>
    </row>
    <row r="17" spans="8:8">
      <c r="B17" s="96" t="s">
        <v>64</v>
      </c>
      <c r="C17" s="105">
        <v>40.0</v>
      </c>
      <c r="D17" s="106">
        <v>30.0</v>
      </c>
      <c r="E17" s="69">
        <v>30.0</v>
      </c>
      <c r="F17" s="69">
        <v>30.0</v>
      </c>
      <c r="G17" s="69">
        <v>40.0</v>
      </c>
      <c r="H17" s="69">
        <v>30.0</v>
      </c>
      <c r="I17" s="69">
        <v>55.0</v>
      </c>
      <c r="J17" s="107" t="s">
        <v>65</v>
      </c>
      <c r="K17" s="108" t="s">
        <v>66</v>
      </c>
      <c r="L17" s="100"/>
      <c r="M17" s="100"/>
      <c r="N17" s="100"/>
      <c r="O17" s="100"/>
    </row>
    <row r="18" spans="8:8" ht="23.9">
      <c r="B18" s="109" t="s">
        <v>67</v>
      </c>
      <c r="C18" s="110"/>
      <c r="D18" s="110">
        <v>50.0</v>
      </c>
      <c r="E18" s="111">
        <v>50.0</v>
      </c>
      <c r="F18" s="111">
        <v>50.0</v>
      </c>
      <c r="G18" s="111">
        <v>50.0</v>
      </c>
      <c r="H18" s="111">
        <v>50.0</v>
      </c>
      <c r="I18" s="111"/>
      <c r="J18" s="112">
        <f>J15-D17-E17-F17-G17-H17</f>
        <v>-40.0</v>
      </c>
      <c r="K18" s="113">
        <v>60.0</v>
      </c>
      <c r="L18" s="100"/>
      <c r="M18" s="100"/>
      <c r="N18" s="100"/>
      <c r="O18" s="100"/>
    </row>
    <row r="19" spans="8:8">
      <c r="B19" s="114" t="s">
        <v>68</v>
      </c>
      <c r="C19" s="115"/>
      <c r="D19" s="115"/>
      <c r="E19" s="115"/>
      <c r="F19" s="115"/>
      <c r="G19" s="115"/>
      <c r="H19" s="115"/>
      <c r="I19" s="115"/>
      <c r="J19" s="116"/>
      <c r="K19" s="100"/>
      <c r="L19" s="117" t="s">
        <v>60</v>
      </c>
      <c r="M19" s="118"/>
      <c r="N19" s="118"/>
      <c r="O19" s="118"/>
      <c r="P19" s="118"/>
      <c r="Q19" s="118"/>
      <c r="R19" s="118"/>
      <c r="S19" s="118"/>
      <c r="T19" s="119"/>
    </row>
    <row r="20" spans="8:8">
      <c r="B20" s="120" t="s">
        <v>69</v>
      </c>
      <c r="C20" s="121" t="s">
        <v>70</v>
      </c>
      <c r="D20" s="121"/>
      <c r="E20" s="122" t="s">
        <v>54</v>
      </c>
      <c r="F20" s="123" t="s">
        <v>419</v>
      </c>
      <c r="G20" s="124" t="s">
        <v>49</v>
      </c>
      <c r="H20" s="125"/>
      <c r="I20" s="124" t="s">
        <v>72</v>
      </c>
      <c r="J20" s="126">
        <f>_xlfn.IFNA(VLOOKUP(F20,數值參考!$J$23:$K$38,2,FALSE),0)</f>
        <v>0.0</v>
      </c>
      <c r="L20" s="127" t="s">
        <v>69</v>
      </c>
      <c r="M20" s="121" t="s">
        <v>87</v>
      </c>
      <c r="N20" s="121"/>
      <c r="O20" s="128" t="s">
        <v>54</v>
      </c>
      <c r="P20" s="123" t="s">
        <v>169</v>
      </c>
      <c r="Q20" s="129" t="s">
        <v>49</v>
      </c>
      <c r="R20" s="125"/>
      <c r="S20" s="129" t="s">
        <v>72</v>
      </c>
      <c r="T20" s="126">
        <f>_xlfn.IFNA(VLOOKUP(P20,调卡用表!$M$4:$N$33,2,0),0)</f>
        <v>7.0</v>
      </c>
    </row>
    <row r="21" spans="8:8">
      <c r="B21" s="130" t="s">
        <v>75</v>
      </c>
      <c r="C21" s="131" t="s">
        <v>464</v>
      </c>
      <c r="D21" s="132"/>
      <c r="E21" s="122" t="s">
        <v>76</v>
      </c>
      <c r="F21" s="121" t="s">
        <v>77</v>
      </c>
      <c r="G21" s="121"/>
      <c r="H21" s="124" t="s">
        <v>78</v>
      </c>
      <c r="I21" s="133">
        <v>0.0</v>
      </c>
      <c r="J21" s="134"/>
      <c r="L21" s="135" t="s">
        <v>75</v>
      </c>
      <c r="M21" s="131" t="s">
        <v>476</v>
      </c>
      <c r="N21" s="132"/>
      <c r="O21" s="128" t="s">
        <v>76</v>
      </c>
      <c r="P21" s="121" t="s">
        <v>494</v>
      </c>
      <c r="Q21" s="121"/>
      <c r="R21" s="129" t="s">
        <v>78</v>
      </c>
      <c r="S21" s="133">
        <v>80.0</v>
      </c>
      <c r="T21" s="134"/>
    </row>
    <row r="22" spans="8:8">
      <c r="B22" s="130"/>
      <c r="C22" s="136"/>
      <c r="D22" s="137"/>
      <c r="E22" s="124" t="s">
        <v>80</v>
      </c>
      <c r="F22" s="121" t="s">
        <v>81</v>
      </c>
      <c r="G22" s="121"/>
      <c r="H22" s="124" t="s">
        <v>82</v>
      </c>
      <c r="I22" s="133">
        <v>0.0</v>
      </c>
      <c r="J22" s="138" t="str">
        <f>IF(F22="常驻","每日","每次")</f>
        <v>每日</v>
      </c>
      <c r="L22" s="135"/>
      <c r="M22" s="136"/>
      <c r="N22" s="137"/>
      <c r="O22" s="129" t="s">
        <v>80</v>
      </c>
      <c r="P22" s="121" t="s">
        <v>215</v>
      </c>
      <c r="Q22" s="121"/>
      <c r="R22" s="129" t="s">
        <v>82</v>
      </c>
      <c r="S22" s="133">
        <v>9.0</v>
      </c>
      <c r="T22" s="138" t="str">
        <f>IF(P22="常驻","每日","每次")</f>
        <v>每次</v>
      </c>
    </row>
    <row r="23" spans="8:8">
      <c r="B23" s="130" t="s">
        <v>83</v>
      </c>
      <c r="C23" s="121" t="s">
        <v>431</v>
      </c>
      <c r="D23" s="121"/>
      <c r="E23" s="121"/>
      <c r="F23" s="121"/>
      <c r="G23" s="121"/>
      <c r="H23" s="121"/>
      <c r="I23" s="121"/>
      <c r="J23" s="139"/>
      <c r="L23" s="135" t="s">
        <v>83</v>
      </c>
      <c r="M23" s="121" t="s">
        <v>459</v>
      </c>
      <c r="N23" s="121"/>
      <c r="O23" s="121"/>
      <c r="P23" s="121"/>
      <c r="Q23" s="121"/>
      <c r="R23" s="121"/>
      <c r="S23" s="121"/>
      <c r="T23" s="139"/>
    </row>
    <row r="24" spans="8:8">
      <c r="B24" s="130"/>
      <c r="C24" s="121"/>
      <c r="D24" s="121"/>
      <c r="E24" s="121"/>
      <c r="F24" s="121"/>
      <c r="G24" s="121"/>
      <c r="H24" s="121"/>
      <c r="I24" s="121"/>
      <c r="J24" s="139"/>
      <c r="L24" s="135"/>
      <c r="M24" s="121"/>
      <c r="N24" s="121"/>
      <c r="O24" s="121"/>
      <c r="P24" s="121"/>
      <c r="Q24" s="121"/>
      <c r="R24" s="121"/>
      <c r="S24" s="121"/>
      <c r="T24" s="139"/>
    </row>
    <row r="25" spans="8:8" ht="166.05" customHeight="1">
      <c r="B25" s="130"/>
      <c r="C25" s="121"/>
      <c r="D25" s="121"/>
      <c r="E25" s="121"/>
      <c r="F25" s="121"/>
      <c r="G25" s="121"/>
      <c r="H25" s="121"/>
      <c r="I25" s="121"/>
      <c r="J25" s="139"/>
      <c r="L25" s="135"/>
      <c r="M25" s="121"/>
      <c r="N25" s="121"/>
      <c r="O25" s="121"/>
      <c r="P25" s="121"/>
      <c r="Q25" s="121"/>
      <c r="R25" s="121"/>
      <c r="S25" s="121"/>
      <c r="T25" s="139"/>
    </row>
    <row r="26" spans="8:8" ht="71.85" customHeight="1">
      <c r="B26" s="130" t="s">
        <v>86</v>
      </c>
      <c r="C26" s="121" t="s">
        <v>466</v>
      </c>
      <c r="D26" s="121"/>
      <c r="E26" s="121"/>
      <c r="F26" s="121"/>
      <c r="G26" s="121"/>
      <c r="H26" s="121"/>
      <c r="I26" s="121"/>
      <c r="J26" s="139"/>
      <c r="L26" s="135" t="s">
        <v>86</v>
      </c>
      <c r="M26" s="121" t="s">
        <v>488</v>
      </c>
      <c r="N26" s="121"/>
      <c r="O26" s="121"/>
      <c r="P26" s="121"/>
      <c r="Q26" s="121"/>
      <c r="R26" s="121"/>
      <c r="S26" s="121"/>
      <c r="T26" s="139"/>
    </row>
    <row r="27" spans="8:8">
      <c r="B27" s="130"/>
      <c r="C27" s="121"/>
      <c r="D27" s="121"/>
      <c r="E27" s="121"/>
      <c r="F27" s="121"/>
      <c r="G27" s="121"/>
      <c r="H27" s="121"/>
      <c r="I27" s="121"/>
      <c r="J27" s="139"/>
      <c r="L27" s="135"/>
      <c r="M27" s="121"/>
      <c r="N27" s="121"/>
      <c r="O27" s="121"/>
      <c r="P27" s="121"/>
      <c r="Q27" s="121"/>
      <c r="R27" s="121"/>
      <c r="S27" s="121"/>
      <c r="T27" s="139"/>
    </row>
    <row r="28" spans="8:8">
      <c r="B28" s="130"/>
      <c r="C28" s="121"/>
      <c r="D28" s="121"/>
      <c r="E28" s="121"/>
      <c r="F28" s="121"/>
      <c r="G28" s="121"/>
      <c r="H28" s="121"/>
      <c r="I28" s="121"/>
      <c r="J28" s="139"/>
      <c r="L28" s="135"/>
      <c r="M28" s="121"/>
      <c r="N28" s="121"/>
      <c r="O28" s="121"/>
      <c r="P28" s="121"/>
      <c r="Q28" s="121"/>
      <c r="R28" s="121"/>
      <c r="S28" s="121"/>
      <c r="T28" s="139"/>
    </row>
    <row r="29" spans="8:8">
      <c r="B29" s="120" t="s">
        <v>69</v>
      </c>
      <c r="C29" s="121" t="s">
        <v>427</v>
      </c>
      <c r="D29" s="121"/>
      <c r="E29" s="122" t="s">
        <v>54</v>
      </c>
      <c r="F29" s="123" t="s">
        <v>155</v>
      </c>
      <c r="G29" s="124" t="s">
        <v>49</v>
      </c>
      <c r="H29" s="125">
        <v>7.0</v>
      </c>
      <c r="I29" s="124" t="s">
        <v>72</v>
      </c>
      <c r="J29" s="126">
        <f>_xlfn.IFNA(VLOOKUP(F29,數值參考!$J$23:$K$38,2,FALSE),0)</f>
        <v>0.0</v>
      </c>
      <c r="L29" s="127" t="s">
        <v>69</v>
      </c>
      <c r="M29" s="121" t="s">
        <v>423</v>
      </c>
      <c r="N29" s="121"/>
      <c r="O29" s="128" t="s">
        <v>54</v>
      </c>
      <c r="P29" s="123" t="s">
        <v>147</v>
      </c>
      <c r="Q29" s="129" t="s">
        <v>49</v>
      </c>
      <c r="R29" s="125">
        <v>2.0</v>
      </c>
      <c r="S29" s="129" t="s">
        <v>72</v>
      </c>
      <c r="T29" s="126">
        <f>_xlfn.IFNA(VLOOKUP(P29,调卡用表!$M$4:$N$33,2,0),0)</f>
        <v>1.0</v>
      </c>
    </row>
    <row r="30" spans="8:8">
      <c r="A30" s="140"/>
      <c r="B30" s="130" t="s">
        <v>75</v>
      </c>
      <c r="C30" s="131" t="s">
        <v>428</v>
      </c>
      <c r="D30" s="132"/>
      <c r="E30" s="122" t="s">
        <v>76</v>
      </c>
      <c r="F30" s="121" t="s">
        <v>35</v>
      </c>
      <c r="G30" s="121"/>
      <c r="H30" s="124" t="s">
        <v>78</v>
      </c>
      <c r="I30" s="133">
        <v>0.0</v>
      </c>
      <c r="J30" s="141"/>
      <c r="L30" s="135" t="s">
        <v>75</v>
      </c>
      <c r="M30" s="131" t="s">
        <v>440</v>
      </c>
      <c r="N30" s="132"/>
      <c r="O30" s="128" t="s">
        <v>76</v>
      </c>
      <c r="P30" s="121" t="s">
        <v>89</v>
      </c>
      <c r="Q30" s="121"/>
      <c r="R30" s="129" t="s">
        <v>78</v>
      </c>
      <c r="S30" s="133">
        <v>0.0</v>
      </c>
      <c r="T30" s="134"/>
    </row>
    <row r="31" spans="8:8">
      <c r="A31" s="140"/>
      <c r="B31" s="130"/>
      <c r="C31" s="136"/>
      <c r="D31" s="137"/>
      <c r="E31" s="124" t="s">
        <v>80</v>
      </c>
      <c r="F31" s="121" t="s">
        <v>81</v>
      </c>
      <c r="G31" s="121"/>
      <c r="H31" s="124" t="s">
        <v>82</v>
      </c>
      <c r="I31" s="133">
        <v>30.0</v>
      </c>
      <c r="J31" s="138" t="str">
        <f>IF(F31="常驻","每日","每次")</f>
        <v>每日</v>
      </c>
      <c r="L31" s="135"/>
      <c r="M31" s="136"/>
      <c r="N31" s="137"/>
      <c r="O31" s="129" t="s">
        <v>80</v>
      </c>
      <c r="P31" s="121" t="s">
        <v>81</v>
      </c>
      <c r="Q31" s="121"/>
      <c r="R31" s="129" t="s">
        <v>82</v>
      </c>
      <c r="S31" s="133">
        <v>10.0</v>
      </c>
      <c r="T31" s="138" t="str">
        <f>IF(P31="常驻","每日","每次")</f>
        <v>每日</v>
      </c>
    </row>
    <row r="32" spans="8:8">
      <c r="B32" s="130" t="s">
        <v>83</v>
      </c>
      <c r="C32" s="121" t="s">
        <v>430</v>
      </c>
      <c r="D32" s="121"/>
      <c r="E32" s="121"/>
      <c r="F32" s="121"/>
      <c r="G32" s="121"/>
      <c r="H32" s="121"/>
      <c r="I32" s="121"/>
      <c r="J32" s="139"/>
      <c r="L32" s="135" t="s">
        <v>83</v>
      </c>
      <c r="M32" s="121" t="s">
        <v>435</v>
      </c>
      <c r="N32" s="121"/>
      <c r="O32" s="121"/>
      <c r="P32" s="121"/>
      <c r="Q32" s="121"/>
      <c r="R32" s="121"/>
      <c r="S32" s="121"/>
      <c r="T32" s="139"/>
    </row>
    <row r="33" spans="8:8" ht="47.35" customHeight="1">
      <c r="B33" s="130"/>
      <c r="C33" s="121"/>
      <c r="D33" s="121"/>
      <c r="E33" s="121"/>
      <c r="F33" s="121"/>
      <c r="G33" s="121"/>
      <c r="H33" s="121"/>
      <c r="I33" s="121"/>
      <c r="J33" s="139"/>
      <c r="L33" s="135"/>
      <c r="M33" s="121"/>
      <c r="N33" s="121"/>
      <c r="O33" s="121"/>
      <c r="P33" s="121"/>
      <c r="Q33" s="121"/>
      <c r="R33" s="121"/>
      <c r="S33" s="121"/>
      <c r="T33" s="139"/>
    </row>
    <row r="34" spans="8:8">
      <c r="B34" s="130"/>
      <c r="C34" s="121"/>
      <c r="D34" s="121"/>
      <c r="E34" s="121"/>
      <c r="F34" s="121"/>
      <c r="G34" s="121"/>
      <c r="H34" s="121"/>
      <c r="I34" s="121"/>
      <c r="J34" s="139"/>
      <c r="L34" s="135"/>
      <c r="M34" s="121"/>
      <c r="N34" s="121"/>
      <c r="O34" s="121"/>
      <c r="P34" s="121"/>
      <c r="Q34" s="121"/>
      <c r="R34" s="121"/>
      <c r="S34" s="121"/>
      <c r="T34" s="139"/>
    </row>
    <row r="35" spans="8:8">
      <c r="B35" s="130" t="s">
        <v>86</v>
      </c>
      <c r="C35" s="121" t="s">
        <v>467</v>
      </c>
      <c r="D35" s="121"/>
      <c r="E35" s="121"/>
      <c r="F35" s="121"/>
      <c r="G35" s="121"/>
      <c r="H35" s="121"/>
      <c r="I35" s="121"/>
      <c r="J35" s="139"/>
      <c r="L35" s="135" t="s">
        <v>86</v>
      </c>
      <c r="M35" s="121" t="s">
        <v>463</v>
      </c>
      <c r="N35" s="121"/>
      <c r="O35" s="121"/>
      <c r="P35" s="121"/>
      <c r="Q35" s="121"/>
      <c r="R35" s="121"/>
      <c r="S35" s="121"/>
      <c r="T35" s="139"/>
    </row>
    <row r="36" spans="8:8">
      <c r="B36" s="130"/>
      <c r="C36" s="121"/>
      <c r="D36" s="121"/>
      <c r="E36" s="121"/>
      <c r="F36" s="121"/>
      <c r="G36" s="121"/>
      <c r="H36" s="121"/>
      <c r="I36" s="121"/>
      <c r="J36" s="139"/>
      <c r="L36" s="135"/>
      <c r="M36" s="121"/>
      <c r="N36" s="121"/>
      <c r="O36" s="121"/>
      <c r="P36" s="121"/>
      <c r="Q36" s="121"/>
      <c r="R36" s="121"/>
      <c r="S36" s="121"/>
      <c r="T36" s="139"/>
    </row>
    <row r="37" spans="8:8">
      <c r="B37" s="130"/>
      <c r="C37" s="121"/>
      <c r="D37" s="121"/>
      <c r="E37" s="121"/>
      <c r="F37" s="121"/>
      <c r="G37" s="121"/>
      <c r="H37" s="121"/>
      <c r="I37" s="121"/>
      <c r="J37" s="139"/>
      <c r="L37" s="135"/>
      <c r="M37" s="121"/>
      <c r="N37" s="121"/>
      <c r="O37" s="121"/>
      <c r="P37" s="121"/>
      <c r="Q37" s="121"/>
      <c r="R37" s="121"/>
      <c r="S37" s="121"/>
      <c r="T37" s="139"/>
    </row>
    <row r="38" spans="8:8">
      <c r="B38" s="120" t="s">
        <v>69</v>
      </c>
      <c r="C38" s="121"/>
      <c r="D38" s="121"/>
      <c r="E38" s="122" t="s">
        <v>54</v>
      </c>
      <c r="F38" s="123"/>
      <c r="G38" s="124" t="s">
        <v>49</v>
      </c>
      <c r="H38" s="125"/>
      <c r="I38" s="124" t="s">
        <v>72</v>
      </c>
      <c r="J38" s="126">
        <f>_xlfn.IFNA(VLOOKUP(F38,數值參考!$J$23:$K$38,2,FALSE),0)</f>
        <v>0.0</v>
      </c>
      <c r="L38" s="127" t="s">
        <v>69</v>
      </c>
      <c r="M38" s="121" t="s">
        <v>426</v>
      </c>
      <c r="N38" s="121"/>
      <c r="O38" s="128" t="s">
        <v>54</v>
      </c>
      <c r="P38" s="123" t="s">
        <v>88</v>
      </c>
      <c r="Q38" s="129" t="s">
        <v>49</v>
      </c>
      <c r="R38" s="125"/>
      <c r="S38" s="129" t="s">
        <v>72</v>
      </c>
      <c r="T38" s="126">
        <f>_xlfn.IFNA(VLOOKUP(P38,调卡用表!$M$4:$N$33,2,0),0)</f>
        <v>5.0</v>
      </c>
    </row>
    <row r="39" spans="8:8">
      <c r="B39" s="130" t="s">
        <v>75</v>
      </c>
      <c r="C39" s="131"/>
      <c r="D39" s="132"/>
      <c r="E39" s="122" t="s">
        <v>76</v>
      </c>
      <c r="F39" s="121"/>
      <c r="G39" s="121"/>
      <c r="H39" s="124" t="s">
        <v>78</v>
      </c>
      <c r="I39" s="142"/>
      <c r="J39" s="134"/>
      <c r="L39" s="135" t="s">
        <v>75</v>
      </c>
      <c r="M39" s="131" t="s">
        <v>438</v>
      </c>
      <c r="N39" s="132"/>
      <c r="O39" s="128" t="s">
        <v>76</v>
      </c>
      <c r="P39" s="121" t="s">
        <v>437</v>
      </c>
      <c r="Q39" s="121"/>
      <c r="R39" s="129" t="s">
        <v>78</v>
      </c>
      <c r="S39" s="142">
        <v>0.0</v>
      </c>
      <c r="T39" s="134"/>
    </row>
    <row r="40" spans="8:8">
      <c r="B40" s="130"/>
      <c r="C40" s="136"/>
      <c r="D40" s="137"/>
      <c r="E40" s="124" t="s">
        <v>80</v>
      </c>
      <c r="F40" s="121"/>
      <c r="G40" s="121"/>
      <c r="H40" s="124" t="s">
        <v>82</v>
      </c>
      <c r="I40" s="142"/>
      <c r="J40" s="143"/>
      <c r="L40" s="135"/>
      <c r="M40" s="136"/>
      <c r="N40" s="137"/>
      <c r="O40" s="129" t="s">
        <v>80</v>
      </c>
      <c r="P40" s="121" t="s">
        <v>81</v>
      </c>
      <c r="Q40" s="121"/>
      <c r="R40" s="129" t="s">
        <v>82</v>
      </c>
      <c r="S40" s="142">
        <v>20.0</v>
      </c>
      <c r="T40" s="138" t="str">
        <f>IF(P40="常驻","每日","每次")</f>
        <v>每日</v>
      </c>
    </row>
    <row r="41" spans="8:8">
      <c r="B41" s="130" t="s">
        <v>83</v>
      </c>
      <c r="C41" s="121"/>
      <c r="D41" s="121"/>
      <c r="E41" s="121"/>
      <c r="F41" s="121"/>
      <c r="G41" s="121"/>
      <c r="H41" s="121"/>
      <c r="I41" s="121"/>
      <c r="J41" s="139"/>
      <c r="L41" s="135" t="s">
        <v>83</v>
      </c>
      <c r="M41" s="121" t="s">
        <v>424</v>
      </c>
      <c r="N41" s="121"/>
      <c r="O41" s="121"/>
      <c r="P41" s="121"/>
      <c r="Q41" s="121"/>
      <c r="R41" s="121"/>
      <c r="S41" s="121"/>
      <c r="T41" s="139"/>
    </row>
    <row r="42" spans="8:8" ht="324.75" customHeight="1">
      <c r="B42" s="130"/>
      <c r="C42" s="121"/>
      <c r="D42" s="121"/>
      <c r="E42" s="121"/>
      <c r="F42" s="121"/>
      <c r="G42" s="121"/>
      <c r="H42" s="121"/>
      <c r="I42" s="121"/>
      <c r="J42" s="139"/>
      <c r="L42" s="135"/>
      <c r="M42" s="121"/>
      <c r="N42" s="121"/>
      <c r="O42" s="121"/>
      <c r="P42" s="121"/>
      <c r="Q42" s="121"/>
      <c r="R42" s="121"/>
      <c r="S42" s="121"/>
      <c r="T42" s="139"/>
    </row>
    <row r="43" spans="8:8">
      <c r="B43" s="130"/>
      <c r="C43" s="121"/>
      <c r="D43" s="121"/>
      <c r="E43" s="121"/>
      <c r="F43" s="121"/>
      <c r="G43" s="121"/>
      <c r="H43" s="121"/>
      <c r="I43" s="121"/>
      <c r="J43" s="139"/>
      <c r="L43" s="135"/>
      <c r="M43" s="121"/>
      <c r="N43" s="121"/>
      <c r="O43" s="121"/>
      <c r="P43" s="121"/>
      <c r="Q43" s="121"/>
      <c r="R43" s="121"/>
      <c r="S43" s="121"/>
      <c r="T43" s="139"/>
    </row>
    <row r="44" spans="8:8">
      <c r="B44" s="130" t="s">
        <v>86</v>
      </c>
      <c r="C44" s="121"/>
      <c r="D44" s="121"/>
      <c r="E44" s="121"/>
      <c r="F44" s="121"/>
      <c r="G44" s="121"/>
      <c r="H44" s="121"/>
      <c r="I44" s="121"/>
      <c r="J44" s="139"/>
      <c r="L44" s="135" t="s">
        <v>86</v>
      </c>
      <c r="M44" s="121" t="s">
        <v>462</v>
      </c>
      <c r="N44" s="121"/>
      <c r="O44" s="121"/>
      <c r="P44" s="121"/>
      <c r="Q44" s="121"/>
      <c r="R44" s="121"/>
      <c r="S44" s="121"/>
      <c r="T44" s="139"/>
    </row>
    <row r="45" spans="8:8">
      <c r="B45" s="130"/>
      <c r="C45" s="121"/>
      <c r="D45" s="121"/>
      <c r="E45" s="121"/>
      <c r="F45" s="121"/>
      <c r="G45" s="121"/>
      <c r="H45" s="121"/>
      <c r="I45" s="121"/>
      <c r="J45" s="139"/>
      <c r="L45" s="135"/>
      <c r="M45" s="121"/>
      <c r="N45" s="121"/>
      <c r="O45" s="121"/>
      <c r="P45" s="121"/>
      <c r="Q45" s="121"/>
      <c r="R45" s="121"/>
      <c r="S45" s="121"/>
      <c r="T45" s="139"/>
    </row>
    <row r="46" spans="8:8">
      <c r="B46" s="144"/>
      <c r="C46" s="145"/>
      <c r="D46" s="145"/>
      <c r="E46" s="145"/>
      <c r="F46" s="145"/>
      <c r="G46" s="145"/>
      <c r="H46" s="145"/>
      <c r="I46" s="145"/>
      <c r="J46" s="146"/>
      <c r="L46" s="147"/>
      <c r="M46" s="145"/>
      <c r="N46" s="145"/>
      <c r="O46" s="145"/>
      <c r="P46" s="145"/>
      <c r="Q46" s="145"/>
      <c r="R46" s="145"/>
      <c r="S46" s="145"/>
      <c r="T46" s="146"/>
    </row>
    <row r="47" spans="8:8">
      <c r="B47" s="148" t="s">
        <v>91</v>
      </c>
      <c r="C47" s="149"/>
      <c r="D47" s="149"/>
      <c r="E47" s="149"/>
      <c r="F47" s="149"/>
      <c r="G47" s="149"/>
      <c r="H47" s="149"/>
      <c r="I47" s="149"/>
      <c r="J47" s="150"/>
      <c r="K47" s="151"/>
      <c r="L47" s="152" t="s">
        <v>92</v>
      </c>
      <c r="M47" s="153"/>
      <c r="N47" s="153"/>
      <c r="O47" s="153"/>
      <c r="P47" s="153"/>
      <c r="Q47" s="153"/>
      <c r="R47" s="153"/>
      <c r="S47" s="153"/>
      <c r="T47" s="154"/>
    </row>
    <row r="48" spans="8:8">
      <c r="B48" s="155" t="s">
        <v>69</v>
      </c>
      <c r="C48" s="156" t="s">
        <v>493</v>
      </c>
      <c r="D48" s="156"/>
      <c r="E48" s="157" t="s">
        <v>54</v>
      </c>
      <c r="F48" s="158" t="s">
        <v>88</v>
      </c>
      <c r="G48" s="157" t="s">
        <v>49</v>
      </c>
      <c r="H48" s="159"/>
      <c r="I48" s="157" t="s">
        <v>72</v>
      </c>
      <c r="J48" s="160">
        <f>_xlfn.IFNA(VLOOKUP(F48,调卡用表!$J$4:$K$33,2,0),0)</f>
        <v>5.0</v>
      </c>
      <c r="K48" s="161"/>
      <c r="L48" s="162" t="s">
        <v>69</v>
      </c>
      <c r="M48" s="156"/>
      <c r="N48" s="156"/>
      <c r="O48" s="163" t="s">
        <v>54</v>
      </c>
      <c r="P48" s="158" t="s">
        <v>94</v>
      </c>
      <c r="Q48" s="163" t="s">
        <v>49</v>
      </c>
      <c r="R48" s="159"/>
      <c r="S48" s="163" t="s">
        <v>72</v>
      </c>
      <c r="T48" s="160"/>
    </row>
    <row r="49" spans="8:8">
      <c r="B49" s="164" t="s">
        <v>75</v>
      </c>
      <c r="C49" s="165" t="s">
        <v>475</v>
      </c>
      <c r="D49" s="166"/>
      <c r="E49" s="157" t="s">
        <v>76</v>
      </c>
      <c r="F49" s="156" t="s">
        <v>439</v>
      </c>
      <c r="G49" s="156"/>
      <c r="H49" s="157" t="s">
        <v>78</v>
      </c>
      <c r="I49" s="167">
        <v>0.0</v>
      </c>
      <c r="J49" s="168"/>
      <c r="K49" s="161"/>
      <c r="L49" s="169" t="s">
        <v>75</v>
      </c>
      <c r="M49" s="165"/>
      <c r="N49" s="166"/>
      <c r="O49" s="163" t="s">
        <v>76</v>
      </c>
      <c r="P49" s="156"/>
      <c r="Q49" s="156"/>
      <c r="R49" s="163" t="s">
        <v>78</v>
      </c>
      <c r="S49" s="167"/>
      <c r="T49" s="168"/>
    </row>
    <row r="50" spans="8:8">
      <c r="B50" s="164"/>
      <c r="C50" s="170"/>
      <c r="D50" s="171"/>
      <c r="E50" s="157" t="s">
        <v>80</v>
      </c>
      <c r="F50" s="156" t="s">
        <v>81</v>
      </c>
      <c r="G50" s="156"/>
      <c r="H50" s="157" t="s">
        <v>82</v>
      </c>
      <c r="I50" s="167">
        <v>0.0</v>
      </c>
      <c r="J50" s="172" t="str">
        <f>IF(F50="常驻","每日","每次")</f>
        <v>每日</v>
      </c>
      <c r="K50" s="161"/>
      <c r="L50" s="169"/>
      <c r="M50" s="170"/>
      <c r="N50" s="171"/>
      <c r="O50" s="163" t="s">
        <v>80</v>
      </c>
      <c r="P50" s="156"/>
      <c r="Q50" s="156"/>
      <c r="R50" s="163" t="s">
        <v>82</v>
      </c>
      <c r="S50" s="167"/>
      <c r="T50" s="172"/>
    </row>
    <row r="51" spans="8:8" ht="83.55" customHeight="1">
      <c r="B51" s="164" t="s">
        <v>83</v>
      </c>
      <c r="C51" s="121" t="s">
        <v>487</v>
      </c>
      <c r="D51" s="121"/>
      <c r="E51" s="121"/>
      <c r="F51" s="121"/>
      <c r="G51" s="121"/>
      <c r="H51" s="121"/>
      <c r="I51" s="121"/>
      <c r="J51" s="139"/>
      <c r="K51" s="161"/>
      <c r="L51" s="169" t="s">
        <v>83</v>
      </c>
      <c r="M51" s="156" t="s">
        <v>96</v>
      </c>
      <c r="N51" s="156"/>
      <c r="O51" s="156"/>
      <c r="P51" s="156"/>
      <c r="Q51" s="156"/>
      <c r="R51" s="156"/>
      <c r="S51" s="156"/>
      <c r="T51" s="173"/>
    </row>
    <row r="52" spans="8:8" ht="32.15" customHeight="1">
      <c r="B52" s="164"/>
      <c r="C52" s="121"/>
      <c r="D52" s="121"/>
      <c r="E52" s="121"/>
      <c r="F52" s="121"/>
      <c r="G52" s="121"/>
      <c r="H52" s="121"/>
      <c r="I52" s="121"/>
      <c r="J52" s="139"/>
      <c r="K52" s="161"/>
      <c r="L52" s="169"/>
      <c r="M52" s="156"/>
      <c r="N52" s="156"/>
      <c r="O52" s="156"/>
      <c r="P52" s="156"/>
      <c r="Q52" s="156"/>
      <c r="R52" s="156"/>
      <c r="S52" s="156"/>
      <c r="T52" s="173"/>
    </row>
    <row r="53" spans="8:8">
      <c r="B53" s="164"/>
      <c r="C53" s="121"/>
      <c r="D53" s="121"/>
      <c r="E53" s="121"/>
      <c r="F53" s="121"/>
      <c r="G53" s="121"/>
      <c r="H53" s="121"/>
      <c r="I53" s="121"/>
      <c r="J53" s="139"/>
      <c r="K53" s="161"/>
      <c r="L53" s="169"/>
      <c r="M53" s="156"/>
      <c r="N53" s="156"/>
      <c r="O53" s="156"/>
      <c r="P53" s="156"/>
      <c r="Q53" s="156"/>
      <c r="R53" s="156"/>
      <c r="S53" s="156"/>
      <c r="T53" s="173"/>
    </row>
    <row r="54" spans="8:8">
      <c r="B54" s="164" t="s">
        <v>86</v>
      </c>
      <c r="C54" s="156" t="s">
        <v>469</v>
      </c>
      <c r="D54" s="156"/>
      <c r="E54" s="156"/>
      <c r="F54" s="156"/>
      <c r="G54" s="156"/>
      <c r="H54" s="156"/>
      <c r="I54" s="156"/>
      <c r="J54" s="173"/>
      <c r="K54" s="161"/>
      <c r="L54" s="169" t="s">
        <v>86</v>
      </c>
      <c r="M54" s="156"/>
      <c r="N54" s="156"/>
      <c r="O54" s="156"/>
      <c r="P54" s="156"/>
      <c r="Q54" s="156"/>
      <c r="R54" s="156"/>
      <c r="S54" s="156"/>
      <c r="T54" s="173"/>
    </row>
    <row r="55" spans="8:8">
      <c r="B55" s="164"/>
      <c r="C55" s="156"/>
      <c r="D55" s="156"/>
      <c r="E55" s="156"/>
      <c r="F55" s="156"/>
      <c r="G55" s="156"/>
      <c r="H55" s="156"/>
      <c r="I55" s="156"/>
      <c r="J55" s="173"/>
      <c r="K55" s="161"/>
      <c r="L55" s="169"/>
      <c r="M55" s="156"/>
      <c r="N55" s="156"/>
      <c r="O55" s="156"/>
      <c r="P55" s="156"/>
      <c r="Q55" s="156"/>
      <c r="R55" s="156"/>
      <c r="S55" s="156"/>
      <c r="T55" s="173"/>
    </row>
    <row r="56" spans="8:8">
      <c r="B56" s="164"/>
      <c r="C56" s="156"/>
      <c r="D56" s="156"/>
      <c r="E56" s="156"/>
      <c r="F56" s="156"/>
      <c r="G56" s="156"/>
      <c r="H56" s="156"/>
      <c r="I56" s="156"/>
      <c r="J56" s="173"/>
      <c r="K56" s="161"/>
      <c r="L56" s="169"/>
      <c r="M56" s="156"/>
      <c r="N56" s="156"/>
      <c r="O56" s="156"/>
      <c r="P56" s="156"/>
      <c r="Q56" s="156"/>
      <c r="R56" s="156"/>
      <c r="S56" s="156"/>
      <c r="T56" s="173"/>
    </row>
    <row r="57" spans="8:8" ht="16.5">
      <c r="B57" s="155" t="s">
        <v>69</v>
      </c>
      <c r="C57" s="156" t="s">
        <v>442</v>
      </c>
      <c r="D57" s="156"/>
      <c r="E57" s="157" t="s">
        <v>54</v>
      </c>
      <c r="F57" s="158"/>
      <c r="G57" s="157" t="s">
        <v>49</v>
      </c>
      <c r="H57" s="159"/>
      <c r="I57" s="157" t="s">
        <v>72</v>
      </c>
      <c r="J57" s="160">
        <f>_xlfn.IFNA(VLOOKUP(F57,调卡用表!$J$4:$K$33,2,0),0)</f>
        <v>0.0</v>
      </c>
      <c r="K57" s="161"/>
      <c r="L57" s="162" t="s">
        <v>69</v>
      </c>
      <c r="M57" s="156"/>
      <c r="N57" s="156"/>
      <c r="O57" s="163" t="s">
        <v>54</v>
      </c>
      <c r="P57" s="158" t="s">
        <v>94</v>
      </c>
      <c r="Q57" s="163" t="s">
        <v>49</v>
      </c>
      <c r="R57" s="159"/>
      <c r="S57" s="163" t="s">
        <v>72</v>
      </c>
      <c r="T57" s="160"/>
    </row>
    <row r="58" spans="8:8">
      <c r="B58" s="174" t="s">
        <v>75</v>
      </c>
      <c r="C58" s="175" t="s">
        <v>471</v>
      </c>
      <c r="D58" s="176"/>
      <c r="E58" s="177" t="s">
        <v>76</v>
      </c>
      <c r="F58" s="178" t="s">
        <v>98</v>
      </c>
      <c r="G58" s="178"/>
      <c r="H58" s="177" t="s">
        <v>78</v>
      </c>
      <c r="I58" s="179">
        <v>0.0</v>
      </c>
      <c r="J58" s="180"/>
      <c r="K58" s="151"/>
      <c r="L58" s="181" t="s">
        <v>75</v>
      </c>
      <c r="M58" s="175"/>
      <c r="N58" s="176"/>
      <c r="O58" s="182" t="s">
        <v>76</v>
      </c>
      <c r="P58" s="183"/>
      <c r="Q58" s="183"/>
      <c r="R58" s="182" t="s">
        <v>78</v>
      </c>
      <c r="S58" s="184"/>
      <c r="T58" s="180"/>
    </row>
    <row r="59" spans="8:8">
      <c r="B59" s="174"/>
      <c r="C59" s="185"/>
      <c r="D59" s="186"/>
      <c r="E59" s="177" t="s">
        <v>80</v>
      </c>
      <c r="F59" s="178" t="s">
        <v>81</v>
      </c>
      <c r="G59" s="178"/>
      <c r="H59" s="177" t="s">
        <v>82</v>
      </c>
      <c r="I59" s="179">
        <v>0.0</v>
      </c>
      <c r="J59" s="187" t="str">
        <f>IF(F59="常驻","每日","每次")</f>
        <v>每日</v>
      </c>
      <c r="K59" s="151"/>
      <c r="L59" s="181"/>
      <c r="M59" s="185"/>
      <c r="N59" s="186"/>
      <c r="O59" s="182" t="s">
        <v>80</v>
      </c>
      <c r="P59" s="183"/>
      <c r="Q59" s="183"/>
      <c r="R59" s="182" t="s">
        <v>82</v>
      </c>
      <c r="S59" s="184"/>
      <c r="T59" s="188"/>
    </row>
    <row r="60" spans="8:8" ht="72.3" customHeight="1">
      <c r="B60" s="174" t="s">
        <v>83</v>
      </c>
      <c r="C60" s="178" t="s">
        <v>456</v>
      </c>
      <c r="D60" s="178"/>
      <c r="E60" s="178"/>
      <c r="F60" s="178"/>
      <c r="G60" s="178"/>
      <c r="H60" s="178"/>
      <c r="I60" s="178"/>
      <c r="J60" s="189"/>
      <c r="K60" s="151"/>
      <c r="L60" s="181" t="s">
        <v>83</v>
      </c>
      <c r="M60" s="183"/>
      <c r="N60" s="183"/>
      <c r="O60" s="183"/>
      <c r="P60" s="183"/>
      <c r="Q60" s="183"/>
      <c r="R60" s="183"/>
      <c r="S60" s="183"/>
      <c r="T60" s="190"/>
    </row>
    <row r="61" spans="8:8">
      <c r="B61" s="174"/>
      <c r="C61" s="178"/>
      <c r="D61" s="178"/>
      <c r="E61" s="178"/>
      <c r="F61" s="178"/>
      <c r="G61" s="178"/>
      <c r="H61" s="178"/>
      <c r="I61" s="178"/>
      <c r="J61" s="189"/>
      <c r="K61" s="151"/>
      <c r="L61" s="181"/>
      <c r="M61" s="183"/>
      <c r="N61" s="183"/>
      <c r="O61" s="183"/>
      <c r="P61" s="183"/>
      <c r="Q61" s="183"/>
      <c r="R61" s="183"/>
      <c r="S61" s="183"/>
      <c r="T61" s="190"/>
    </row>
    <row r="62" spans="8:8">
      <c r="B62" s="174"/>
      <c r="C62" s="178"/>
      <c r="D62" s="178"/>
      <c r="E62" s="178"/>
      <c r="F62" s="178"/>
      <c r="G62" s="178"/>
      <c r="H62" s="178"/>
      <c r="I62" s="178"/>
      <c r="J62" s="189"/>
      <c r="K62" s="151"/>
      <c r="L62" s="181"/>
      <c r="M62" s="183"/>
      <c r="N62" s="183"/>
      <c r="O62" s="183"/>
      <c r="P62" s="183"/>
      <c r="Q62" s="183"/>
      <c r="R62" s="183"/>
      <c r="S62" s="183"/>
      <c r="T62" s="190"/>
    </row>
    <row r="63" spans="8:8">
      <c r="B63" s="174" t="s">
        <v>86</v>
      </c>
      <c r="C63" s="178" t="s">
        <v>473</v>
      </c>
      <c r="D63" s="178"/>
      <c r="E63" s="178"/>
      <c r="F63" s="178"/>
      <c r="G63" s="178"/>
      <c r="H63" s="178"/>
      <c r="I63" s="178"/>
      <c r="J63" s="189"/>
      <c r="K63" s="151"/>
      <c r="L63" s="181" t="s">
        <v>86</v>
      </c>
      <c r="M63" s="183"/>
      <c r="N63" s="183"/>
      <c r="O63" s="183"/>
      <c r="P63" s="183"/>
      <c r="Q63" s="183"/>
      <c r="R63" s="183"/>
      <c r="S63" s="183"/>
      <c r="T63" s="190"/>
    </row>
    <row r="64" spans="8:8">
      <c r="B64" s="174"/>
      <c r="C64" s="178"/>
      <c r="D64" s="178"/>
      <c r="E64" s="178"/>
      <c r="F64" s="178"/>
      <c r="G64" s="178"/>
      <c r="H64" s="178"/>
      <c r="I64" s="178"/>
      <c r="J64" s="189"/>
      <c r="K64" s="151"/>
      <c r="L64" s="181"/>
      <c r="M64" s="183"/>
      <c r="N64" s="183"/>
      <c r="O64" s="183"/>
      <c r="P64" s="183"/>
      <c r="Q64" s="183"/>
      <c r="R64" s="183"/>
      <c r="S64" s="183"/>
      <c r="T64" s="190"/>
    </row>
    <row r="65" spans="8:8">
      <c r="B65" s="174"/>
      <c r="C65" s="178"/>
      <c r="D65" s="178"/>
      <c r="E65" s="178"/>
      <c r="F65" s="178"/>
      <c r="G65" s="178"/>
      <c r="H65" s="178"/>
      <c r="I65" s="178"/>
      <c r="J65" s="189"/>
      <c r="K65" s="151"/>
      <c r="L65" s="181"/>
      <c r="M65" s="183"/>
      <c r="N65" s="183"/>
      <c r="O65" s="183"/>
      <c r="P65" s="183"/>
      <c r="Q65" s="183"/>
      <c r="R65" s="183"/>
      <c r="S65" s="183"/>
      <c r="T65" s="190"/>
    </row>
    <row r="66" spans="8:8">
      <c r="B66" s="191" t="s">
        <v>69</v>
      </c>
      <c r="C66" s="178"/>
      <c r="D66" s="178"/>
      <c r="E66" s="177" t="s">
        <v>54</v>
      </c>
      <c r="F66" s="192"/>
      <c r="G66" s="177" t="s">
        <v>49</v>
      </c>
      <c r="H66" s="193"/>
      <c r="I66" s="177" t="s">
        <v>72</v>
      </c>
      <c r="J66" s="194">
        <f>_xlfn.IFNA(VLOOKUP(F66,调卡用表!$J$4:$K$33,2,0),0)</f>
        <v>0.0</v>
      </c>
      <c r="K66" s="151"/>
      <c r="L66" s="195" t="s">
        <v>69</v>
      </c>
      <c r="M66" s="183"/>
      <c r="N66" s="183"/>
      <c r="O66" s="182" t="s">
        <v>54</v>
      </c>
      <c r="P66" s="196" t="s">
        <v>94</v>
      </c>
      <c r="Q66" s="182" t="s">
        <v>49</v>
      </c>
      <c r="R66" s="197"/>
      <c r="S66" s="182" t="s">
        <v>72</v>
      </c>
      <c r="T66" s="198"/>
    </row>
    <row r="67" spans="8:8">
      <c r="B67" s="174" t="s">
        <v>75</v>
      </c>
      <c r="C67" s="199"/>
      <c r="D67" s="200"/>
      <c r="E67" s="177" t="s">
        <v>76</v>
      </c>
      <c r="F67" s="178"/>
      <c r="G67" s="178"/>
      <c r="H67" s="177" t="s">
        <v>78</v>
      </c>
      <c r="I67" s="179"/>
      <c r="J67" s="201"/>
      <c r="K67" s="151"/>
      <c r="L67" s="181" t="s">
        <v>75</v>
      </c>
      <c r="M67" s="175"/>
      <c r="N67" s="176"/>
      <c r="O67" s="182" t="s">
        <v>76</v>
      </c>
      <c r="P67" s="183"/>
      <c r="Q67" s="183"/>
      <c r="R67" s="182" t="s">
        <v>78</v>
      </c>
      <c r="S67" s="184"/>
      <c r="T67" s="180"/>
    </row>
    <row r="68" spans="8:8">
      <c r="B68" s="174"/>
      <c r="C68" s="202"/>
      <c r="D68" s="203"/>
      <c r="E68" s="177" t="s">
        <v>80</v>
      </c>
      <c r="F68" s="178"/>
      <c r="G68" s="178"/>
      <c r="H68" s="177" t="s">
        <v>82</v>
      </c>
      <c r="I68" s="179"/>
      <c r="J68" s="187" t="str">
        <f>IF(F68="常驻","每日","每次")</f>
        <v>每次</v>
      </c>
      <c r="K68" s="151"/>
      <c r="L68" s="181"/>
      <c r="M68" s="185"/>
      <c r="N68" s="186"/>
      <c r="O68" s="182" t="s">
        <v>80</v>
      </c>
      <c r="P68" s="183"/>
      <c r="Q68" s="183"/>
      <c r="R68" s="182" t="s">
        <v>82</v>
      </c>
      <c r="S68" s="184"/>
      <c r="T68" s="188"/>
    </row>
    <row r="69" spans="8:8">
      <c r="B69" s="174" t="s">
        <v>83</v>
      </c>
      <c r="C69" s="178"/>
      <c r="D69" s="178"/>
      <c r="E69" s="178"/>
      <c r="F69" s="178"/>
      <c r="G69" s="178"/>
      <c r="H69" s="178"/>
      <c r="I69" s="178"/>
      <c r="J69" s="189"/>
      <c r="K69" s="151"/>
      <c r="L69" s="181" t="s">
        <v>83</v>
      </c>
      <c r="M69" s="183"/>
      <c r="N69" s="183"/>
      <c r="O69" s="183"/>
      <c r="P69" s="183"/>
      <c r="Q69" s="183"/>
      <c r="R69" s="183"/>
      <c r="S69" s="183"/>
      <c r="T69" s="190"/>
    </row>
    <row r="70" spans="8:8">
      <c r="B70" s="174"/>
      <c r="C70" s="178"/>
      <c r="D70" s="178"/>
      <c r="E70" s="178"/>
      <c r="F70" s="178"/>
      <c r="G70" s="178"/>
      <c r="H70" s="178"/>
      <c r="I70" s="178"/>
      <c r="J70" s="189"/>
      <c r="K70" s="151"/>
      <c r="L70" s="181"/>
      <c r="M70" s="183"/>
      <c r="N70" s="183"/>
      <c r="O70" s="183"/>
      <c r="P70" s="183"/>
      <c r="Q70" s="183"/>
      <c r="R70" s="183"/>
      <c r="S70" s="183"/>
      <c r="T70" s="190"/>
    </row>
    <row r="71" spans="8:8">
      <c r="B71" s="174"/>
      <c r="C71" s="178"/>
      <c r="D71" s="178"/>
      <c r="E71" s="178"/>
      <c r="F71" s="178"/>
      <c r="G71" s="178"/>
      <c r="H71" s="178"/>
      <c r="I71" s="178"/>
      <c r="J71" s="189"/>
      <c r="K71" s="151"/>
      <c r="L71" s="181"/>
      <c r="M71" s="183"/>
      <c r="N71" s="183"/>
      <c r="O71" s="183"/>
      <c r="P71" s="183"/>
      <c r="Q71" s="183"/>
      <c r="R71" s="183"/>
      <c r="S71" s="183"/>
      <c r="T71" s="190"/>
    </row>
    <row r="72" spans="8:8">
      <c r="B72" s="174" t="s">
        <v>86</v>
      </c>
      <c r="C72" s="178"/>
      <c r="D72" s="178"/>
      <c r="E72" s="178"/>
      <c r="F72" s="178"/>
      <c r="G72" s="178"/>
      <c r="H72" s="178"/>
      <c r="I72" s="178"/>
      <c r="J72" s="189"/>
      <c r="K72" s="151"/>
      <c r="L72" s="181" t="s">
        <v>86</v>
      </c>
      <c r="M72" s="183"/>
      <c r="N72" s="183"/>
      <c r="O72" s="183"/>
      <c r="P72" s="183"/>
      <c r="Q72" s="183"/>
      <c r="R72" s="183"/>
      <c r="S72" s="183"/>
      <c r="T72" s="190"/>
    </row>
    <row r="73" spans="8:8">
      <c r="B73" s="174"/>
      <c r="C73" s="178"/>
      <c r="D73" s="178"/>
      <c r="E73" s="178"/>
      <c r="F73" s="178"/>
      <c r="G73" s="178"/>
      <c r="H73" s="178"/>
      <c r="I73" s="178"/>
      <c r="J73" s="189"/>
      <c r="K73" s="151"/>
      <c r="L73" s="181"/>
      <c r="M73" s="183"/>
      <c r="N73" s="183"/>
      <c r="O73" s="183"/>
      <c r="P73" s="183"/>
      <c r="Q73" s="183"/>
      <c r="R73" s="183"/>
      <c r="S73" s="183"/>
      <c r="T73" s="190"/>
    </row>
    <row r="74" spans="8:8">
      <c r="B74" s="204"/>
      <c r="C74" s="205"/>
      <c r="D74" s="205"/>
      <c r="E74" s="205"/>
      <c r="F74" s="205"/>
      <c r="G74" s="205"/>
      <c r="H74" s="205"/>
      <c r="I74" s="205"/>
      <c r="J74" s="206"/>
      <c r="K74" s="151"/>
      <c r="L74" s="207"/>
      <c r="M74" s="208"/>
      <c r="N74" s="208"/>
      <c r="O74" s="208"/>
      <c r="P74" s="208"/>
      <c r="Q74" s="208"/>
      <c r="R74" s="208"/>
      <c r="S74" s="208"/>
      <c r="T74" s="209"/>
    </row>
    <row r="75" spans="8:8">
      <c r="B75"/>
    </row>
    <row r="81" spans="8:8" ht="15.65" customHeight="1"/>
    <row r="82" spans="8:8" ht="15.65" customHeight="1"/>
    <row r="83" spans="8:8" ht="15.65" customHeight="1"/>
    <row r="84" spans="8:8" ht="15.65" customHeight="1"/>
    <row r="85" spans="8:8" ht="15.65" customHeight="1"/>
    <row r="86" spans="8:8" ht="15.65" customHeight="1"/>
    <row r="87" spans="8:8" ht="15.65" customHeight="1"/>
    <row r="88" spans="8:8" ht="15.65" customHeight="1"/>
    <row r="89" spans="8:8" ht="15.65" customHeight="1"/>
    <row r="90" spans="8:8" ht="15.65" customHeight="1"/>
    <row r="91" spans="8:8" ht="15.65" customHeight="1"/>
    <row r="92" spans="8:8" ht="15.65" customHeight="1"/>
    <row r="93" spans="8:8" ht="15.65" customHeight="1"/>
    <row r="102" spans="8:8" ht="15.65" customHeight="1"/>
  </sheetData>
  <sheetProtection sheet="0" formatColumns="0" formatRows="0" insertColumns="0" insertRows="0" insertHyperlinks="0"/>
  <mergeCells count="142">
    <mergeCell ref="B72:B74"/>
    <mergeCell ref="P49:Q49"/>
    <mergeCell ref="C32:J34"/>
    <mergeCell ref="C49:D50"/>
    <mergeCell ref="C54:J56"/>
    <mergeCell ref="B39:B40"/>
    <mergeCell ref="L72:L74"/>
    <mergeCell ref="M72:T74"/>
    <mergeCell ref="E2:G2"/>
    <mergeCell ref="L49:L50"/>
    <mergeCell ref="N4:O4"/>
    <mergeCell ref="B23:B25"/>
    <mergeCell ref="C35:J37"/>
    <mergeCell ref="C58:D59"/>
    <mergeCell ref="M21:N22"/>
    <mergeCell ref="C48:D48"/>
    <mergeCell ref="B49:B50"/>
    <mergeCell ref="L30:L31"/>
    <mergeCell ref="M41:T43"/>
    <mergeCell ref="M69:T71"/>
    <mergeCell ref="P30:Q30"/>
    <mergeCell ref="C72:J74"/>
    <mergeCell ref="B41:B43"/>
    <mergeCell ref="M57:N57"/>
    <mergeCell ref="L60:L62"/>
    <mergeCell ref="C67:D68"/>
    <mergeCell ref="P50:Q50"/>
    <mergeCell ref="F30:G30"/>
    <mergeCell ref="B2:D2"/>
    <mergeCell ref="P21:Q21"/>
    <mergeCell ref="B58:B59"/>
    <mergeCell ref="L67:L68"/>
    <mergeCell ref="C23:J25"/>
    <mergeCell ref="M29:N29"/>
    <mergeCell ref="B30:B31"/>
    <mergeCell ref="L2:O2"/>
    <mergeCell ref="M67:N68"/>
    <mergeCell ref="M39:N40"/>
    <mergeCell ref="M66:N66"/>
    <mergeCell ref="L12:O12"/>
    <mergeCell ref="L13:O14"/>
    <mergeCell ref="N3:O3"/>
    <mergeCell ref="N11:O11"/>
    <mergeCell ref="M51:T53"/>
    <mergeCell ref="L19:T19"/>
    <mergeCell ref="F40:G40"/>
    <mergeCell ref="B35:B37"/>
    <mergeCell ref="B19:J19"/>
    <mergeCell ref="B47:J47"/>
    <mergeCell ref="C51:J53"/>
    <mergeCell ref="M60:T62"/>
    <mergeCell ref="L21:L22"/>
    <mergeCell ref="L69:L71"/>
    <mergeCell ref="L58:L59"/>
    <mergeCell ref="L63:L65"/>
    <mergeCell ref="M44:T46"/>
    <mergeCell ref="P58:Q58"/>
    <mergeCell ref="B5:D5"/>
    <mergeCell ref="H2:J2"/>
    <mergeCell ref="N9:O9"/>
    <mergeCell ref="L3:M3"/>
    <mergeCell ref="C30:D31"/>
    <mergeCell ref="L4:M4"/>
    <mergeCell ref="B3:D4"/>
    <mergeCell ref="B32:B34"/>
    <mergeCell ref="L8:M8"/>
    <mergeCell ref="F21:G21"/>
    <mergeCell ref="C29:D29"/>
    <mergeCell ref="F10:G10"/>
    <mergeCell ref="C20:D20"/>
    <mergeCell ref="P68:Q68"/>
    <mergeCell ref="M23:T25"/>
    <mergeCell ref="F39:G39"/>
    <mergeCell ref="P22:Q22"/>
    <mergeCell ref="F67:G67"/>
    <mergeCell ref="F68:G68"/>
    <mergeCell ref="C39:D40"/>
    <mergeCell ref="H3:J13"/>
    <mergeCell ref="P40:Q40"/>
    <mergeCell ref="N5:O5"/>
    <mergeCell ref="F22:G22"/>
    <mergeCell ref="P59:Q59"/>
    <mergeCell ref="L47:T47"/>
    <mergeCell ref="F59:G59"/>
    <mergeCell ref="F58:G58"/>
    <mergeCell ref="B21:B22"/>
    <mergeCell ref="C41:J43"/>
    <mergeCell ref="B69:B71"/>
    <mergeCell ref="P39:Q39"/>
    <mergeCell ref="C63:J65"/>
    <mergeCell ref="C66:D66"/>
    <mergeCell ref="C69:J71"/>
    <mergeCell ref="B63:B65"/>
    <mergeCell ref="C44:J46"/>
    <mergeCell ref="B26:B28"/>
    <mergeCell ref="B54:B56"/>
    <mergeCell ref="F31:G31"/>
    <mergeCell ref="P67:Q67"/>
    <mergeCell ref="N10:O10"/>
    <mergeCell ref="L26:L28"/>
    <mergeCell ref="L6:M7"/>
    <mergeCell ref="M38:N38"/>
    <mergeCell ref="L9:M9"/>
    <mergeCell ref="M58:N59"/>
    <mergeCell ref="M48:N48"/>
    <mergeCell ref="L5:M5"/>
    <mergeCell ref="B51:B53"/>
    <mergeCell ref="B44:B46"/>
    <mergeCell ref="M20:N20"/>
    <mergeCell ref="B6:D13"/>
    <mergeCell ref="F50:G50"/>
    <mergeCell ref="C26:J28"/>
    <mergeCell ref="B60:B62"/>
    <mergeCell ref="C38:D38"/>
    <mergeCell ref="F49:G49"/>
    <mergeCell ref="C21:D22"/>
    <mergeCell ref="F13:G13"/>
    <mergeCell ref="E11:E12"/>
    <mergeCell ref="L11:M11"/>
    <mergeCell ref="P31:Q31"/>
    <mergeCell ref="L54:L56"/>
    <mergeCell ref="L32:L34"/>
    <mergeCell ref="L51:L53"/>
    <mergeCell ref="L41:L43"/>
    <mergeCell ref="B67:B68"/>
    <mergeCell ref="F9:G9"/>
    <mergeCell ref="L44:L46"/>
    <mergeCell ref="E3:G8"/>
    <mergeCell ref="L39:L40"/>
    <mergeCell ref="M30:N31"/>
    <mergeCell ref="L23:L25"/>
    <mergeCell ref="L35:L37"/>
    <mergeCell ref="M49:N50"/>
    <mergeCell ref="C57:D57"/>
    <mergeCell ref="C60:J62"/>
    <mergeCell ref="M54:T56"/>
    <mergeCell ref="L10:M10"/>
    <mergeCell ref="N8:O8"/>
    <mergeCell ref="M63:T65"/>
    <mergeCell ref="M32:T34"/>
    <mergeCell ref="M35:T37"/>
    <mergeCell ref="M26:T28"/>
  </mergeCells>
  <conditionalFormatting sqref="J20 T20 J29 T29 J38 T38 J48 T48 J57 T57 J66 T66">
    <cfRule type="cellIs" operator="equal" priority="4" dxfId="0">
      <formula>0</formula>
    </cfRule>
  </conditionalFormatting>
  <conditionalFormatting sqref="N3:O11">
    <cfRule type="cellIs" operator="equal" priority="3" dxfId="1">
      <formula>0</formula>
    </cfRule>
  </conditionalFormatting>
  <conditionalFormatting sqref="C18:I18">
    <cfRule type="cellIs" operator="notEqual" priority="7" dxfId="2">
      <formula>0</formula>
    </cfRule>
  </conditionalFormatting>
  <conditionalFormatting sqref="C16:I16">
    <cfRule type="cellIs" operator="notEqual" priority="5" dxfId="3">
      <formula>0</formula>
    </cfRule>
  </conditionalFormatting>
  <dataValidations count="12">
    <dataValidation allowBlank="1" type="any" operator="between" errorStyle="stop" showInputMessage="1" showErrorMessage="1" sqref="N4:O4"/>
    <dataValidation allowBlank="1" type="any" operator="between" errorStyle="stop" showInputMessage="1" showErrorMessage="1" sqref="N11:O11"/>
    <dataValidation allowBlank="1" type="any" operator="between" errorStyle="stop" showInputMessage="1" showErrorMessage="1" sqref="N6:O7"/>
    <dataValidation allowBlank="1" type="list" errorStyle="stop" showInputMessage="1" showErrorMessage="1" sqref="N8:O8">
      <formula1>"过去,现在,未来,虚造,异闻带"</formula1>
    </dataValidation>
    <dataValidation allowBlank="1" type="list" errorStyle="stop" showInputMessage="1" showErrorMessage="1" sqref="C17">
      <formula1>"70,60,50,40,30"</formula1>
    </dataValidation>
    <dataValidation allowBlank="1" type="list" errorStyle="stop" showInputMessage="1" showErrorMessage="1" sqref="F10:G10">
      <formula1>"神灵,英灵,幻灵,精灵,亡灵,守护者"</formula1>
    </dataValidation>
    <dataValidation allowBlank="1" type="decimal" operator="between" errorStyle="warning" showInputMessage="1" sqref="F18">
      <formula1>0</formula1>
      <formula2>E17</formula2>
    </dataValidation>
    <dataValidation allowBlank="1" type="list" errorStyle="stop" showInputMessage="1" showErrorMessage="1" sqref="F13:G13">
      <formula1>"袖珍,通常,巨大,超巨大"</formula1>
    </dataValidation>
    <dataValidation allowBlank="1" type="list" errorStyle="stop" showInputMessage="1" showErrorMessage="1" sqref="F12">
      <formula1>"人型,神性,魔性,龙种,猛兽,魔兽,鬼种,构装体"</formula1>
    </dataValidation>
    <dataValidation allowBlank="1" type="list" errorStyle="stop" showInputMessage="1" showErrorMessage="1" sqref="G11">
      <formula1>"人型,神性,魔性,龙种,猛兽,魔兽,鬼种,构装体"</formula1>
    </dataValidation>
    <dataValidation allowBlank="1" type="list" errorStyle="stop" showInputMessage="1" showErrorMessage="1" sqref="G12">
      <formula1>"人型,神性,魔性,龙种,猛兽,魔兽,鬼种,构装体"</formula1>
    </dataValidation>
    <dataValidation allowBlank="1" type="list" errorStyle="stop" showInputMessage="1" showErrorMessage="1" sqref="F11">
      <formula1>"人型,神性,魔性,龙种,猛兽,魔兽,鬼种,构装体"</formula1>
    </dataValidation>
  </dataValidations>
  <pageMargins left="0.699305555555556" right="0.699305555555556" top="0.75" bottom="0.75" header="0.3" footer="0.3"/>
  <pageSetup paperSize="9" scale="88"/>
  <legacyDrawing r:id="rId1"/>
  <extLst>
    <ext xmlns:x14="http://schemas.microsoft.com/office/spreadsheetml/2009/9/main" uri="{CCE6A557-97BC-4b89-ADB6-D9C93CAAB3DF}">
      <x14:dataValidations xmlns:xm="http://schemas.microsoft.com/office/excel/2006/main" count="1">
        <x14:dataValidation allowBlank="1" type="list" errorStyle="stop" showInputMessage="1" showErrorMessage="1">
          <xm:sqref>F9:G9</xm:sqref>
        </x14:dataValidation>
      </x14:dataValidations>
    </ext>
  </extLst>
</worksheet>
</file>

<file path=xl/worksheets/sheet3.xml><?xml version="1.0" encoding="utf-8"?>
<worksheet xmlns:r="http://schemas.openxmlformats.org/officeDocument/2006/relationships" xmlns="http://schemas.openxmlformats.org/spreadsheetml/2006/main">
  <dimension ref="B1:BK107"/>
  <sheetViews>
    <sheetView workbookViewId="0" topLeftCell="H1" showGridLines="0" zoomScale="45">
      <selection activeCell="F22" sqref="F22:G22"/>
    </sheetView>
  </sheetViews>
  <sheetFormatPr defaultRowHeight="15.0" defaultColWidth="10"/>
  <cols>
    <col min="1" max="1" customWidth="1" width="5.5820312" style="0"/>
    <col min="11" max="11" customWidth="1" width="5.5820312" style="0"/>
    <col min="21" max="21" customWidth="1" width="5.5820312" style="0"/>
  </cols>
  <sheetData>
    <row r="1" spans="8:8" ht="15.65" customHeight="1">
      <c r="I1" s="210"/>
    </row>
    <row r="2" spans="8:8" ht="15.65" customHeight="1">
      <c r="B2" s="211" t="s">
        <v>100</v>
      </c>
      <c r="C2" s="212"/>
      <c r="D2" s="212"/>
      <c r="E2" s="212"/>
      <c r="F2" s="212"/>
      <c r="G2" s="212"/>
      <c r="H2" s="212"/>
      <c r="I2" s="212"/>
      <c r="J2" s="213"/>
      <c r="K2" s="214"/>
      <c r="L2" s="215" t="s">
        <v>101</v>
      </c>
      <c r="M2" s="216"/>
      <c r="N2" s="216"/>
      <c r="O2" s="216"/>
      <c r="P2" s="216"/>
      <c r="Q2" s="216"/>
      <c r="R2" s="216"/>
      <c r="S2" s="216"/>
      <c r="T2" s="217"/>
    </row>
    <row r="3" spans="8:8" ht="15.65" customHeight="1">
      <c r="B3" s="218" t="s">
        <v>484</v>
      </c>
      <c r="C3" s="219"/>
      <c r="D3" s="219"/>
      <c r="E3" s="219"/>
      <c r="F3" s="219"/>
      <c r="G3" s="219"/>
      <c r="H3" s="219"/>
      <c r="I3" s="219"/>
      <c r="J3" s="220"/>
      <c r="K3" s="7"/>
      <c r="L3" s="221" t="s">
        <v>490</v>
      </c>
      <c r="M3" s="222"/>
      <c r="N3" s="222"/>
      <c r="O3" s="222"/>
      <c r="P3" s="222"/>
      <c r="Q3" s="222"/>
      <c r="R3" s="222"/>
      <c r="S3" s="222"/>
      <c r="T3" s="223"/>
    </row>
    <row r="4" spans="8:8" ht="15.65" customHeight="1">
      <c r="B4" s="218"/>
      <c r="C4" s="219"/>
      <c r="D4" s="219"/>
      <c r="E4" s="219"/>
      <c r="F4" s="219"/>
      <c r="G4" s="219"/>
      <c r="H4" s="219"/>
      <c r="I4" s="219"/>
      <c r="J4" s="220"/>
      <c r="K4" s="7"/>
      <c r="L4" s="224"/>
      <c r="M4" s="222"/>
      <c r="N4" s="222"/>
      <c r="O4" s="222"/>
      <c r="P4" s="222"/>
      <c r="Q4" s="222"/>
      <c r="R4" s="222"/>
      <c r="S4" s="222"/>
      <c r="T4" s="223"/>
    </row>
    <row r="5" spans="8:8" ht="15.65" customHeight="1">
      <c r="B5" s="225"/>
      <c r="C5" s="226"/>
      <c r="D5" s="226"/>
      <c r="E5" s="226"/>
      <c r="F5" s="226"/>
      <c r="G5" s="226"/>
      <c r="H5" s="226"/>
      <c r="I5" s="226"/>
      <c r="J5" s="227"/>
      <c r="K5" s="7"/>
      <c r="L5" s="224"/>
      <c r="M5" s="222"/>
      <c r="N5" s="222"/>
      <c r="O5" s="222"/>
      <c r="P5" s="222"/>
      <c r="Q5" s="222"/>
      <c r="R5" s="222"/>
      <c r="S5" s="222"/>
      <c r="T5" s="223"/>
    </row>
    <row r="6" spans="8:8" ht="15.65" customHeight="1">
      <c r="B6" s="228" t="s">
        <v>35</v>
      </c>
      <c r="C6" s="229" t="s">
        <v>36</v>
      </c>
      <c r="D6" s="229" t="s">
        <v>54</v>
      </c>
      <c r="E6" s="229" t="s">
        <v>55</v>
      </c>
      <c r="F6" s="229" t="s">
        <v>103</v>
      </c>
      <c r="G6" s="229" t="s">
        <v>57</v>
      </c>
      <c r="H6" s="229" t="s">
        <v>58</v>
      </c>
      <c r="I6" s="229" t="s">
        <v>59</v>
      </c>
      <c r="J6" s="230" t="s">
        <v>60</v>
      </c>
      <c r="K6" s="7"/>
      <c r="L6" s="224"/>
      <c r="M6" s="222"/>
      <c r="N6" s="222"/>
      <c r="O6" s="222"/>
      <c r="P6" s="222"/>
      <c r="Q6" s="222"/>
      <c r="R6" s="222"/>
      <c r="S6" s="222"/>
      <c r="T6" s="223"/>
    </row>
    <row r="7" spans="8:8" ht="15.65" customHeight="1">
      <c r="B7" s="231" t="str">
        <f>'角色卡 '!F9</f>
        <v>Saber</v>
      </c>
      <c r="C7" s="232" t="s">
        <v>46</v>
      </c>
      <c r="D7" s="232">
        <f>'角色卡 '!C15</f>
        <v>40.0</v>
      </c>
      <c r="E7" s="232" t="str">
        <f>_xlfn.IFS('角色卡 '!$D$15&lt;21,"E",'角色卡 '!$D$15&lt;41,"D",'角色卡 '!$D$15&lt;61,"C",'角色卡 '!$D$15&lt;81,"B",'角色卡 '!$D$15&lt;101,"A",'角色卡 '!$D$15&lt;121,"A+",'角色卡 '!$D$15&gt;120,"EX")</f>
        <v>A</v>
      </c>
      <c r="F7" s="232" t="str">
        <f>_xlfn.IFS('角色卡 '!$E$15&lt;21,"E",'角色卡 '!$E$15&lt;41,"D",'角色卡 '!$E$15&lt;61,"C",'角色卡 '!$E$15&lt;81,"B",'角色卡 '!$E$15&lt;101,"A",'角色卡 '!$E$15&lt;121,"A+",'角色卡 '!$E$15&gt;120,"EX")</f>
        <v>A</v>
      </c>
      <c r="G7" s="232" t="str">
        <f>_xlfn.IFS('角色卡 '!$F$15&lt;21,"E",'角色卡 '!$F$15&lt;41,"D",'角色卡 '!$F$15&lt;61,"C",'角色卡 '!$F$15&lt;81,"B",'角色卡 '!$F$15&lt;101,"A",'角色卡 '!$F$15&lt;121,"A+",'角色卡 '!$F$15&gt;120,"EX")</f>
        <v>A</v>
      </c>
      <c r="H7" s="232" t="str">
        <f>_xlfn.IFS('角色卡 '!$G$15&lt;21,"E",'角色卡 '!$G$15&lt;41,"D",'角色卡 '!$G$15&lt;61,"C",'角色卡 '!$G$15&lt;81,"B",'角色卡 '!$G$15&lt;101,"A",'角色卡 '!$G$15&lt;121,"A+",'角色卡 '!$G$15&gt;120,"EX")</f>
        <v>A</v>
      </c>
      <c r="I7" s="232" t="str">
        <f>_xlfn.IFS('角色卡 '!$H$15&lt;21,"E",'角色卡 '!$H$15&lt;41,"D",'角色卡 '!$H$15&lt;61,"C",'角色卡 '!$H$15&lt;81,"B",'角色卡 '!$H$15&lt;101,"A",'角色卡 '!$H$15&lt;121,"A+",'角色卡 '!$H$15&gt;120,"EX")</f>
        <v>A</v>
      </c>
      <c r="J7" s="233" t="str">
        <f>_xlfn.IFS('角色卡 '!$I$15&lt;11,"E",'角色卡 '!$I$15&lt;21,"D",'角色卡 '!$I$15&lt;31,"C",'角色卡 '!$I$15&lt;41,"B",'角色卡 '!$I$15&lt;51,"A",'角色卡 '!$I$15&lt;56,"A+",'角色卡 '!$I$15&gt;55,"EX")</f>
        <v>A+</v>
      </c>
      <c r="K7" s="7"/>
      <c r="L7" s="224"/>
      <c r="M7" s="222"/>
      <c r="N7" s="222"/>
      <c r="O7" s="222"/>
      <c r="P7" s="222"/>
      <c r="Q7" s="222"/>
      <c r="R7" s="222"/>
      <c r="S7" s="222"/>
      <c r="T7" s="223"/>
    </row>
    <row r="8" spans="8:8" ht="15.65" customHeight="1">
      <c r="B8" s="234" t="s">
        <v>47</v>
      </c>
      <c r="C8" s="235" t="str">
        <f>C27</f>
        <v>男</v>
      </c>
      <c r="D8" s="235"/>
      <c r="E8" s="236" t="s">
        <v>104</v>
      </c>
      <c r="F8" s="237"/>
      <c r="G8" s="238"/>
      <c r="H8" s="238"/>
      <c r="I8" s="238"/>
      <c r="J8" s="239"/>
      <c r="K8" s="7"/>
      <c r="L8" s="224"/>
      <c r="M8" s="222"/>
      <c r="N8" s="222"/>
      <c r="O8" s="222"/>
      <c r="P8" s="222"/>
      <c r="Q8" s="222"/>
      <c r="R8" s="222"/>
      <c r="S8" s="222"/>
      <c r="T8" s="223"/>
    </row>
    <row r="9" spans="8:8" ht="15.65" customHeight="1">
      <c r="B9" s="240" t="s">
        <v>105</v>
      </c>
      <c r="C9" s="222">
        <v>182.0</v>
      </c>
      <c r="D9" s="222"/>
      <c r="E9" s="241"/>
      <c r="F9" s="241"/>
      <c r="G9" s="242"/>
      <c r="H9" s="242"/>
      <c r="I9" s="242"/>
      <c r="J9" s="243"/>
      <c r="K9" s="7"/>
      <c r="L9" s="224"/>
      <c r="M9" s="222"/>
      <c r="N9" s="222"/>
      <c r="O9" s="222"/>
      <c r="P9" s="222"/>
      <c r="Q9" s="222"/>
      <c r="R9" s="222"/>
      <c r="S9" s="222"/>
      <c r="T9" s="223"/>
    </row>
    <row r="10" spans="8:8" ht="15.65" customHeight="1">
      <c r="B10" s="240" t="s">
        <v>106</v>
      </c>
      <c r="C10" s="222">
        <v>70.0</v>
      </c>
      <c r="D10" s="222"/>
      <c r="E10" s="241"/>
      <c r="F10" s="241"/>
      <c r="G10" s="241"/>
      <c r="H10" s="241"/>
      <c r="I10" s="241"/>
      <c r="J10" s="244"/>
      <c r="K10" s="7"/>
      <c r="L10" s="224"/>
      <c r="M10" s="222"/>
      <c r="N10" s="222"/>
      <c r="O10" s="222"/>
      <c r="P10" s="222"/>
      <c r="Q10" s="222"/>
      <c r="R10" s="222"/>
      <c r="S10" s="222"/>
      <c r="T10" s="223"/>
    </row>
    <row r="11" spans="8:8" ht="15.65" customHeight="1">
      <c r="B11" s="245" t="s">
        <v>107</v>
      </c>
      <c r="C11" s="246"/>
      <c r="D11" s="246"/>
      <c r="E11" s="247" t="s">
        <v>108</v>
      </c>
      <c r="F11" s="248"/>
      <c r="G11" s="249"/>
      <c r="H11" s="249"/>
      <c r="I11" s="249"/>
      <c r="J11" s="250"/>
      <c r="K11" s="7"/>
      <c r="L11" s="224"/>
      <c r="M11" s="222"/>
      <c r="N11" s="222"/>
      <c r="O11" s="222"/>
      <c r="P11" s="222"/>
      <c r="Q11" s="222"/>
      <c r="R11" s="222"/>
      <c r="S11" s="222"/>
      <c r="T11" s="223"/>
    </row>
    <row r="12" spans="8:8" ht="15.65" customHeight="1">
      <c r="B12" s="251" t="s">
        <v>483</v>
      </c>
      <c r="C12" s="252"/>
      <c r="D12" s="252"/>
      <c r="E12" s="253" t="s">
        <v>479</v>
      </c>
      <c r="F12" s="253"/>
      <c r="G12" s="254"/>
      <c r="H12" s="254"/>
      <c r="I12" s="254"/>
      <c r="J12" s="255"/>
      <c r="K12" s="7"/>
      <c r="L12" s="224"/>
      <c r="M12" s="222"/>
      <c r="N12" s="222"/>
      <c r="O12" s="222"/>
      <c r="P12" s="222"/>
      <c r="Q12" s="222"/>
      <c r="R12" s="222"/>
      <c r="S12" s="222"/>
      <c r="T12" s="223"/>
    </row>
    <row r="13" spans="8:8" ht="15.65" customHeight="1">
      <c r="B13" s="251"/>
      <c r="C13" s="252"/>
      <c r="D13" s="252"/>
      <c r="E13" s="253"/>
      <c r="F13" s="253"/>
      <c r="G13" s="253"/>
      <c r="H13" s="253"/>
      <c r="I13" s="253"/>
      <c r="J13" s="256"/>
      <c r="K13" s="7"/>
      <c r="L13" s="224"/>
      <c r="M13" s="222"/>
      <c r="N13" s="222"/>
      <c r="O13" s="222"/>
      <c r="P13" s="222"/>
      <c r="Q13" s="222"/>
      <c r="R13" s="222"/>
      <c r="S13" s="222"/>
      <c r="T13" s="223"/>
    </row>
    <row r="14" spans="8:8" ht="15.65" customHeight="1">
      <c r="B14" s="257" t="s">
        <v>30</v>
      </c>
      <c r="C14" s="258"/>
      <c r="D14" s="258"/>
      <c r="E14" s="247" t="s">
        <v>109</v>
      </c>
      <c r="F14" s="248"/>
      <c r="G14" s="249"/>
      <c r="H14" s="249"/>
      <c r="I14" s="249"/>
      <c r="J14" s="250"/>
      <c r="K14" s="7"/>
      <c r="L14" s="224"/>
      <c r="M14" s="222"/>
      <c r="N14" s="222"/>
      <c r="O14" s="222"/>
      <c r="P14" s="222"/>
      <c r="Q14" s="222"/>
      <c r="R14" s="222"/>
      <c r="S14" s="222"/>
      <c r="T14" s="223"/>
    </row>
    <row r="15" spans="8:8" ht="15.65" customHeight="1">
      <c r="B15" s="259" t="s">
        <v>480</v>
      </c>
      <c r="C15" s="260"/>
      <c r="D15" s="260"/>
      <c r="E15" s="253"/>
      <c r="F15" s="253"/>
      <c r="G15" s="254"/>
      <c r="H15" s="254"/>
      <c r="I15" s="254"/>
      <c r="J15" s="255"/>
      <c r="K15" s="7"/>
      <c r="L15" s="224"/>
      <c r="M15" s="222"/>
      <c r="N15" s="222"/>
      <c r="O15" s="222"/>
      <c r="P15" s="222"/>
      <c r="Q15" s="222"/>
      <c r="R15" s="222"/>
      <c r="S15" s="222"/>
      <c r="T15" s="223"/>
    </row>
    <row r="16" spans="8:8" ht="15.65" customHeight="1">
      <c r="B16" s="261"/>
      <c r="C16" s="262"/>
      <c r="D16" s="262"/>
      <c r="E16" s="263"/>
      <c r="F16" s="263"/>
      <c r="G16" s="263"/>
      <c r="H16" s="263"/>
      <c r="I16" s="263"/>
      <c r="J16" s="264"/>
      <c r="K16" s="7"/>
      <c r="L16" s="224"/>
      <c r="M16" s="222"/>
      <c r="N16" s="222"/>
      <c r="O16" s="222"/>
      <c r="P16" s="222"/>
      <c r="Q16" s="222"/>
      <c r="R16" s="222"/>
      <c r="S16" s="222"/>
      <c r="T16" s="223"/>
    </row>
    <row r="17" spans="8:8" ht="15.65" customHeight="1">
      <c r="B17" s="265" t="s">
        <v>111</v>
      </c>
      <c r="C17" s="266"/>
      <c r="D17" s="266"/>
      <c r="E17" s="267" t="s">
        <v>112</v>
      </c>
      <c r="F17" s="267"/>
      <c r="G17" s="267"/>
      <c r="H17" s="268"/>
      <c r="I17" s="266"/>
      <c r="J17" s="269"/>
      <c r="K17" s="7"/>
      <c r="L17" s="224"/>
      <c r="M17" s="222"/>
      <c r="N17" s="222"/>
      <c r="O17" s="222"/>
      <c r="P17" s="222"/>
      <c r="Q17" s="222"/>
      <c r="R17" s="222"/>
      <c r="S17" s="222"/>
      <c r="T17" s="223"/>
    </row>
    <row r="18" spans="8:8" ht="15.65" customHeight="1">
      <c r="B18" s="265"/>
      <c r="C18" s="266"/>
      <c r="D18" s="266"/>
      <c r="E18" s="222" t="s">
        <v>113</v>
      </c>
      <c r="F18" s="222"/>
      <c r="G18" s="222"/>
      <c r="H18" s="268"/>
      <c r="I18" s="266"/>
      <c r="J18" s="269"/>
      <c r="K18" s="7"/>
      <c r="L18" s="224"/>
      <c r="M18" s="222"/>
      <c r="N18" s="222"/>
      <c r="O18" s="222"/>
      <c r="P18" s="222"/>
      <c r="Q18" s="222"/>
      <c r="R18" s="222"/>
      <c r="S18" s="222"/>
      <c r="T18" s="223"/>
    </row>
    <row r="19" spans="8:8" ht="15.65" customHeight="1">
      <c r="B19" s="265"/>
      <c r="C19" s="266"/>
      <c r="D19" s="266"/>
      <c r="E19" s="270" t="s">
        <v>75</v>
      </c>
      <c r="F19" s="270"/>
      <c r="G19" s="270"/>
      <c r="H19" s="268"/>
      <c r="I19" s="266"/>
      <c r="J19" s="269"/>
      <c r="K19" s="7"/>
      <c r="L19" s="224"/>
      <c r="M19" s="222"/>
      <c r="N19" s="222"/>
      <c r="O19" s="222"/>
      <c r="P19" s="222"/>
      <c r="Q19" s="222"/>
      <c r="R19" s="222"/>
      <c r="S19" s="222"/>
      <c r="T19" s="223"/>
    </row>
    <row r="20" spans="8:8" ht="15.65" customHeight="1">
      <c r="B20" s="265"/>
      <c r="C20" s="266"/>
      <c r="D20" s="266"/>
      <c r="E20" s="222" t="s">
        <v>492</v>
      </c>
      <c r="F20" s="222"/>
      <c r="G20" s="222"/>
      <c r="H20" s="268"/>
      <c r="I20" s="266"/>
      <c r="J20" s="269"/>
      <c r="K20" s="7"/>
      <c r="L20" s="224"/>
      <c r="M20" s="222"/>
      <c r="N20" s="222"/>
      <c r="O20" s="222"/>
      <c r="P20" s="222"/>
      <c r="Q20" s="222"/>
      <c r="R20" s="222"/>
      <c r="S20" s="222"/>
      <c r="T20" s="223"/>
    </row>
    <row r="21" spans="8:8" ht="15.65" customHeight="1">
      <c r="B21" s="265"/>
      <c r="C21" s="266"/>
      <c r="D21" s="266"/>
      <c r="E21" s="271" t="s">
        <v>114</v>
      </c>
      <c r="F21" s="222"/>
      <c r="G21" s="222"/>
      <c r="H21" s="268"/>
      <c r="I21" s="266"/>
      <c r="J21" s="269"/>
      <c r="K21" s="7"/>
      <c r="L21" s="224"/>
      <c r="M21" s="222"/>
      <c r="N21" s="222"/>
      <c r="O21" s="222"/>
      <c r="P21" s="222"/>
      <c r="Q21" s="222"/>
      <c r="R21" s="222"/>
      <c r="S21" s="222"/>
      <c r="T21" s="223"/>
    </row>
    <row r="22" spans="8:8" ht="15.65" customHeight="1">
      <c r="B22" s="265"/>
      <c r="C22" s="266"/>
      <c r="D22" s="266"/>
      <c r="E22" s="271" t="s">
        <v>115</v>
      </c>
      <c r="F22" s="222"/>
      <c r="G22" s="222"/>
      <c r="H22" s="268"/>
      <c r="I22" s="266"/>
      <c r="J22" s="269"/>
      <c r="K22" s="7"/>
      <c r="L22" s="224"/>
      <c r="M22" s="222"/>
      <c r="N22" s="222"/>
      <c r="O22" s="222"/>
      <c r="P22" s="222"/>
      <c r="Q22" s="222"/>
      <c r="R22" s="222"/>
      <c r="S22" s="222"/>
      <c r="T22" s="223"/>
    </row>
    <row r="23" spans="8:8" ht="15.65" customHeight="1">
      <c r="B23" s="265"/>
      <c r="C23" s="266"/>
      <c r="D23" s="266"/>
      <c r="E23" s="271" t="s">
        <v>116</v>
      </c>
      <c r="F23" s="222"/>
      <c r="G23" s="222"/>
      <c r="H23" s="268"/>
      <c r="I23" s="266"/>
      <c r="J23" s="269"/>
      <c r="K23" s="7"/>
      <c r="L23" s="224"/>
      <c r="M23" s="222"/>
      <c r="N23" s="222"/>
      <c r="O23" s="222"/>
      <c r="P23" s="222"/>
      <c r="Q23" s="222"/>
      <c r="R23" s="222"/>
      <c r="S23" s="222"/>
      <c r="T23" s="223"/>
    </row>
    <row r="24" spans="8:8" ht="15.65" customHeight="1">
      <c r="B24" s="272"/>
      <c r="C24" s="273"/>
      <c r="D24" s="273"/>
      <c r="E24" s="274" t="s">
        <v>117</v>
      </c>
      <c r="F24" s="275" t="s">
        <v>446</v>
      </c>
      <c r="G24" s="275"/>
      <c r="H24" s="276"/>
      <c r="I24" s="273"/>
      <c r="J24" s="277"/>
      <c r="K24" s="7"/>
      <c r="L24" s="224"/>
      <c r="M24" s="222"/>
      <c r="N24" s="222"/>
      <c r="O24" s="222"/>
      <c r="P24" s="222"/>
      <c r="Q24" s="222"/>
      <c r="R24" s="222"/>
      <c r="S24" s="222"/>
      <c r="T24" s="223"/>
    </row>
    <row r="25" spans="8:8" ht="15.65" customHeight="1">
      <c r="B25" s="278" t="s">
        <v>118</v>
      </c>
      <c r="C25" s="279" t="s">
        <v>454</v>
      </c>
      <c r="D25" s="280"/>
      <c r="E25" s="281" t="s">
        <v>119</v>
      </c>
      <c r="F25" s="281"/>
      <c r="G25" s="281"/>
      <c r="H25" s="281"/>
      <c r="I25" s="281"/>
      <c r="J25" s="282"/>
      <c r="K25" s="7"/>
      <c r="L25" s="283" t="s">
        <v>120</v>
      </c>
      <c r="M25" s="284"/>
      <c r="N25" s="284"/>
      <c r="O25" s="284"/>
      <c r="P25" s="284"/>
      <c r="Q25" s="284"/>
      <c r="R25" s="284"/>
      <c r="S25" s="284"/>
      <c r="T25" s="285"/>
    </row>
    <row r="26" spans="8:8" ht="15.65" customHeight="1">
      <c r="B26" s="286" t="s">
        <v>121</v>
      </c>
      <c r="C26" s="287" t="s">
        <v>450</v>
      </c>
      <c r="D26" s="288"/>
      <c r="E26" s="289" t="s">
        <v>458</v>
      </c>
      <c r="F26" s="289"/>
      <c r="G26" s="289"/>
      <c r="H26" s="289"/>
      <c r="I26" s="289"/>
      <c r="J26" s="290"/>
      <c r="K26" s="7"/>
      <c r="L26" s="224" t="s">
        <v>491</v>
      </c>
      <c r="M26" s="222"/>
      <c r="N26" s="222"/>
      <c r="O26" s="222"/>
      <c r="P26" s="222"/>
      <c r="Q26" s="222"/>
      <c r="R26" s="222"/>
      <c r="S26" s="222"/>
      <c r="T26" s="223"/>
    </row>
    <row r="27" spans="8:8" ht="15.65" customHeight="1">
      <c r="B27" s="291" t="s">
        <v>47</v>
      </c>
      <c r="C27" s="287" t="s">
        <v>445</v>
      </c>
      <c r="D27" s="288"/>
      <c r="E27" s="289"/>
      <c r="F27" s="289"/>
      <c r="G27" s="289"/>
      <c r="H27" s="289"/>
      <c r="I27" s="289"/>
      <c r="J27" s="290"/>
      <c r="K27" s="7"/>
      <c r="L27" s="224"/>
      <c r="M27" s="222"/>
      <c r="N27" s="222"/>
      <c r="O27" s="222"/>
      <c r="P27" s="222"/>
      <c r="Q27" s="222"/>
      <c r="R27" s="222"/>
      <c r="S27" s="222"/>
      <c r="T27" s="223"/>
    </row>
    <row r="28" spans="8:8" ht="15.65" customHeight="1">
      <c r="B28" s="291" t="s">
        <v>124</v>
      </c>
      <c r="C28" s="287" t="s">
        <v>446</v>
      </c>
      <c r="D28" s="288"/>
      <c r="E28" s="289"/>
      <c r="F28" s="289"/>
      <c r="G28" s="289"/>
      <c r="H28" s="289"/>
      <c r="I28" s="289"/>
      <c r="J28" s="290"/>
      <c r="K28" s="7"/>
      <c r="L28" s="224"/>
      <c r="M28" s="222"/>
      <c r="N28" s="222"/>
      <c r="O28" s="222"/>
      <c r="P28" s="222"/>
      <c r="Q28" s="222"/>
      <c r="R28" s="222"/>
      <c r="S28" s="222"/>
      <c r="T28" s="223"/>
    </row>
    <row r="29" spans="8:8" ht="15.65" customHeight="1">
      <c r="B29" s="291" t="s">
        <v>125</v>
      </c>
      <c r="C29" s="287" t="s">
        <v>447</v>
      </c>
      <c r="D29" s="288"/>
      <c r="E29" s="289"/>
      <c r="F29" s="289"/>
      <c r="G29" s="289"/>
      <c r="H29" s="289"/>
      <c r="I29" s="289"/>
      <c r="J29" s="290"/>
      <c r="K29" s="7"/>
      <c r="L29" s="283" t="s">
        <v>126</v>
      </c>
      <c r="M29" s="284"/>
      <c r="N29" s="284"/>
      <c r="O29" s="284"/>
      <c r="P29" s="284"/>
      <c r="Q29" s="284"/>
      <c r="R29" s="284"/>
      <c r="S29" s="284"/>
      <c r="T29" s="285"/>
    </row>
    <row r="30" spans="8:8" ht="15.65" customHeight="1">
      <c r="B30" s="292" t="s">
        <v>127</v>
      </c>
      <c r="C30" s="293"/>
      <c r="D30" s="294"/>
      <c r="E30" s="295"/>
      <c r="F30" s="295"/>
      <c r="G30" s="295"/>
      <c r="H30" s="295"/>
      <c r="I30" s="295"/>
      <c r="J30" s="296"/>
      <c r="K30" s="7"/>
      <c r="L30" s="224" t="s">
        <v>481</v>
      </c>
      <c r="M30" s="222"/>
      <c r="N30" s="222"/>
      <c r="O30" s="222"/>
      <c r="P30" s="222"/>
      <c r="Q30" s="222"/>
      <c r="R30" s="222"/>
      <c r="S30" s="222"/>
      <c r="T30" s="223"/>
    </row>
    <row r="31" spans="8:8" ht="15.65" customHeight="1">
      <c r="B31" s="297" t="s">
        <v>128</v>
      </c>
      <c r="C31" s="298"/>
      <c r="D31" s="298"/>
      <c r="E31" s="298"/>
      <c r="F31" s="298"/>
      <c r="G31" s="298"/>
      <c r="H31" s="298"/>
      <c r="I31" s="298"/>
      <c r="J31" s="299"/>
      <c r="K31" s="7"/>
      <c r="L31" s="224"/>
      <c r="M31" s="222"/>
      <c r="N31" s="222"/>
      <c r="O31" s="222"/>
      <c r="P31" s="222"/>
      <c r="Q31" s="222"/>
      <c r="R31" s="222"/>
      <c r="S31" s="222"/>
      <c r="T31" s="223"/>
    </row>
    <row r="32" spans="8:8" ht="15.65" customHeight="1">
      <c r="B32" s="300" t="s">
        <v>478</v>
      </c>
      <c r="C32" s="301"/>
      <c r="D32" s="302"/>
      <c r="E32" s="302"/>
      <c r="F32" s="302"/>
      <c r="G32" s="302"/>
      <c r="H32" s="302"/>
      <c r="I32" s="302"/>
      <c r="J32" s="303"/>
      <c r="K32" s="7"/>
      <c r="L32" s="224"/>
      <c r="M32" s="222"/>
      <c r="N32" s="222"/>
      <c r="O32" s="222"/>
      <c r="P32" s="222"/>
      <c r="Q32" s="222"/>
      <c r="R32" s="222"/>
      <c r="S32" s="222"/>
      <c r="T32" s="223"/>
    </row>
    <row r="33" spans="8:8" ht="15.65" customHeight="1">
      <c r="B33" s="304"/>
      <c r="C33" s="301"/>
      <c r="D33" s="302"/>
      <c r="E33" s="302"/>
      <c r="F33" s="302"/>
      <c r="G33" s="302"/>
      <c r="H33" s="302"/>
      <c r="I33" s="302"/>
      <c r="J33" s="303"/>
      <c r="K33" s="7"/>
      <c r="L33" s="283" t="s">
        <v>130</v>
      </c>
      <c r="M33" s="284"/>
      <c r="N33" s="284"/>
      <c r="O33" s="284"/>
      <c r="P33" s="284"/>
      <c r="Q33" s="284"/>
      <c r="R33" s="284"/>
      <c r="S33" s="284"/>
      <c r="T33" s="285"/>
    </row>
    <row r="34" spans="8:8" ht="15.65" customHeight="1">
      <c r="B34" s="304"/>
      <c r="C34" s="301"/>
      <c r="D34" s="302"/>
      <c r="E34" s="302"/>
      <c r="F34" s="302"/>
      <c r="G34" s="302"/>
      <c r="H34" s="302"/>
      <c r="I34" s="302"/>
      <c r="J34" s="303"/>
      <c r="K34" s="7"/>
      <c r="L34" s="224" t="s">
        <v>482</v>
      </c>
      <c r="M34" s="222"/>
      <c r="N34" s="222"/>
      <c r="O34" s="222"/>
      <c r="P34" s="222"/>
      <c r="Q34" s="222"/>
      <c r="R34" s="222"/>
      <c r="S34" s="222"/>
      <c r="T34" s="223"/>
    </row>
    <row r="35" spans="8:8" ht="15.65" customHeight="1">
      <c r="B35" s="304"/>
      <c r="C35" s="301"/>
      <c r="D35" s="302"/>
      <c r="E35" s="302"/>
      <c r="F35" s="302"/>
      <c r="G35" s="302"/>
      <c r="H35" s="302"/>
      <c r="I35" s="302"/>
      <c r="J35" s="303"/>
      <c r="K35" s="7"/>
      <c r="L35" s="224"/>
      <c r="M35" s="222"/>
      <c r="N35" s="222"/>
      <c r="O35" s="222"/>
      <c r="P35" s="222"/>
      <c r="Q35" s="222"/>
      <c r="R35" s="222"/>
      <c r="S35" s="222"/>
      <c r="T35" s="223"/>
    </row>
    <row r="36" spans="8:8" ht="15.65" customHeight="1">
      <c r="B36" s="304"/>
      <c r="C36" s="302"/>
      <c r="D36" s="302"/>
      <c r="E36" s="305"/>
      <c r="F36" s="305"/>
      <c r="G36" s="305"/>
      <c r="H36" s="305"/>
      <c r="I36" s="302"/>
      <c r="J36" s="303"/>
      <c r="K36" s="7"/>
      <c r="L36" s="224"/>
      <c r="M36" s="222"/>
      <c r="N36" s="222"/>
      <c r="O36" s="222"/>
      <c r="P36" s="222"/>
      <c r="Q36" s="222"/>
      <c r="R36" s="222"/>
      <c r="S36" s="222"/>
      <c r="T36" s="223"/>
    </row>
    <row r="37" spans="8:8" ht="15.65" customHeight="1">
      <c r="B37" s="306"/>
      <c r="C37" s="301"/>
      <c r="D37" s="301"/>
      <c r="E37" s="301"/>
      <c r="F37" s="301"/>
      <c r="G37" s="301"/>
      <c r="H37" s="301"/>
      <c r="I37" s="302"/>
      <c r="J37" s="303"/>
      <c r="K37" s="7"/>
      <c r="L37" s="283" t="s">
        <v>131</v>
      </c>
      <c r="M37" s="284"/>
      <c r="N37" s="284"/>
      <c r="O37" s="284"/>
      <c r="P37" s="284"/>
      <c r="Q37" s="284"/>
      <c r="R37" s="284"/>
      <c r="S37" s="284"/>
      <c r="T37" s="285"/>
    </row>
    <row r="38" spans="8:8" ht="15.65" customHeight="1">
      <c r="B38" s="306"/>
      <c r="C38" s="301"/>
      <c r="D38" s="301"/>
      <c r="E38" s="301"/>
      <c r="F38" s="301"/>
      <c r="G38" s="301"/>
      <c r="H38" s="301"/>
      <c r="I38" s="302"/>
      <c r="J38" s="303"/>
      <c r="K38" s="7"/>
      <c r="L38" s="224"/>
      <c r="M38" s="222"/>
      <c r="N38" s="222"/>
      <c r="O38" s="222"/>
      <c r="P38" s="222"/>
      <c r="Q38" s="222"/>
      <c r="R38" s="222"/>
      <c r="S38" s="222"/>
      <c r="T38" s="223"/>
    </row>
    <row r="39" spans="8:8" ht="15.65" customHeight="1">
      <c r="B39" s="306"/>
      <c r="C39" s="301"/>
      <c r="D39" s="301"/>
      <c r="E39" s="301"/>
      <c r="F39" s="301"/>
      <c r="G39" s="301"/>
      <c r="H39" s="301"/>
      <c r="I39" s="302"/>
      <c r="J39" s="303"/>
      <c r="K39" s="7"/>
      <c r="L39" s="224"/>
      <c r="M39" s="222"/>
      <c r="N39" s="222"/>
      <c r="O39" s="222"/>
      <c r="P39" s="222"/>
      <c r="Q39" s="222"/>
      <c r="R39" s="222"/>
      <c r="S39" s="222"/>
      <c r="T39" s="223"/>
    </row>
    <row r="40" spans="8:8" ht="15.65" customHeight="1">
      <c r="B40" s="307" t="s">
        <v>132</v>
      </c>
      <c r="C40" s="308"/>
      <c r="D40" s="308"/>
      <c r="E40" s="308"/>
      <c r="F40" s="308"/>
      <c r="G40" s="308"/>
      <c r="H40" s="308"/>
      <c r="I40" s="308"/>
      <c r="J40" s="309"/>
      <c r="K40" s="7"/>
      <c r="L40" s="310"/>
      <c r="M40" s="275"/>
      <c r="N40" s="275"/>
      <c r="O40" s="275"/>
      <c r="P40" s="275"/>
      <c r="Q40" s="275"/>
      <c r="R40" s="275"/>
      <c r="S40" s="275"/>
      <c r="T40" s="311"/>
    </row>
    <row r="41" spans="8:8" ht="15.65" customHeight="1">
      <c r="B41" s="312" t="s">
        <v>457</v>
      </c>
      <c r="C41" s="313"/>
      <c r="D41" s="313"/>
      <c r="E41" s="313"/>
      <c r="F41" s="313"/>
      <c r="G41" s="313"/>
      <c r="H41" s="313"/>
      <c r="I41" s="313"/>
      <c r="J41" s="314"/>
      <c r="K41" s="7"/>
      <c r="L41" s="315" t="s">
        <v>131</v>
      </c>
      <c r="M41" s="316"/>
      <c r="N41" s="316"/>
      <c r="O41" s="316"/>
      <c r="P41" s="316"/>
      <c r="Q41" s="316"/>
      <c r="R41" s="316"/>
      <c r="S41" s="316"/>
      <c r="T41" s="317"/>
    </row>
    <row r="42" spans="8:8" ht="15.65" customHeight="1">
      <c r="B42" s="318"/>
      <c r="C42" s="319"/>
      <c r="D42" s="319"/>
      <c r="E42" s="319"/>
      <c r="F42" s="319"/>
      <c r="G42" s="319"/>
      <c r="H42" s="319"/>
      <c r="I42" s="319"/>
      <c r="J42" s="320"/>
      <c r="K42" s="7"/>
      <c r="L42" s="321"/>
      <c r="M42" s="322"/>
      <c r="N42" s="322"/>
      <c r="O42" s="322"/>
      <c r="P42" s="322"/>
      <c r="Q42" s="322"/>
      <c r="R42" s="322"/>
      <c r="S42" s="322"/>
      <c r="T42" s="323"/>
    </row>
    <row r="43" spans="8:8" ht="15.65" customHeight="1">
      <c r="B43" s="324"/>
      <c r="C43" s="325"/>
      <c r="D43" s="325"/>
      <c r="E43" s="325"/>
      <c r="F43" s="325"/>
      <c r="G43" s="325"/>
      <c r="H43" s="325"/>
      <c r="I43" s="325"/>
      <c r="J43" s="326"/>
      <c r="K43" s="7"/>
      <c r="L43" s="321"/>
      <c r="M43" s="322"/>
      <c r="N43" s="322"/>
      <c r="O43" s="322"/>
      <c r="P43" s="322"/>
      <c r="Q43" s="322"/>
      <c r="R43" s="322"/>
      <c r="S43" s="322"/>
      <c r="T43" s="323"/>
    </row>
    <row r="44" spans="8:8" ht="15.65" customHeight="1">
      <c r="B44" s="307" t="s">
        <v>134</v>
      </c>
      <c r="C44" s="308"/>
      <c r="D44" s="308"/>
      <c r="E44" s="308"/>
      <c r="F44" s="308"/>
      <c r="G44" s="308"/>
      <c r="H44" s="308"/>
      <c r="I44" s="308"/>
      <c r="J44" s="309"/>
      <c r="K44" s="7"/>
      <c r="L44" s="321"/>
      <c r="M44" s="322"/>
      <c r="N44" s="322"/>
      <c r="O44" s="322"/>
      <c r="P44" s="322"/>
      <c r="Q44" s="322"/>
      <c r="R44" s="322"/>
      <c r="S44" s="322"/>
      <c r="T44" s="323"/>
    </row>
    <row r="45" spans="8:8" ht="15.65" customHeight="1">
      <c r="B45" s="327" t="s">
        <v>453</v>
      </c>
      <c r="C45" s="328"/>
      <c r="D45" s="328"/>
      <c r="E45" s="328"/>
      <c r="F45" s="328"/>
      <c r="G45" s="328"/>
      <c r="H45" s="328"/>
      <c r="I45" s="328"/>
      <c r="J45" s="329"/>
      <c r="K45" s="7"/>
      <c r="L45" s="315" t="s">
        <v>131</v>
      </c>
      <c r="M45" s="316"/>
      <c r="N45" s="316"/>
      <c r="O45" s="316"/>
      <c r="P45" s="316"/>
      <c r="Q45" s="316"/>
      <c r="R45" s="316"/>
      <c r="S45" s="316"/>
      <c r="T45" s="317"/>
    </row>
    <row r="46" spans="8:8" ht="15.65" customHeight="1">
      <c r="B46" s="327"/>
      <c r="C46" s="328"/>
      <c r="D46" s="328"/>
      <c r="E46" s="328"/>
      <c r="F46" s="328"/>
      <c r="G46" s="328"/>
      <c r="H46" s="328"/>
      <c r="I46" s="328"/>
      <c r="J46" s="329"/>
      <c r="K46" s="7"/>
      <c r="L46" s="330"/>
      <c r="M46" s="331"/>
      <c r="N46" s="331"/>
      <c r="O46" s="331"/>
      <c r="P46" s="331"/>
      <c r="Q46" s="331"/>
      <c r="R46" s="331"/>
      <c r="S46" s="331"/>
      <c r="T46" s="332"/>
    </row>
    <row r="47" spans="8:8" ht="15.65" customHeight="1">
      <c r="B47" s="327"/>
      <c r="C47" s="328"/>
      <c r="D47" s="328"/>
      <c r="E47" s="328"/>
      <c r="F47" s="328"/>
      <c r="G47" s="328"/>
      <c r="H47" s="328"/>
      <c r="I47" s="328"/>
      <c r="J47" s="329"/>
      <c r="K47" s="7"/>
      <c r="L47" s="330"/>
      <c r="M47" s="331"/>
      <c r="N47" s="331"/>
      <c r="O47" s="331"/>
      <c r="P47" s="331"/>
      <c r="Q47" s="331"/>
      <c r="R47" s="331"/>
      <c r="S47" s="331"/>
      <c r="T47" s="332"/>
    </row>
    <row r="48" spans="8:8" ht="15.65" customHeight="1">
      <c r="B48" s="333"/>
      <c r="C48" s="334"/>
      <c r="D48" s="334"/>
      <c r="E48" s="334"/>
      <c r="F48" s="334"/>
      <c r="G48" s="334"/>
      <c r="H48" s="334"/>
      <c r="I48" s="334"/>
      <c r="J48" s="335"/>
      <c r="K48" s="7"/>
      <c r="L48" s="330"/>
      <c r="M48" s="331"/>
      <c r="N48" s="331"/>
      <c r="O48" s="331"/>
      <c r="P48" s="331"/>
      <c r="Q48" s="331"/>
      <c r="R48" s="331"/>
      <c r="S48" s="331"/>
      <c r="T48" s="332"/>
    </row>
    <row r="49" spans="8:8" ht="15.65" customHeight="1">
      <c r="B49" s="336" t="s">
        <v>136</v>
      </c>
      <c r="C49" s="337"/>
      <c r="D49" s="337"/>
      <c r="E49" s="337"/>
      <c r="F49" s="337"/>
      <c r="G49" s="337"/>
      <c r="H49" s="337"/>
      <c r="I49" s="337"/>
      <c r="J49" s="338"/>
      <c r="K49" s="7"/>
      <c r="L49" s="315"/>
      <c r="M49" s="316"/>
      <c r="N49" s="316"/>
      <c r="O49" s="316"/>
      <c r="P49" s="316"/>
      <c r="Q49" s="316"/>
      <c r="R49" s="316"/>
      <c r="S49" s="316"/>
      <c r="T49" s="317"/>
    </row>
    <row r="50" spans="8:8" ht="15.65" customHeight="1">
      <c r="B50" s="339" t="s">
        <v>137</v>
      </c>
      <c r="C50" s="340" t="s">
        <v>138</v>
      </c>
      <c r="D50" s="340"/>
      <c r="E50" s="340"/>
      <c r="F50" s="340"/>
      <c r="G50" s="340"/>
      <c r="H50" s="340"/>
      <c r="I50" s="340"/>
      <c r="J50" s="341"/>
      <c r="K50" s="7"/>
      <c r="L50" s="330"/>
      <c r="M50" s="331"/>
      <c r="N50" s="331"/>
      <c r="O50" s="331"/>
      <c r="P50" s="331"/>
      <c r="Q50" s="331"/>
      <c r="R50" s="331"/>
      <c r="S50" s="331"/>
      <c r="T50" s="332"/>
    </row>
    <row r="51" spans="8:8" ht="15.65" customHeight="1">
      <c r="B51" s="342" t="s">
        <v>139</v>
      </c>
      <c r="C51" s="343" t="s">
        <v>140</v>
      </c>
      <c r="D51" s="344"/>
      <c r="E51" s="344"/>
      <c r="F51" s="344"/>
      <c r="G51" s="344"/>
      <c r="H51" s="344"/>
      <c r="I51" s="344"/>
      <c r="J51" s="345"/>
      <c r="K51" s="7"/>
      <c r="L51" s="330"/>
      <c r="M51" s="331"/>
      <c r="N51" s="331"/>
      <c r="O51" s="331"/>
      <c r="P51" s="331"/>
      <c r="Q51" s="331"/>
      <c r="R51" s="331"/>
      <c r="S51" s="331"/>
      <c r="T51" s="332"/>
    </row>
    <row r="52" spans="8:8" ht="15.65" customHeight="1">
      <c r="B52" s="346" t="s">
        <v>141</v>
      </c>
      <c r="C52" s="131" t="s">
        <v>142</v>
      </c>
      <c r="D52" s="347"/>
      <c r="E52" s="347"/>
      <c r="F52" s="347"/>
      <c r="G52" s="347"/>
      <c r="H52" s="347"/>
      <c r="I52" s="347"/>
      <c r="J52" s="348"/>
      <c r="K52" s="7"/>
      <c r="L52" s="330"/>
      <c r="M52" s="331"/>
      <c r="N52" s="331"/>
      <c r="O52" s="331"/>
      <c r="P52" s="331"/>
      <c r="Q52" s="331"/>
      <c r="R52" s="331"/>
      <c r="S52" s="331"/>
      <c r="T52" s="332"/>
    </row>
    <row r="53" spans="8:8" ht="15.65" customHeight="1">
      <c r="B53" s="346"/>
      <c r="C53" s="349"/>
      <c r="D53" s="350"/>
      <c r="E53" s="350"/>
      <c r="F53" s="350"/>
      <c r="G53" s="350"/>
      <c r="H53" s="350"/>
      <c r="I53" s="350"/>
      <c r="J53" s="351"/>
      <c r="K53" s="7"/>
      <c r="L53" s="352"/>
      <c r="M53" s="353"/>
      <c r="N53" s="353"/>
      <c r="O53" s="353"/>
      <c r="P53" s="353"/>
      <c r="Q53" s="353"/>
      <c r="R53" s="353"/>
      <c r="S53" s="353"/>
      <c r="T53" s="354"/>
    </row>
    <row r="54" spans="8:8" ht="15.65" customHeight="1">
      <c r="B54" s="355"/>
      <c r="C54" s="356"/>
      <c r="D54" s="357"/>
      <c r="E54" s="357"/>
      <c r="F54" s="357"/>
      <c r="G54" s="357"/>
      <c r="H54" s="357"/>
      <c r="I54" s="357"/>
      <c r="J54" s="358"/>
      <c r="K54" s="359"/>
      <c r="L54" s="352"/>
      <c r="M54" s="353"/>
      <c r="N54" s="353"/>
      <c r="O54" s="353"/>
      <c r="P54" s="353"/>
      <c r="Q54" s="353"/>
      <c r="R54" s="353"/>
      <c r="S54" s="353"/>
      <c r="T54" s="354"/>
    </row>
    <row r="55" spans="8:8" ht="15.65" customHeight="1"/>
    <row r="56" spans="8:8" ht="15.65" customHeight="1">
      <c r="B56" s="9"/>
      <c r="C56" s="9"/>
      <c r="D56" s="9"/>
    </row>
    <row r="57" spans="8:8" ht="15.65" customHeight="1">
      <c r="B57" s="9"/>
      <c r="C57" s="9"/>
      <c r="D57" s="9"/>
    </row>
    <row r="58" spans="8:8" ht="15.65" customHeight="1">
      <c r="B58" s="9"/>
      <c r="C58" s="9"/>
      <c r="D58" s="9"/>
    </row>
    <row r="59" spans="8:8" ht="15.65" customHeight="1">
      <c r="B59" s="9"/>
      <c r="C59" s="9"/>
      <c r="D59" s="9"/>
    </row>
    <row r="60" spans="8:8" ht="15.65" customHeight="1">
      <c r="B60" s="9"/>
      <c r="C60" s="9"/>
      <c r="D60" s="9"/>
    </row>
    <row r="61" spans="8:8" ht="15.65" customHeight="1">
      <c r="B61" s="9"/>
      <c r="C61" s="9"/>
      <c r="D61" s="9"/>
    </row>
    <row r="62" spans="8:8" ht="15.65" customHeight="1">
      <c r="B62" s="9"/>
      <c r="C62" s="9"/>
      <c r="D62" s="9"/>
    </row>
    <row r="63" spans="8:8" ht="15.65" customHeight="1">
      <c r="B63" s="9"/>
      <c r="C63" s="9"/>
      <c r="D63" s="9"/>
    </row>
    <row r="64" spans="8:8" ht="15.65" customHeight="1">
      <c r="B64" s="9"/>
      <c r="C64" s="9"/>
      <c r="D64" s="9"/>
    </row>
    <row r="65" spans="8:8" ht="15.65" customHeight="1">
      <c r="B65" s="9"/>
      <c r="C65" s="9"/>
      <c r="D65" s="9"/>
    </row>
    <row r="66" spans="8:8" ht="15.65" customHeight="1">
      <c r="B66" s="9"/>
      <c r="C66" s="9"/>
      <c r="D66" s="9"/>
    </row>
    <row r="67" spans="8:8" ht="15.65" customHeight="1">
      <c r="B67" s="9"/>
      <c r="C67" s="9"/>
      <c r="D67" s="9"/>
    </row>
    <row r="68" spans="8:8" ht="15.65" customHeight="1">
      <c r="B68" s="9"/>
      <c r="C68" s="9"/>
      <c r="D68" s="9"/>
    </row>
    <row r="69" spans="8:8" ht="15.65" customHeight="1">
      <c r="B69" s="9"/>
      <c r="C69" s="9"/>
      <c r="D69" s="9"/>
      <c r="E69" s="9"/>
      <c r="F69" s="9"/>
      <c r="G69" s="9"/>
      <c r="H69" s="9"/>
      <c r="I69" s="9"/>
      <c r="J69" s="9"/>
    </row>
    <row r="70" spans="8:8" ht="15.65" customHeight="1">
      <c r="B70" s="9"/>
      <c r="C70" s="9"/>
      <c r="D70" s="9"/>
      <c r="E70" s="9"/>
      <c r="F70" s="9"/>
      <c r="G70" s="9"/>
      <c r="H70" s="9"/>
      <c r="I70" s="9"/>
      <c r="J70" s="9"/>
    </row>
    <row r="71" spans="8:8" ht="15.65" customHeight="1">
      <c r="B71" s="9"/>
      <c r="C71" s="9"/>
      <c r="D71" s="9"/>
      <c r="E71" s="9"/>
      <c r="F71" s="9"/>
      <c r="G71" s="9"/>
      <c r="H71" s="9"/>
      <c r="I71" s="9"/>
      <c r="J71" s="9"/>
    </row>
    <row r="72" spans="8:8">
      <c r="B72" s="9"/>
      <c r="C72" s="9"/>
      <c r="D72" s="9"/>
      <c r="E72" s="9"/>
      <c r="F72" s="9"/>
      <c r="G72" s="9"/>
      <c r="H72" s="9"/>
      <c r="I72" s="9"/>
      <c r="J72" s="9"/>
    </row>
    <row r="73" spans="8:8">
      <c r="B73" s="9"/>
      <c r="C73" s="9"/>
      <c r="D73" s="9"/>
      <c r="E73" s="9"/>
      <c r="F73" s="9"/>
      <c r="G73" s="9"/>
      <c r="H73" s="9"/>
      <c r="I73" s="9"/>
      <c r="J73" s="9"/>
    </row>
    <row r="74" spans="8:8">
      <c r="B74" s="9"/>
      <c r="C74" s="9"/>
      <c r="D74" s="9"/>
      <c r="E74" s="9"/>
      <c r="F74" s="9"/>
      <c r="G74" s="9"/>
      <c r="H74" s="9"/>
      <c r="I74" s="9"/>
      <c r="J74" s="9"/>
    </row>
    <row r="75" spans="8:8">
      <c r="B75" s="9"/>
      <c r="C75" s="9"/>
      <c r="D75" s="9"/>
      <c r="E75" s="9"/>
      <c r="F75" s="9"/>
      <c r="G75" s="9"/>
      <c r="H75" s="9"/>
      <c r="I75" s="9"/>
      <c r="J75" s="9"/>
    </row>
    <row r="76" spans="8:8">
      <c r="B76" s="9"/>
      <c r="C76" s="9"/>
      <c r="D76" s="9"/>
      <c r="E76" s="9"/>
      <c r="F76" s="9"/>
      <c r="G76" s="9"/>
      <c r="H76" s="9"/>
      <c r="I76" s="9"/>
      <c r="J76" s="9"/>
    </row>
    <row r="77" spans="8:8">
      <c r="B77" s="9"/>
      <c r="C77" s="9"/>
      <c r="D77" s="9"/>
      <c r="E77" s="9"/>
      <c r="F77" s="9"/>
      <c r="G77" s="9"/>
      <c r="H77" s="9"/>
      <c r="I77" s="9"/>
      <c r="J77" s="9"/>
    </row>
    <row r="78" spans="8:8">
      <c r="B78" s="9"/>
      <c r="C78" s="9"/>
      <c r="D78" s="9"/>
      <c r="E78" s="9"/>
      <c r="F78" s="9"/>
      <c r="G78" s="9"/>
      <c r="H78" s="9"/>
      <c r="I78" s="9"/>
      <c r="J78" s="9"/>
    </row>
    <row r="79" spans="8:8">
      <c r="B79" s="9"/>
      <c r="C79" s="9"/>
      <c r="D79" s="9"/>
      <c r="E79" s="9"/>
      <c r="F79" s="9"/>
      <c r="G79" s="9"/>
      <c r="H79" s="9"/>
      <c r="I79" s="9"/>
      <c r="J79" s="9"/>
    </row>
    <row r="80" spans="8:8">
      <c r="B80" s="9"/>
      <c r="C80" s="9"/>
      <c r="D80" s="9"/>
      <c r="E80" s="9"/>
      <c r="F80" s="9"/>
      <c r="G80" s="9"/>
      <c r="H80" s="9"/>
      <c r="I80" s="9"/>
      <c r="J80" s="9"/>
    </row>
    <row r="81" spans="8:8">
      <c r="B81" s="9"/>
      <c r="C81" s="9"/>
      <c r="D81" s="9"/>
      <c r="E81" s="9"/>
      <c r="F81" s="9"/>
      <c r="G81" s="9"/>
      <c r="H81" s="9"/>
      <c r="I81" s="9"/>
      <c r="J81" s="9"/>
    </row>
    <row r="82" spans="8:8">
      <c r="B82" s="9"/>
      <c r="C82" s="9"/>
      <c r="D82" s="9"/>
      <c r="E82" s="9"/>
      <c r="F82" s="9"/>
      <c r="G82" s="9"/>
      <c r="H82" s="9"/>
      <c r="I82" s="9"/>
      <c r="J82" s="9"/>
      <c r="K82" s="9"/>
    </row>
    <row r="83" spans="8:8">
      <c r="B83" s="9"/>
      <c r="C83" s="9"/>
      <c r="D83" s="9"/>
      <c r="E83" s="9"/>
      <c r="F83" s="9"/>
      <c r="G83" s="9"/>
      <c r="H83" s="9"/>
      <c r="I83" s="9"/>
      <c r="J83" s="9"/>
      <c r="K83" s="9"/>
    </row>
    <row r="84" spans="8:8">
      <c r="B84" s="9"/>
      <c r="C84" s="9"/>
      <c r="D84" s="9"/>
      <c r="E84" s="9"/>
      <c r="F84" s="9"/>
      <c r="G84" s="9"/>
      <c r="H84" s="9"/>
      <c r="I84" s="9"/>
      <c r="J84" s="9"/>
      <c r="K84" s="9"/>
    </row>
    <row r="85" spans="8:8">
      <c r="B85" s="9"/>
      <c r="C85" s="9"/>
      <c r="D85" s="9"/>
      <c r="E85" s="9"/>
      <c r="F85" s="9"/>
      <c r="G85" s="9"/>
      <c r="H85" s="9"/>
      <c r="I85" s="9"/>
      <c r="J85" s="9"/>
      <c r="K85" s="9"/>
    </row>
    <row r="86" spans="8:8">
      <c r="B86" s="9"/>
      <c r="C86" s="9"/>
      <c r="D86" s="9"/>
      <c r="E86" s="9"/>
      <c r="F86" s="9"/>
      <c r="G86" s="9"/>
      <c r="H86" s="9"/>
      <c r="I86" s="9"/>
      <c r="J86" s="9"/>
      <c r="K86" s="9"/>
    </row>
    <row r="87" spans="8:8">
      <c r="B87" s="9"/>
      <c r="C87" s="9"/>
      <c r="D87" s="9"/>
      <c r="E87" s="9"/>
      <c r="F87" s="9"/>
      <c r="G87" s="9"/>
      <c r="H87" s="9"/>
      <c r="I87" s="9"/>
      <c r="J87" s="9"/>
      <c r="K87" s="9"/>
    </row>
    <row r="88" spans="8:8">
      <c r="B88" s="9"/>
      <c r="C88" s="9"/>
      <c r="D88" s="9"/>
      <c r="E88" s="9"/>
      <c r="F88" s="9"/>
      <c r="G88" s="9"/>
      <c r="H88" s="9"/>
      <c r="I88" s="9"/>
      <c r="J88" s="9"/>
      <c r="K88" s="9"/>
    </row>
    <row r="89" spans="8:8">
      <c r="B89" s="9"/>
      <c r="C89" s="9"/>
      <c r="D89" s="9"/>
      <c r="E89" s="9"/>
      <c r="F89" s="9"/>
      <c r="G89" s="9"/>
      <c r="H89" s="9"/>
      <c r="I89" s="9"/>
      <c r="J89" s="9"/>
      <c r="K89" s="9"/>
    </row>
    <row r="90" spans="8:8">
      <c r="B90" s="9"/>
      <c r="C90" s="9"/>
      <c r="D90" s="9"/>
      <c r="E90" s="9"/>
      <c r="F90" s="9"/>
      <c r="G90" s="9"/>
      <c r="H90" s="9"/>
      <c r="I90" s="9"/>
      <c r="J90" s="9"/>
      <c r="K90" s="9"/>
    </row>
    <row r="91" spans="8:8">
      <c r="B91" s="9"/>
      <c r="C91" s="9"/>
      <c r="D91" s="9"/>
      <c r="E91" s="9"/>
      <c r="F91" s="9"/>
      <c r="G91" s="9"/>
      <c r="H91" s="9"/>
      <c r="I91" s="9"/>
      <c r="J91" s="9"/>
      <c r="K91" s="9"/>
      <c r="L91" s="9"/>
      <c r="M91" s="9"/>
      <c r="N91" s="9"/>
      <c r="O91" s="9"/>
    </row>
    <row r="92" spans="8:8">
      <c r="B92" s="9"/>
      <c r="C92" s="9"/>
      <c r="D92" s="9"/>
      <c r="E92" s="9"/>
      <c r="F92" s="9"/>
      <c r="G92" s="9"/>
      <c r="H92" s="9"/>
      <c r="I92" s="9"/>
      <c r="J92" s="9"/>
      <c r="K92" s="9"/>
      <c r="L92" s="9"/>
      <c r="M92" s="9"/>
      <c r="N92" s="9"/>
      <c r="O92" s="9"/>
    </row>
    <row r="93" spans="8:8">
      <c r="B93" s="9"/>
      <c r="C93" s="9"/>
      <c r="D93" s="9"/>
      <c r="E93" s="9"/>
      <c r="F93" s="9"/>
      <c r="G93" s="9"/>
      <c r="H93" s="9"/>
      <c r="I93" s="9"/>
      <c r="J93" s="9"/>
      <c r="K93" s="9"/>
      <c r="L93" s="9"/>
      <c r="M93" s="9"/>
      <c r="N93" s="9"/>
      <c r="O93" s="9"/>
    </row>
    <row r="94" spans="8:8">
      <c r="B94" s="9"/>
      <c r="C94" s="9"/>
      <c r="D94" s="9"/>
      <c r="E94" s="9"/>
      <c r="F94" s="9"/>
      <c r="G94" s="9"/>
      <c r="H94" s="9"/>
      <c r="I94" s="9"/>
      <c r="J94" s="9"/>
      <c r="K94" s="9"/>
      <c r="L94" s="9"/>
      <c r="M94" s="9"/>
      <c r="N94" s="9"/>
      <c r="O94" s="9"/>
    </row>
    <row r="95" spans="8:8">
      <c r="B95" s="9"/>
      <c r="C95" s="9"/>
      <c r="D95" s="9"/>
      <c r="E95" s="9"/>
      <c r="F95" s="9"/>
      <c r="G95" s="9"/>
      <c r="H95" s="9"/>
      <c r="I95" s="9"/>
      <c r="J95" s="9"/>
      <c r="K95" s="9"/>
      <c r="L95" s="9"/>
      <c r="M95" s="9"/>
      <c r="N95" s="9"/>
      <c r="O95" s="9"/>
    </row>
    <row r="96" spans="8:8">
      <c r="B96" s="9"/>
      <c r="C96" s="9"/>
      <c r="D96" s="9"/>
      <c r="E96" s="9"/>
      <c r="F96" s="9"/>
      <c r="G96" s="9"/>
      <c r="H96" s="9"/>
      <c r="I96" s="9"/>
      <c r="J96" s="9"/>
      <c r="K96" s="9"/>
      <c r="L96" s="9"/>
      <c r="M96" s="9"/>
      <c r="N96" s="9"/>
      <c r="O96" s="9"/>
    </row>
    <row r="97" spans="8:8">
      <c r="B97" s="9"/>
      <c r="C97" s="9"/>
      <c r="D97" s="9"/>
      <c r="E97" s="9"/>
      <c r="F97" s="9"/>
      <c r="G97" s="9"/>
      <c r="H97" s="9"/>
      <c r="I97" s="9"/>
      <c r="J97" s="9"/>
      <c r="K97" s="9"/>
      <c r="L97" s="9"/>
      <c r="M97" s="9"/>
      <c r="N97" s="9"/>
      <c r="O97" s="9"/>
    </row>
    <row r="98" spans="8:8">
      <c r="B98" s="9"/>
      <c r="C98" s="9"/>
      <c r="D98" s="9"/>
      <c r="E98" s="9"/>
      <c r="F98" s="9"/>
      <c r="G98" s="9"/>
      <c r="H98" s="9"/>
      <c r="I98" s="9"/>
      <c r="J98" s="9"/>
      <c r="K98" s="9"/>
      <c r="L98" s="9"/>
      <c r="M98" s="9"/>
      <c r="N98" s="9"/>
      <c r="O98" s="9"/>
    </row>
    <row r="99" spans="8:8">
      <c r="L99" s="9"/>
      <c r="M99" s="9"/>
      <c r="N99" s="9"/>
      <c r="O99" s="9"/>
    </row>
    <row r="100" spans="8:8">
      <c r="L100" s="9"/>
      <c r="M100" s="9"/>
      <c r="N100" s="9"/>
      <c r="O100" s="9"/>
    </row>
    <row r="101" spans="8:8">
      <c r="L101" s="9"/>
      <c r="M101" s="9"/>
      <c r="N101" s="9"/>
      <c r="O101" s="9"/>
    </row>
    <row r="102" spans="8:8">
      <c r="L102" s="9"/>
      <c r="M102" s="9"/>
      <c r="N102" s="9"/>
      <c r="O102" s="9"/>
    </row>
    <row r="103" spans="8:8">
      <c r="L103" s="9"/>
      <c r="M103" s="9"/>
      <c r="N103" s="9"/>
      <c r="O103" s="9"/>
    </row>
    <row r="104" spans="8:8">
      <c r="L104" s="9"/>
      <c r="M104" s="9"/>
      <c r="N104" s="9"/>
      <c r="O104" s="9"/>
    </row>
    <row r="105" spans="8:8">
      <c r="L105" s="9"/>
      <c r="M105" s="9"/>
      <c r="N105" s="9"/>
      <c r="O105" s="9"/>
    </row>
    <row r="106" spans="8:8">
      <c r="L106" s="9"/>
      <c r="M106" s="9"/>
      <c r="N106" s="9"/>
      <c r="O106" s="9"/>
    </row>
    <row r="107" spans="8:8">
      <c r="L107" s="9"/>
      <c r="M107" s="9"/>
      <c r="N107" s="9"/>
      <c r="O107" s="9"/>
    </row>
  </sheetData>
  <sheetProtection sheet="0" formatColumns="0" formatRows="0" insertColumns="0" insertRows="0"/>
  <mergeCells count="64">
    <mergeCell ref="B31:J31"/>
    <mergeCell ref="L50:T52"/>
    <mergeCell ref="C30:D30"/>
    <mergeCell ref="E9:J10"/>
    <mergeCell ref="B14:D14"/>
    <mergeCell ref="F22:G22"/>
    <mergeCell ref="L2:T2"/>
    <mergeCell ref="L46:T48"/>
    <mergeCell ref="L42:T44"/>
    <mergeCell ref="L45:T45"/>
    <mergeCell ref="L25:T25"/>
    <mergeCell ref="L53:T54"/>
    <mergeCell ref="L29:T29"/>
    <mergeCell ref="L33:T33"/>
    <mergeCell ref="L34:T36"/>
    <mergeCell ref="E26:J30"/>
    <mergeCell ref="B12:D13"/>
    <mergeCell ref="E8:F8"/>
    <mergeCell ref="B45:J48"/>
    <mergeCell ref="G8:J8"/>
    <mergeCell ref="B41:J43"/>
    <mergeCell ref="C10:D10"/>
    <mergeCell ref="B32:J39"/>
    <mergeCell ref="G11:J11"/>
    <mergeCell ref="B44:J44"/>
    <mergeCell ref="C52:J54"/>
    <mergeCell ref="B52:B54"/>
    <mergeCell ref="C8:D8"/>
    <mergeCell ref="E25:J25"/>
    <mergeCell ref="C28:D28"/>
    <mergeCell ref="B15:D16"/>
    <mergeCell ref="E18:G18"/>
    <mergeCell ref="C26:D26"/>
    <mergeCell ref="E11:F11"/>
    <mergeCell ref="B17:D24"/>
    <mergeCell ref="B3:J5"/>
    <mergeCell ref="F24:G24"/>
    <mergeCell ref="E17:G17"/>
    <mergeCell ref="G14:J14"/>
    <mergeCell ref="B11:D11"/>
    <mergeCell ref="B2:J2"/>
    <mergeCell ref="L49:T49"/>
    <mergeCell ref="L3:T24"/>
    <mergeCell ref="L38:T40"/>
    <mergeCell ref="L41:T41"/>
    <mergeCell ref="C51:J51"/>
    <mergeCell ref="E19:G19"/>
    <mergeCell ref="C29:D29"/>
    <mergeCell ref="E20:G20"/>
    <mergeCell ref="F21:G21"/>
    <mergeCell ref="F23:G23"/>
    <mergeCell ref="C25:D25"/>
    <mergeCell ref="B49:J49"/>
    <mergeCell ref="E15:J16"/>
    <mergeCell ref="C50:J50"/>
    <mergeCell ref="C27:D27"/>
    <mergeCell ref="H17:J24"/>
    <mergeCell ref="E14:F14"/>
    <mergeCell ref="E12:J13"/>
    <mergeCell ref="L30:T32"/>
    <mergeCell ref="L26:T28"/>
    <mergeCell ref="L37:T37"/>
    <mergeCell ref="B40:J40"/>
    <mergeCell ref="C9:D9"/>
  </mergeCells>
  <dataValidations count="4">
    <dataValidation allowBlank="1" type="list" errorStyle="stop" showInputMessage="1" showErrorMessage="1" sqref="C27:D27">
      <formula1>"男,女,其他"</formula1>
    </dataValidation>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extLst>
    <ext xmlns:x14="http://schemas.microsoft.com/office/spreadsheetml/2009/9/main" uri="{CCE6A557-97BC-4b89-ADB6-D9C93CAAB3DF}">
      <x14:dataValidations xmlns:xm="http://schemas.microsoft.com/office/excel/2006/main" count="1">
        <x14:dataValidation allowBlank="1" type="list" errorStyle="stop" showInputMessage="1" showErrorMessage="1">
          <xm:sqref>H29</xm:sqref>
        </x14:dataValidation>
      </x14:dataValidations>
    </ext>
  </extLst>
</worksheet>
</file>

<file path=xl/worksheets/sheet4.xml><?xml version="1.0" encoding="utf-8"?>
<worksheet xmlns:r="http://schemas.openxmlformats.org/officeDocument/2006/relationships" xmlns="http://schemas.openxmlformats.org/spreadsheetml/2006/main">
  <dimension ref="B1:BE33"/>
  <sheetViews>
    <sheetView workbookViewId="0" topLeftCell="C1" zoomScale="79">
      <selection activeCell="E20" sqref="E20"/>
    </sheetView>
  </sheetViews>
  <sheetFormatPr defaultRowHeight="15.0" defaultColWidth="10"/>
  <cols>
    <col min="11" max="11" customWidth="0" width="12.832031" style="0"/>
  </cols>
  <sheetData>
    <row r="3" spans="8:8">
      <c r="B3" s="360" t="s">
        <v>143</v>
      </c>
      <c r="C3" s="361" t="s">
        <v>55</v>
      </c>
      <c r="D3" s="361" t="s">
        <v>56</v>
      </c>
      <c r="E3" s="361" t="s">
        <v>57</v>
      </c>
      <c r="F3" s="361" t="s">
        <v>58</v>
      </c>
      <c r="G3" s="361" t="s">
        <v>59</v>
      </c>
      <c r="H3" s="361"/>
      <c r="J3" s="360" t="s">
        <v>144</v>
      </c>
      <c r="K3" s="360" t="s">
        <v>145</v>
      </c>
      <c r="M3" s="360" t="s">
        <v>146</v>
      </c>
      <c r="N3" s="360" t="s">
        <v>145</v>
      </c>
    </row>
    <row r="4" spans="8:8">
      <c r="B4" s="360" t="s">
        <v>43</v>
      </c>
      <c r="C4" s="362">
        <v>20.0</v>
      </c>
      <c r="D4" s="362">
        <v>20.0</v>
      </c>
      <c r="E4" s="362">
        <v>20.0</v>
      </c>
      <c r="F4" s="362">
        <v>10.0</v>
      </c>
      <c r="G4" s="362">
        <v>20.0</v>
      </c>
      <c r="H4" s="363"/>
      <c r="J4" s="361" t="s">
        <v>147</v>
      </c>
      <c r="K4" s="361">
        <v>1.0</v>
      </c>
      <c r="M4" s="361" t="s">
        <v>147</v>
      </c>
      <c r="N4" s="361">
        <v>1.0</v>
      </c>
    </row>
    <row r="5" spans="8:8">
      <c r="B5" s="360" t="s">
        <v>148</v>
      </c>
      <c r="C5" s="361">
        <v>20.0</v>
      </c>
      <c r="D5" s="362">
        <v>30.0</v>
      </c>
      <c r="E5" s="362">
        <v>20.0</v>
      </c>
      <c r="F5" s="362">
        <v>10.0</v>
      </c>
      <c r="G5" s="362">
        <v>20.0</v>
      </c>
      <c r="H5" s="362"/>
      <c r="J5" s="361" t="s">
        <v>149</v>
      </c>
      <c r="K5" s="361">
        <v>2.0</v>
      </c>
      <c r="M5" s="361" t="s">
        <v>149</v>
      </c>
      <c r="N5" s="361">
        <v>2.0</v>
      </c>
    </row>
    <row r="6" spans="8:8">
      <c r="B6" s="360" t="s">
        <v>150</v>
      </c>
      <c r="C6" s="362">
        <v>10.0</v>
      </c>
      <c r="D6" s="362">
        <v>10.0</v>
      </c>
      <c r="E6" s="362">
        <v>30.0</v>
      </c>
      <c r="F6" s="362">
        <v>10.0</v>
      </c>
      <c r="G6" s="362">
        <v>10.0</v>
      </c>
      <c r="H6" s="363"/>
      <c r="J6" s="361" t="s">
        <v>74</v>
      </c>
      <c r="K6" s="361">
        <v>3.0</v>
      </c>
      <c r="M6" s="361" t="s">
        <v>74</v>
      </c>
      <c r="N6" s="361">
        <v>3.0</v>
      </c>
    </row>
    <row r="7" spans="8:8">
      <c r="B7" s="360" t="s">
        <v>151</v>
      </c>
      <c r="C7" s="362">
        <v>0.0</v>
      </c>
      <c r="D7" s="362">
        <v>30.0</v>
      </c>
      <c r="E7" s="362">
        <v>0.0</v>
      </c>
      <c r="F7" s="362">
        <v>0.0</v>
      </c>
      <c r="G7" s="362">
        <v>20.0</v>
      </c>
      <c r="H7" s="360"/>
      <c r="J7" s="361" t="s">
        <v>152</v>
      </c>
      <c r="K7" s="361">
        <v>4.0</v>
      </c>
      <c r="M7" s="361" t="s">
        <v>152</v>
      </c>
      <c r="N7" s="361">
        <v>4.0</v>
      </c>
    </row>
    <row r="8" spans="8:8">
      <c r="B8" s="360" t="s">
        <v>153</v>
      </c>
      <c r="C8" s="362">
        <v>10.0</v>
      </c>
      <c r="D8" s="362">
        <v>10.0</v>
      </c>
      <c r="E8" s="362">
        <v>10.0</v>
      </c>
      <c r="F8" s="362">
        <v>0.0</v>
      </c>
      <c r="G8" s="362">
        <v>20.0</v>
      </c>
      <c r="H8" s="360"/>
      <c r="J8" s="361" t="s">
        <v>88</v>
      </c>
      <c r="K8" s="361">
        <v>5.0</v>
      </c>
      <c r="M8" s="361" t="s">
        <v>88</v>
      </c>
      <c r="N8" s="361">
        <v>5.0</v>
      </c>
    </row>
    <row r="9" spans="8:8">
      <c r="B9" s="360" t="s">
        <v>154</v>
      </c>
      <c r="C9" s="362">
        <v>0.0</v>
      </c>
      <c r="D9" s="362">
        <v>0.0</v>
      </c>
      <c r="E9" s="362">
        <v>0.0</v>
      </c>
      <c r="F9" s="362">
        <v>30.0</v>
      </c>
      <c r="G9" s="362">
        <v>0.0</v>
      </c>
      <c r="H9" s="360"/>
      <c r="J9" s="361" t="s">
        <v>155</v>
      </c>
      <c r="K9" s="361">
        <v>7.0</v>
      </c>
      <c r="M9" s="361" t="s">
        <v>155</v>
      </c>
      <c r="N9" s="361">
        <v>9.0</v>
      </c>
    </row>
    <row r="10" spans="8:8">
      <c r="B10" s="360" t="s">
        <v>156</v>
      </c>
      <c r="C10" s="362">
        <v>0.0</v>
      </c>
      <c r="D10" s="362">
        <v>0.0</v>
      </c>
      <c r="E10" s="362">
        <v>20.0</v>
      </c>
      <c r="F10" s="362">
        <v>0.0</v>
      </c>
      <c r="G10" s="362">
        <v>20.0</v>
      </c>
      <c r="H10" s="360"/>
      <c r="J10" s="364" t="s">
        <v>157</v>
      </c>
      <c r="K10" s="361">
        <v>1.0</v>
      </c>
      <c r="M10" s="364" t="s">
        <v>157</v>
      </c>
      <c r="N10" s="361">
        <v>1.0</v>
      </c>
    </row>
    <row r="11" spans="8:8">
      <c r="B11" s="360" t="s">
        <v>158</v>
      </c>
      <c r="C11" s="362">
        <v>20.0</v>
      </c>
      <c r="D11" s="362">
        <v>20.0</v>
      </c>
      <c r="E11" s="362">
        <v>20.0</v>
      </c>
      <c r="F11" s="362">
        <v>0.0</v>
      </c>
      <c r="G11" s="362">
        <v>0.0</v>
      </c>
      <c r="H11" s="360"/>
      <c r="J11" s="364" t="s">
        <v>159</v>
      </c>
      <c r="K11" s="361">
        <v>2.0</v>
      </c>
      <c r="M11" s="364" t="s">
        <v>159</v>
      </c>
      <c r="N11" s="361">
        <v>2.0</v>
      </c>
    </row>
    <row r="12" spans="8:8">
      <c r="B12" s="360" t="s">
        <v>160</v>
      </c>
      <c r="C12" s="362">
        <v>0.0</v>
      </c>
      <c r="D12" s="362">
        <v>0.0</v>
      </c>
      <c r="E12" s="362">
        <v>0.0</v>
      </c>
      <c r="F12" s="362">
        <v>0.0</v>
      </c>
      <c r="G12" s="362">
        <v>0.0</v>
      </c>
      <c r="H12" s="360"/>
      <c r="J12" s="364" t="s">
        <v>161</v>
      </c>
      <c r="K12" s="361">
        <v>3.0</v>
      </c>
      <c r="M12" s="364" t="s">
        <v>161</v>
      </c>
      <c r="N12" s="361">
        <v>3.0</v>
      </c>
    </row>
    <row r="13" spans="8:8">
      <c r="B13" s="360"/>
      <c r="C13" s="362"/>
      <c r="D13" s="362"/>
      <c r="E13" s="362"/>
      <c r="F13" s="362"/>
      <c r="G13" s="362"/>
      <c r="H13" s="360"/>
      <c r="J13" s="364" t="s">
        <v>162</v>
      </c>
      <c r="K13" s="361">
        <v>4.0</v>
      </c>
      <c r="M13" s="364" t="s">
        <v>162</v>
      </c>
      <c r="N13" s="361">
        <v>4.0</v>
      </c>
    </row>
    <row r="14" spans="8:8">
      <c r="J14" s="364" t="s">
        <v>163</v>
      </c>
      <c r="K14" s="361">
        <v>5.0</v>
      </c>
      <c r="M14" s="364" t="s">
        <v>163</v>
      </c>
      <c r="N14" s="361">
        <v>5.0</v>
      </c>
    </row>
    <row r="15" spans="8:8">
      <c r="J15" s="364" t="s">
        <v>164</v>
      </c>
      <c r="K15" s="361">
        <v>7.0</v>
      </c>
      <c r="M15" s="364" t="s">
        <v>164</v>
      </c>
      <c r="N15" s="361">
        <v>9.0</v>
      </c>
    </row>
    <row r="16" spans="8:8">
      <c r="J16" s="364" t="s">
        <v>165</v>
      </c>
      <c r="K16" s="361">
        <v>3.0</v>
      </c>
      <c r="M16" s="364" t="s">
        <v>165</v>
      </c>
      <c r="N16" s="361">
        <v>3.0</v>
      </c>
    </row>
    <row r="17" spans="8:8">
      <c r="J17" s="364" t="s">
        <v>166</v>
      </c>
      <c r="K17" s="361">
        <v>4.0</v>
      </c>
      <c r="M17" s="364" t="s">
        <v>166</v>
      </c>
      <c r="N17" s="361">
        <v>4.0</v>
      </c>
    </row>
    <row r="18" spans="8:8">
      <c r="J18" s="364" t="s">
        <v>167</v>
      </c>
      <c r="K18" s="361">
        <v>5.0</v>
      </c>
      <c r="M18" s="364" t="s">
        <v>167</v>
      </c>
      <c r="N18" s="361">
        <v>5.0</v>
      </c>
    </row>
    <row r="19" spans="8:8">
      <c r="J19" s="364" t="s">
        <v>168</v>
      </c>
      <c r="K19" s="361">
        <v>6.0</v>
      </c>
      <c r="M19" s="364" t="s">
        <v>168</v>
      </c>
      <c r="N19" s="361">
        <v>6.0</v>
      </c>
    </row>
    <row r="20" spans="8:8">
      <c r="J20" s="364" t="s">
        <v>169</v>
      </c>
      <c r="K20" s="361">
        <v>7.0</v>
      </c>
      <c r="M20" s="364" t="s">
        <v>169</v>
      </c>
      <c r="N20" s="361">
        <v>7.0</v>
      </c>
    </row>
    <row r="21" spans="8:8">
      <c r="J21" s="364" t="s">
        <v>170</v>
      </c>
      <c r="K21" s="361">
        <v>5.0</v>
      </c>
      <c r="M21" s="364" t="s">
        <v>170</v>
      </c>
      <c r="N21" s="361">
        <v>5.0</v>
      </c>
    </row>
    <row r="22" spans="8:8">
      <c r="J22" s="364" t="s">
        <v>171</v>
      </c>
      <c r="K22" s="361">
        <v>6.0</v>
      </c>
      <c r="M22" s="364" t="s">
        <v>171</v>
      </c>
      <c r="N22" s="361">
        <v>6.0</v>
      </c>
    </row>
    <row r="23" spans="8:8">
      <c r="J23" s="364" t="s">
        <v>172</v>
      </c>
      <c r="K23" s="361">
        <v>7.0</v>
      </c>
      <c r="M23" s="364" t="s">
        <v>172</v>
      </c>
      <c r="N23" s="361">
        <v>7.0</v>
      </c>
    </row>
    <row r="24" spans="8:8">
      <c r="J24" s="364" t="s">
        <v>173</v>
      </c>
      <c r="K24" s="361">
        <v>8.0</v>
      </c>
      <c r="M24" s="364" t="s">
        <v>173</v>
      </c>
      <c r="N24" s="361">
        <v>8.0</v>
      </c>
    </row>
    <row r="25" spans="8:8">
      <c r="J25" s="364" t="s">
        <v>174</v>
      </c>
      <c r="K25" s="361">
        <v>9.0</v>
      </c>
      <c r="M25" s="364" t="s">
        <v>174</v>
      </c>
      <c r="N25" s="361">
        <v>9.0</v>
      </c>
    </row>
    <row r="26" spans="8:8">
      <c r="J26" s="364" t="s">
        <v>175</v>
      </c>
      <c r="K26" s="361">
        <v>7.0</v>
      </c>
      <c r="M26" s="364" t="s">
        <v>175</v>
      </c>
      <c r="N26" s="361">
        <v>7.0</v>
      </c>
    </row>
    <row r="27" spans="8:8">
      <c r="J27" s="364" t="s">
        <v>176</v>
      </c>
      <c r="K27" s="361">
        <v>8.0</v>
      </c>
      <c r="M27" s="364" t="s">
        <v>176</v>
      </c>
      <c r="N27" s="361">
        <v>8.0</v>
      </c>
    </row>
    <row r="28" spans="8:8">
      <c r="J28" s="364" t="s">
        <v>177</v>
      </c>
      <c r="K28" s="361">
        <v>9.0</v>
      </c>
      <c r="M28" s="364" t="s">
        <v>177</v>
      </c>
      <c r="N28" s="361">
        <v>9.0</v>
      </c>
    </row>
    <row r="29" spans="8:8">
      <c r="J29" s="364" t="s">
        <v>178</v>
      </c>
      <c r="K29" s="361">
        <v>10.0</v>
      </c>
      <c r="M29" s="364" t="s">
        <v>178</v>
      </c>
      <c r="N29" s="361">
        <v>10.0</v>
      </c>
    </row>
    <row r="30" spans="8:8">
      <c r="J30" s="364" t="s">
        <v>179</v>
      </c>
      <c r="K30" s="361">
        <v>11.0</v>
      </c>
      <c r="M30" s="364" t="s">
        <v>179</v>
      </c>
      <c r="N30" s="361">
        <v>11.0</v>
      </c>
    </row>
    <row r="31" spans="8:8">
      <c r="J31" s="364"/>
      <c r="K31" s="361"/>
      <c r="M31" s="364"/>
      <c r="N31" s="361"/>
    </row>
    <row r="32" spans="8:8">
      <c r="J32" s="364"/>
      <c r="K32" s="361"/>
      <c r="M32" s="364"/>
      <c r="N32" s="361"/>
    </row>
    <row r="33" spans="8:8">
      <c r="J33" s="364"/>
      <c r="K33" s="361"/>
      <c r="M33" s="364"/>
      <c r="N33" s="361"/>
    </row>
  </sheetData>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BJ105"/>
  <sheetViews>
    <sheetView workbookViewId="0">
      <selection activeCell="B19" sqref="B19:S19"/>
    </sheetView>
  </sheetViews>
  <sheetFormatPr defaultRowHeight="15.0" defaultColWidth="10"/>
  <cols>
    <col min="1" max="1" customWidth="1" width="5.5820312" style="365"/>
    <col min="2" max="19" customWidth="1" width="9.0" style="365"/>
    <col min="20" max="16384" customWidth="0" width="8.832031" style="365"/>
  </cols>
  <sheetData>
    <row r="1" spans="8:8">
      <c r="B1" s="366" t="s">
        <v>180</v>
      </c>
    </row>
    <row r="2" spans="8:8">
      <c r="B2" s="367" t="s">
        <v>35</v>
      </c>
      <c r="C2" s="368"/>
      <c r="D2" s="369" t="s">
        <v>181</v>
      </c>
      <c r="E2" s="368"/>
      <c r="F2" s="368"/>
      <c r="G2" s="368"/>
      <c r="H2" s="368"/>
      <c r="I2" s="368"/>
      <c r="J2" s="369" t="s">
        <v>182</v>
      </c>
      <c r="K2" s="368"/>
      <c r="L2" s="368"/>
      <c r="M2" s="368"/>
      <c r="N2" s="368"/>
      <c r="O2" s="368"/>
      <c r="P2" s="368"/>
      <c r="Q2" s="368"/>
      <c r="R2" s="368"/>
      <c r="S2" s="370"/>
    </row>
    <row r="3" spans="8:8">
      <c r="B3" s="371" t="s">
        <v>43</v>
      </c>
      <c r="C3" s="372"/>
      <c r="D3" s="373" t="s">
        <v>183</v>
      </c>
      <c r="E3" s="373" t="s">
        <v>55</v>
      </c>
      <c r="F3" s="373" t="s">
        <v>56</v>
      </c>
      <c r="G3" s="373" t="s">
        <v>57</v>
      </c>
      <c r="H3" s="373" t="s">
        <v>58</v>
      </c>
      <c r="I3" s="373" t="s">
        <v>59</v>
      </c>
      <c r="J3" s="374" t="s">
        <v>184</v>
      </c>
      <c r="K3" s="375"/>
      <c r="L3" s="375"/>
      <c r="M3" s="375"/>
      <c r="N3" s="375"/>
      <c r="O3" s="375"/>
      <c r="P3" s="375"/>
      <c r="Q3" s="375"/>
      <c r="R3" s="375"/>
      <c r="S3" s="376"/>
    </row>
    <row r="4" spans="8:8">
      <c r="B4" s="377"/>
      <c r="C4" s="373"/>
      <c r="D4" s="373" t="s">
        <v>185</v>
      </c>
      <c r="E4" s="373">
        <v>20.0</v>
      </c>
      <c r="F4" s="373">
        <v>20.0</v>
      </c>
      <c r="G4" s="373">
        <v>20.0</v>
      </c>
      <c r="H4" s="373">
        <v>10.0</v>
      </c>
      <c r="I4" s="373">
        <v>0.0</v>
      </c>
      <c r="J4" s="378"/>
      <c r="K4" s="379"/>
      <c r="L4" s="379"/>
      <c r="M4" s="379"/>
      <c r="N4" s="379"/>
      <c r="O4" s="379"/>
      <c r="P4" s="379"/>
      <c r="Q4" s="379"/>
      <c r="R4" s="379"/>
      <c r="S4" s="380"/>
    </row>
    <row r="5" spans="8:8">
      <c r="B5" s="381" t="s">
        <v>150</v>
      </c>
      <c r="C5" s="382"/>
      <c r="D5" s="383" t="s">
        <v>183</v>
      </c>
      <c r="E5" s="383" t="s">
        <v>55</v>
      </c>
      <c r="F5" s="383" t="s">
        <v>56</v>
      </c>
      <c r="G5" s="383" t="s">
        <v>57</v>
      </c>
      <c r="H5" s="383" t="s">
        <v>58</v>
      </c>
      <c r="I5" s="383" t="s">
        <v>59</v>
      </c>
      <c r="J5" s="384" t="s">
        <v>184</v>
      </c>
      <c r="K5" s="385"/>
      <c r="L5" s="385"/>
      <c r="M5" s="385"/>
      <c r="N5" s="385"/>
      <c r="O5" s="385"/>
      <c r="P5" s="385"/>
      <c r="Q5" s="385"/>
      <c r="R5" s="385"/>
      <c r="S5" s="386"/>
    </row>
    <row r="6" spans="8:8">
      <c r="B6" s="381"/>
      <c r="C6" s="383"/>
      <c r="D6" s="373" t="s">
        <v>185</v>
      </c>
      <c r="E6" s="373">
        <v>15.0</v>
      </c>
      <c r="F6" s="373">
        <v>15.0</v>
      </c>
      <c r="G6" s="373">
        <v>30.0</v>
      </c>
      <c r="H6" s="373">
        <v>0.0</v>
      </c>
      <c r="I6" s="373">
        <v>0.0</v>
      </c>
      <c r="J6" s="374" t="s">
        <v>186</v>
      </c>
      <c r="K6" s="375"/>
      <c r="L6" s="375"/>
      <c r="M6" s="375"/>
      <c r="N6" s="375"/>
      <c r="O6" s="375"/>
      <c r="P6" s="375"/>
      <c r="Q6" s="375"/>
      <c r="R6" s="375"/>
      <c r="S6" s="376"/>
    </row>
    <row r="7" spans="8:8">
      <c r="B7" s="387" t="s">
        <v>153</v>
      </c>
      <c r="C7" s="388"/>
      <c r="D7" s="383" t="s">
        <v>183</v>
      </c>
      <c r="E7" s="383" t="s">
        <v>55</v>
      </c>
      <c r="F7" s="383" t="s">
        <v>56</v>
      </c>
      <c r="G7" s="383" t="s">
        <v>57</v>
      </c>
      <c r="H7" s="383" t="s">
        <v>58</v>
      </c>
      <c r="I7" s="383" t="s">
        <v>59</v>
      </c>
      <c r="J7" s="384" t="s">
        <v>187</v>
      </c>
      <c r="K7" s="385"/>
      <c r="L7" s="385"/>
      <c r="M7" s="385"/>
      <c r="N7" s="385"/>
      <c r="O7" s="385"/>
      <c r="P7" s="385"/>
      <c r="Q7" s="385"/>
      <c r="R7" s="385"/>
      <c r="S7" s="386"/>
    </row>
    <row r="8" spans="8:8">
      <c r="B8" s="377"/>
      <c r="C8" s="373"/>
      <c r="D8" s="373" t="s">
        <v>185</v>
      </c>
      <c r="E8" s="373">
        <v>15.0</v>
      </c>
      <c r="F8" s="373">
        <v>15.0</v>
      </c>
      <c r="G8" s="373">
        <v>20.0</v>
      </c>
      <c r="H8" s="373">
        <v>0.0</v>
      </c>
      <c r="I8" s="373">
        <v>0.0</v>
      </c>
      <c r="J8" s="389"/>
      <c r="K8" s="390"/>
      <c r="L8" s="390"/>
      <c r="M8" s="390"/>
      <c r="N8" s="390"/>
      <c r="O8" s="390"/>
      <c r="P8" s="390"/>
      <c r="Q8" s="390"/>
      <c r="R8" s="390"/>
      <c r="S8" s="391"/>
    </row>
    <row r="9" spans="8:8">
      <c r="B9" s="387" t="s">
        <v>151</v>
      </c>
      <c r="C9" s="388"/>
      <c r="D9" s="383" t="s">
        <v>183</v>
      </c>
      <c r="E9" s="383" t="s">
        <v>55</v>
      </c>
      <c r="F9" s="383" t="s">
        <v>56</v>
      </c>
      <c r="G9" s="383" t="s">
        <v>57</v>
      </c>
      <c r="H9" s="383" t="s">
        <v>58</v>
      </c>
      <c r="I9" s="383" t="s">
        <v>59</v>
      </c>
      <c r="J9" s="384" t="s">
        <v>188</v>
      </c>
      <c r="K9" s="385"/>
      <c r="L9" s="385"/>
      <c r="M9" s="385"/>
      <c r="N9" s="385"/>
      <c r="O9" s="385"/>
      <c r="P9" s="385"/>
      <c r="Q9" s="385"/>
      <c r="R9" s="385"/>
      <c r="S9" s="386"/>
    </row>
    <row r="10" spans="8:8">
      <c r="B10" s="377"/>
      <c r="C10" s="373"/>
      <c r="D10" s="373" t="s">
        <v>185</v>
      </c>
      <c r="E10" s="373">
        <v>10.0</v>
      </c>
      <c r="F10" s="373">
        <v>10.0</v>
      </c>
      <c r="G10" s="373">
        <v>10.0</v>
      </c>
      <c r="H10" s="373">
        <v>0.0</v>
      </c>
      <c r="I10" s="373">
        <v>0.0</v>
      </c>
      <c r="J10" s="389"/>
      <c r="K10" s="390"/>
      <c r="L10" s="390"/>
      <c r="M10" s="390"/>
      <c r="N10" s="390"/>
      <c r="O10" s="390"/>
      <c r="P10" s="390"/>
      <c r="Q10" s="390"/>
      <c r="R10" s="390"/>
      <c r="S10" s="391"/>
    </row>
    <row r="11" spans="8:8">
      <c r="B11" s="387" t="s">
        <v>154</v>
      </c>
      <c r="C11" s="388"/>
      <c r="D11" s="383" t="s">
        <v>183</v>
      </c>
      <c r="E11" s="383" t="s">
        <v>55</v>
      </c>
      <c r="F11" s="383" t="s">
        <v>56</v>
      </c>
      <c r="G11" s="383" t="s">
        <v>57</v>
      </c>
      <c r="H11" s="383" t="s">
        <v>58</v>
      </c>
      <c r="I11" s="383" t="s">
        <v>59</v>
      </c>
      <c r="J11" s="384" t="s">
        <v>189</v>
      </c>
      <c r="K11" s="385"/>
      <c r="L11" s="385"/>
      <c r="M11" s="385"/>
      <c r="N11" s="385"/>
      <c r="O11" s="385"/>
      <c r="P11" s="385"/>
      <c r="Q11" s="385"/>
      <c r="R11" s="385"/>
      <c r="S11" s="386"/>
    </row>
    <row r="12" spans="8:8">
      <c r="B12" s="377"/>
      <c r="C12" s="373"/>
      <c r="D12" s="373" t="s">
        <v>185</v>
      </c>
      <c r="E12" s="373">
        <v>0.0</v>
      </c>
      <c r="F12" s="373">
        <v>0.0</v>
      </c>
      <c r="G12" s="373">
        <v>0.0</v>
      </c>
      <c r="H12" s="373">
        <v>30.0</v>
      </c>
      <c r="I12" s="373">
        <v>0.0</v>
      </c>
      <c r="J12" s="392"/>
      <c r="K12" s="375"/>
      <c r="L12" s="375"/>
      <c r="M12" s="375"/>
      <c r="N12" s="375"/>
      <c r="O12" s="375"/>
      <c r="P12" s="375"/>
      <c r="Q12" s="375"/>
      <c r="R12" s="375"/>
      <c r="S12" s="376"/>
    </row>
    <row r="13" spans="8:8">
      <c r="B13" s="387" t="s">
        <v>156</v>
      </c>
      <c r="C13" s="388"/>
      <c r="D13" s="383" t="s">
        <v>183</v>
      </c>
      <c r="E13" s="383" t="s">
        <v>55</v>
      </c>
      <c r="F13" s="383" t="s">
        <v>56</v>
      </c>
      <c r="G13" s="383" t="s">
        <v>57</v>
      </c>
      <c r="H13" s="383" t="s">
        <v>58</v>
      </c>
      <c r="I13" s="383" t="s">
        <v>59</v>
      </c>
      <c r="J13" s="374" t="s">
        <v>190</v>
      </c>
      <c r="K13" s="375"/>
      <c r="L13" s="375"/>
      <c r="M13" s="375"/>
      <c r="N13" s="375"/>
      <c r="O13" s="375"/>
      <c r="P13" s="375"/>
      <c r="Q13" s="375"/>
      <c r="R13" s="375"/>
      <c r="S13" s="376"/>
    </row>
    <row r="14" spans="8:8">
      <c r="B14" s="377"/>
      <c r="C14" s="373"/>
      <c r="D14" s="373" t="s">
        <v>185</v>
      </c>
      <c r="E14" s="373">
        <v>0.0</v>
      </c>
      <c r="F14" s="373">
        <v>0.0</v>
      </c>
      <c r="G14" s="373">
        <v>30.0</v>
      </c>
      <c r="H14" s="373">
        <v>0.0</v>
      </c>
      <c r="I14" s="373">
        <v>0.0</v>
      </c>
      <c r="J14" s="389"/>
      <c r="K14" s="390"/>
      <c r="L14" s="390"/>
      <c r="M14" s="390"/>
      <c r="N14" s="390"/>
      <c r="O14" s="390"/>
      <c r="P14" s="390"/>
      <c r="Q14" s="390"/>
      <c r="R14" s="390"/>
      <c r="S14" s="391"/>
    </row>
    <row r="15" spans="8:8">
      <c r="B15" s="387" t="s">
        <v>158</v>
      </c>
      <c r="C15" s="388"/>
      <c r="D15" s="383" t="s">
        <v>183</v>
      </c>
      <c r="E15" s="383" t="s">
        <v>55</v>
      </c>
      <c r="F15" s="383" t="s">
        <v>56</v>
      </c>
      <c r="G15" s="383" t="s">
        <v>57</v>
      </c>
      <c r="H15" s="383" t="s">
        <v>58</v>
      </c>
      <c r="I15" s="383" t="s">
        <v>59</v>
      </c>
      <c r="J15" s="384" t="s">
        <v>191</v>
      </c>
      <c r="K15" s="385"/>
      <c r="L15" s="385"/>
      <c r="M15" s="385"/>
      <c r="N15" s="385"/>
      <c r="O15" s="385"/>
      <c r="P15" s="385"/>
      <c r="Q15" s="385"/>
      <c r="R15" s="385"/>
      <c r="S15" s="386"/>
    </row>
    <row r="16" spans="8:8">
      <c r="B16" s="377"/>
      <c r="C16" s="373"/>
      <c r="D16" s="373" t="s">
        <v>185</v>
      </c>
      <c r="E16" s="373">
        <v>15.0</v>
      </c>
      <c r="F16" s="373">
        <v>15.0</v>
      </c>
      <c r="G16" s="373">
        <v>0.0</v>
      </c>
      <c r="H16" s="373">
        <v>0.0</v>
      </c>
      <c r="I16" s="373">
        <v>0.0</v>
      </c>
      <c r="J16" s="392" t="s">
        <v>192</v>
      </c>
      <c r="K16" s="375"/>
      <c r="L16" s="375"/>
      <c r="M16" s="375"/>
      <c r="N16" s="375"/>
      <c r="O16" s="375"/>
      <c r="P16" s="375"/>
      <c r="Q16" s="375"/>
      <c r="R16" s="375"/>
      <c r="S16" s="376"/>
    </row>
    <row r="17" spans="8:8">
      <c r="B17" s="393"/>
      <c r="C17" s="394"/>
      <c r="D17" s="395"/>
      <c r="E17" s="396"/>
      <c r="F17" s="396"/>
      <c r="G17" s="396"/>
      <c r="H17" s="396"/>
      <c r="I17" s="397"/>
      <c r="J17" s="398" t="s">
        <v>193</v>
      </c>
      <c r="K17" s="399"/>
      <c r="L17" s="399"/>
      <c r="M17" s="399"/>
      <c r="N17" s="399"/>
      <c r="O17" s="399"/>
      <c r="P17" s="399"/>
      <c r="Q17" s="399"/>
      <c r="R17" s="399"/>
      <c r="S17" s="400"/>
    </row>
    <row r="19" spans="8:8">
      <c r="B19" s="401" t="s">
        <v>194</v>
      </c>
      <c r="C19" s="402"/>
      <c r="D19" s="402"/>
      <c r="E19" s="402"/>
      <c r="F19" s="402"/>
      <c r="G19" s="402"/>
      <c r="H19" s="402"/>
      <c r="I19" s="402"/>
      <c r="J19" s="402"/>
      <c r="K19" s="402"/>
      <c r="L19" s="402"/>
      <c r="M19" s="402"/>
      <c r="N19" s="402"/>
      <c r="O19" s="402"/>
      <c r="P19" s="402"/>
      <c r="Q19" s="402"/>
      <c r="R19" s="402"/>
      <c r="S19" s="403"/>
    </row>
    <row r="20" spans="8:8">
      <c r="B20" s="404" t="s">
        <v>195</v>
      </c>
      <c r="C20" s="405"/>
      <c r="D20" s="405"/>
      <c r="E20" s="405"/>
      <c r="F20" s="405"/>
      <c r="G20" s="405"/>
      <c r="H20" s="405"/>
      <c r="I20" s="405"/>
      <c r="J20" s="405"/>
      <c r="K20" s="405"/>
      <c r="L20" s="405"/>
      <c r="M20" s="405"/>
      <c r="N20" s="405"/>
      <c r="O20" s="405"/>
      <c r="P20" s="405"/>
      <c r="Q20" s="405"/>
      <c r="R20" s="405"/>
      <c r="S20" s="405"/>
    </row>
    <row r="21" spans="8:8">
      <c r="B21" s="406" t="s">
        <v>196</v>
      </c>
      <c r="C21" s="407"/>
      <c r="D21" s="407"/>
      <c r="E21" s="407"/>
      <c r="F21" s="407"/>
      <c r="G21" s="407"/>
      <c r="H21" s="407"/>
      <c r="I21" s="407"/>
      <c r="J21" s="407"/>
      <c r="K21" s="407" t="s">
        <v>196</v>
      </c>
      <c r="L21" s="407"/>
      <c r="M21" s="407"/>
      <c r="N21" s="407"/>
      <c r="O21" s="407"/>
      <c r="P21" s="407"/>
      <c r="Q21" s="407"/>
      <c r="R21" s="407"/>
      <c r="S21" s="408"/>
    </row>
    <row r="22" spans="8:8">
      <c r="B22" s="409" t="s">
        <v>197</v>
      </c>
      <c r="C22" s="410" t="s">
        <v>198</v>
      </c>
      <c r="D22" s="410"/>
      <c r="E22" s="411" t="s">
        <v>199</v>
      </c>
      <c r="F22" s="410" t="s">
        <v>196</v>
      </c>
      <c r="G22" s="410"/>
      <c r="H22" s="412" t="s">
        <v>200</v>
      </c>
      <c r="I22" s="413" t="s">
        <v>201</v>
      </c>
      <c r="J22" s="413"/>
      <c r="K22" s="411" t="s">
        <v>197</v>
      </c>
      <c r="L22" s="410" t="s">
        <v>202</v>
      </c>
      <c r="M22" s="410"/>
      <c r="N22" s="411" t="s">
        <v>199</v>
      </c>
      <c r="O22" s="410" t="s">
        <v>196</v>
      </c>
      <c r="P22" s="410"/>
      <c r="Q22" s="412" t="s">
        <v>200</v>
      </c>
      <c r="R22" s="413" t="s">
        <v>201</v>
      </c>
      <c r="S22" s="414"/>
    </row>
    <row r="23" spans="8:8">
      <c r="B23" s="415" t="s">
        <v>139</v>
      </c>
      <c r="C23" s="413" t="s">
        <v>203</v>
      </c>
      <c r="D23" s="413"/>
      <c r="E23" s="413"/>
      <c r="F23" s="413"/>
      <c r="G23" s="413"/>
      <c r="H23" s="413"/>
      <c r="I23" s="413"/>
      <c r="J23" s="413"/>
      <c r="K23" s="416" t="s">
        <v>139</v>
      </c>
      <c r="L23" s="417" t="s">
        <v>204</v>
      </c>
      <c r="M23" s="417"/>
      <c r="N23" s="417"/>
      <c r="O23" s="417"/>
      <c r="P23" s="417"/>
      <c r="Q23" s="417"/>
      <c r="R23" s="417"/>
      <c r="S23" s="418"/>
    </row>
    <row r="24" spans="8:8">
      <c r="B24" s="415"/>
      <c r="C24" s="413"/>
      <c r="D24" s="413"/>
      <c r="E24" s="413"/>
      <c r="F24" s="413"/>
      <c r="G24" s="413"/>
      <c r="H24" s="413"/>
      <c r="I24" s="413"/>
      <c r="J24" s="413"/>
      <c r="K24" s="416"/>
      <c r="L24" s="417"/>
      <c r="M24" s="417"/>
      <c r="N24" s="417"/>
      <c r="O24" s="417"/>
      <c r="P24" s="417"/>
      <c r="Q24" s="417"/>
      <c r="R24" s="417"/>
      <c r="S24" s="418"/>
    </row>
    <row r="25" spans="8:8">
      <c r="B25" s="409" t="s">
        <v>205</v>
      </c>
      <c r="C25" s="413" t="s">
        <v>206</v>
      </c>
      <c r="D25" s="413"/>
      <c r="E25" s="413"/>
      <c r="F25" s="413"/>
      <c r="G25" s="413"/>
      <c r="H25" s="413"/>
      <c r="I25" s="413"/>
      <c r="J25" s="413"/>
      <c r="K25" s="416"/>
      <c r="L25" s="417"/>
      <c r="M25" s="417"/>
      <c r="N25" s="417"/>
      <c r="O25" s="417"/>
      <c r="P25" s="417"/>
      <c r="Q25" s="417"/>
      <c r="R25" s="417"/>
      <c r="S25" s="418"/>
    </row>
    <row r="26" spans="8:8">
      <c r="B26" s="409" t="s">
        <v>197</v>
      </c>
      <c r="C26" s="410" t="s">
        <v>207</v>
      </c>
      <c r="D26" s="410"/>
      <c r="E26" s="411" t="s">
        <v>199</v>
      </c>
      <c r="F26" s="410" t="s">
        <v>196</v>
      </c>
      <c r="G26" s="410"/>
      <c r="H26" s="412" t="s">
        <v>200</v>
      </c>
      <c r="I26" s="413" t="s">
        <v>208</v>
      </c>
      <c r="J26" s="413"/>
      <c r="K26" s="416"/>
      <c r="L26" s="417"/>
      <c r="M26" s="417"/>
      <c r="N26" s="417"/>
      <c r="O26" s="417"/>
      <c r="P26" s="417"/>
      <c r="Q26" s="417"/>
      <c r="R26" s="417"/>
      <c r="S26" s="418"/>
    </row>
    <row r="27" spans="8:8">
      <c r="B27" s="415" t="s">
        <v>139</v>
      </c>
      <c r="C27" s="413" t="s">
        <v>209</v>
      </c>
      <c r="D27" s="413"/>
      <c r="E27" s="413"/>
      <c r="F27" s="413"/>
      <c r="G27" s="413"/>
      <c r="H27" s="413"/>
      <c r="I27" s="413"/>
      <c r="J27" s="413"/>
      <c r="K27" s="411" t="s">
        <v>197</v>
      </c>
      <c r="L27" s="410" t="s">
        <v>210</v>
      </c>
      <c r="M27" s="410"/>
      <c r="N27" s="411" t="s">
        <v>199</v>
      </c>
      <c r="O27" s="410" t="s">
        <v>196</v>
      </c>
      <c r="P27" s="410"/>
      <c r="Q27" s="412" t="s">
        <v>200</v>
      </c>
      <c r="R27" s="413" t="s">
        <v>211</v>
      </c>
      <c r="S27" s="414"/>
    </row>
    <row r="28" spans="8:8">
      <c r="B28" s="415"/>
      <c r="C28" s="413"/>
      <c r="D28" s="413"/>
      <c r="E28" s="413"/>
      <c r="F28" s="413"/>
      <c r="G28" s="413"/>
      <c r="H28" s="413"/>
      <c r="I28" s="413"/>
      <c r="J28" s="413"/>
      <c r="K28" s="416" t="s">
        <v>139</v>
      </c>
      <c r="L28" s="417" t="s">
        <v>212</v>
      </c>
      <c r="M28" s="413"/>
      <c r="N28" s="413"/>
      <c r="O28" s="413"/>
      <c r="P28" s="413"/>
      <c r="Q28" s="413"/>
      <c r="R28" s="413"/>
      <c r="S28" s="414"/>
    </row>
    <row r="29" spans="8:8">
      <c r="B29" s="409" t="s">
        <v>205</v>
      </c>
      <c r="C29" s="413" t="s">
        <v>213</v>
      </c>
      <c r="D29" s="413"/>
      <c r="E29" s="413"/>
      <c r="F29" s="413"/>
      <c r="G29" s="413"/>
      <c r="H29" s="413"/>
      <c r="I29" s="413"/>
      <c r="J29" s="413"/>
      <c r="K29" s="416"/>
      <c r="L29" s="413"/>
      <c r="M29" s="413"/>
      <c r="N29" s="413"/>
      <c r="O29" s="413"/>
      <c r="P29" s="413"/>
      <c r="Q29" s="413"/>
      <c r="R29" s="413"/>
      <c r="S29" s="414"/>
    </row>
    <row r="30" spans="8:8">
      <c r="B30" s="409" t="s">
        <v>197</v>
      </c>
      <c r="C30" s="410" t="s">
        <v>214</v>
      </c>
      <c r="D30" s="410"/>
      <c r="E30" s="411" t="s">
        <v>199</v>
      </c>
      <c r="F30" s="410" t="s">
        <v>196</v>
      </c>
      <c r="G30" s="410"/>
      <c r="H30" s="412" t="s">
        <v>200</v>
      </c>
      <c r="I30" s="413" t="s">
        <v>215</v>
      </c>
      <c r="J30" s="413"/>
      <c r="K30" s="416"/>
      <c r="L30" s="413"/>
      <c r="M30" s="413"/>
      <c r="N30" s="413"/>
      <c r="O30" s="413"/>
      <c r="P30" s="413"/>
      <c r="Q30" s="413"/>
      <c r="R30" s="413"/>
      <c r="S30" s="414"/>
    </row>
    <row r="31" spans="8:8">
      <c r="B31" s="415" t="s">
        <v>139</v>
      </c>
      <c r="C31" s="413" t="s">
        <v>216</v>
      </c>
      <c r="D31" s="413"/>
      <c r="E31" s="413"/>
      <c r="F31" s="413"/>
      <c r="G31" s="413"/>
      <c r="H31" s="413"/>
      <c r="I31" s="413"/>
      <c r="J31" s="413"/>
      <c r="K31" s="416"/>
      <c r="L31" s="413"/>
      <c r="M31" s="413"/>
      <c r="N31" s="413"/>
      <c r="O31" s="413"/>
      <c r="P31" s="413"/>
      <c r="Q31" s="413"/>
      <c r="R31" s="413"/>
      <c r="S31" s="414"/>
    </row>
    <row r="32" spans="8:8">
      <c r="B32" s="415"/>
      <c r="C32" s="413"/>
      <c r="D32" s="413"/>
      <c r="E32" s="413"/>
      <c r="F32" s="413"/>
      <c r="G32" s="413"/>
      <c r="H32" s="413"/>
      <c r="I32" s="413"/>
      <c r="J32" s="413"/>
      <c r="K32" s="419" t="s">
        <v>217</v>
      </c>
      <c r="L32" s="419"/>
      <c r="M32" s="419"/>
      <c r="N32" s="419"/>
      <c r="O32" s="419"/>
      <c r="P32" s="419"/>
      <c r="Q32" s="419"/>
      <c r="R32" s="419"/>
      <c r="S32" s="420"/>
    </row>
    <row r="33" spans="8:8">
      <c r="B33" s="409" t="s">
        <v>205</v>
      </c>
      <c r="C33" s="413" t="s">
        <v>218</v>
      </c>
      <c r="D33" s="413"/>
      <c r="E33" s="413"/>
      <c r="F33" s="413"/>
      <c r="G33" s="413"/>
      <c r="H33" s="413"/>
      <c r="I33" s="413"/>
      <c r="J33" s="413"/>
      <c r="K33" s="411" t="s">
        <v>197</v>
      </c>
      <c r="L33" s="410" t="s">
        <v>219</v>
      </c>
      <c r="M33" s="410"/>
      <c r="N33" s="411" t="s">
        <v>199</v>
      </c>
      <c r="O33" s="410" t="s">
        <v>217</v>
      </c>
      <c r="P33" s="410"/>
      <c r="Q33" s="412" t="s">
        <v>200</v>
      </c>
      <c r="R33" s="413" t="s">
        <v>220</v>
      </c>
      <c r="S33" s="414"/>
    </row>
    <row r="34" spans="8:8">
      <c r="B34" s="421" t="s">
        <v>217</v>
      </c>
      <c r="C34" s="419"/>
      <c r="D34" s="419"/>
      <c r="E34" s="419"/>
      <c r="F34" s="419"/>
      <c r="G34" s="419"/>
      <c r="H34" s="419"/>
      <c r="I34" s="419"/>
      <c r="J34" s="419"/>
      <c r="K34" s="416" t="s">
        <v>139</v>
      </c>
      <c r="L34" s="413" t="s">
        <v>221</v>
      </c>
      <c r="M34" s="413"/>
      <c r="N34" s="413"/>
      <c r="O34" s="413"/>
      <c r="P34" s="413"/>
      <c r="Q34" s="413"/>
      <c r="R34" s="413"/>
      <c r="S34" s="414"/>
    </row>
    <row r="35" spans="8:8">
      <c r="B35" s="409" t="s">
        <v>197</v>
      </c>
      <c r="C35" s="410" t="s">
        <v>222</v>
      </c>
      <c r="D35" s="410"/>
      <c r="E35" s="411" t="s">
        <v>199</v>
      </c>
      <c r="F35" s="410" t="s">
        <v>217</v>
      </c>
      <c r="G35" s="410"/>
      <c r="H35" s="412" t="s">
        <v>200</v>
      </c>
      <c r="I35" s="413" t="s">
        <v>215</v>
      </c>
      <c r="J35" s="413"/>
      <c r="K35" s="416"/>
      <c r="L35" s="413"/>
      <c r="M35" s="413"/>
      <c r="N35" s="413"/>
      <c r="O35" s="413"/>
      <c r="P35" s="413"/>
      <c r="Q35" s="413"/>
      <c r="R35" s="413"/>
      <c r="S35" s="414"/>
    </row>
    <row r="36" spans="8:8">
      <c r="B36" s="415" t="s">
        <v>139</v>
      </c>
      <c r="C36" s="413" t="s">
        <v>223</v>
      </c>
      <c r="D36" s="413"/>
      <c r="E36" s="413"/>
      <c r="F36" s="413"/>
      <c r="G36" s="413"/>
      <c r="H36" s="413"/>
      <c r="I36" s="413"/>
      <c r="J36" s="413"/>
      <c r="K36" s="411" t="s">
        <v>197</v>
      </c>
      <c r="L36" s="410" t="s">
        <v>224</v>
      </c>
      <c r="M36" s="410"/>
      <c r="N36" s="411" t="s">
        <v>199</v>
      </c>
      <c r="O36" s="410" t="s">
        <v>217</v>
      </c>
      <c r="P36" s="410"/>
      <c r="Q36" s="412" t="s">
        <v>200</v>
      </c>
      <c r="R36" s="413" t="s">
        <v>81</v>
      </c>
      <c r="S36" s="414"/>
    </row>
    <row r="37" spans="8:8">
      <c r="B37" s="415"/>
      <c r="C37" s="413"/>
      <c r="D37" s="413"/>
      <c r="E37" s="413"/>
      <c r="F37" s="413"/>
      <c r="G37" s="413"/>
      <c r="H37" s="413"/>
      <c r="I37" s="413"/>
      <c r="J37" s="413"/>
      <c r="K37" s="416" t="s">
        <v>139</v>
      </c>
      <c r="L37" s="417" t="s">
        <v>225</v>
      </c>
      <c r="M37" s="413"/>
      <c r="N37" s="413"/>
      <c r="O37" s="413"/>
      <c r="P37" s="413"/>
      <c r="Q37" s="413"/>
      <c r="R37" s="413"/>
      <c r="S37" s="414"/>
    </row>
    <row r="38" spans="8:8">
      <c r="B38" s="409" t="s">
        <v>205</v>
      </c>
      <c r="C38" s="413" t="s">
        <v>226</v>
      </c>
      <c r="D38" s="413"/>
      <c r="E38" s="413"/>
      <c r="F38" s="413"/>
      <c r="G38" s="413"/>
      <c r="H38" s="413"/>
      <c r="I38" s="413"/>
      <c r="J38" s="413"/>
      <c r="K38" s="416"/>
      <c r="L38" s="413"/>
      <c r="M38" s="413"/>
      <c r="N38" s="413"/>
      <c r="O38" s="413"/>
      <c r="P38" s="413"/>
      <c r="Q38" s="413"/>
      <c r="R38" s="413"/>
      <c r="S38" s="414"/>
    </row>
    <row r="39" spans="8:8">
      <c r="B39" s="409" t="s">
        <v>197</v>
      </c>
      <c r="C39" s="410" t="s">
        <v>227</v>
      </c>
      <c r="D39" s="410"/>
      <c r="E39" s="411" t="s">
        <v>199</v>
      </c>
      <c r="F39" s="410" t="s">
        <v>217</v>
      </c>
      <c r="G39" s="410"/>
      <c r="H39" s="412" t="s">
        <v>200</v>
      </c>
      <c r="I39" s="413" t="s">
        <v>81</v>
      </c>
      <c r="J39" s="413"/>
      <c r="K39" s="416"/>
      <c r="L39" s="413"/>
      <c r="M39" s="413"/>
      <c r="N39" s="413"/>
      <c r="O39" s="413"/>
      <c r="P39" s="413"/>
      <c r="Q39" s="413"/>
      <c r="R39" s="413"/>
      <c r="S39" s="414"/>
    </row>
    <row r="40" spans="8:8">
      <c r="B40" s="415" t="s">
        <v>139</v>
      </c>
      <c r="C40" s="417" t="s">
        <v>228</v>
      </c>
      <c r="D40" s="413"/>
      <c r="E40" s="413"/>
      <c r="F40" s="413"/>
      <c r="G40" s="413"/>
      <c r="H40" s="413"/>
      <c r="I40" s="413"/>
      <c r="J40" s="413"/>
      <c r="K40" s="416"/>
      <c r="L40" s="413"/>
      <c r="M40" s="413"/>
      <c r="N40" s="413"/>
      <c r="O40" s="413"/>
      <c r="P40" s="413"/>
      <c r="Q40" s="413"/>
      <c r="R40" s="413"/>
      <c r="S40" s="414"/>
    </row>
    <row r="41" spans="8:8">
      <c r="B41" s="415"/>
      <c r="C41" s="413"/>
      <c r="D41" s="413"/>
      <c r="E41" s="413"/>
      <c r="F41" s="413"/>
      <c r="G41" s="413"/>
      <c r="H41" s="413"/>
      <c r="I41" s="413"/>
      <c r="J41" s="413"/>
      <c r="K41" s="411" t="s">
        <v>205</v>
      </c>
      <c r="L41" s="413" t="s">
        <v>229</v>
      </c>
      <c r="M41" s="413"/>
      <c r="N41" s="413"/>
      <c r="O41" s="413"/>
      <c r="P41" s="413"/>
      <c r="Q41" s="413"/>
      <c r="R41" s="413"/>
      <c r="S41" s="414"/>
    </row>
    <row r="42" spans="8:8">
      <c r="B42" s="409" t="s">
        <v>205</v>
      </c>
      <c r="C42" s="413" t="s">
        <v>226</v>
      </c>
      <c r="D42" s="413"/>
      <c r="E42" s="413"/>
      <c r="F42" s="413"/>
      <c r="G42" s="413"/>
      <c r="H42" s="413"/>
      <c r="I42" s="413"/>
      <c r="J42" s="413"/>
      <c r="K42" s="411" t="s">
        <v>197</v>
      </c>
      <c r="L42" s="410" t="s">
        <v>230</v>
      </c>
      <c r="M42" s="410"/>
      <c r="N42" s="411" t="s">
        <v>199</v>
      </c>
      <c r="O42" s="410" t="s">
        <v>217</v>
      </c>
      <c r="P42" s="410"/>
      <c r="Q42" s="412" t="s">
        <v>200</v>
      </c>
      <c r="R42" s="413" t="s">
        <v>231</v>
      </c>
      <c r="S42" s="414"/>
    </row>
    <row r="43" spans="8:8">
      <c r="B43" s="409" t="s">
        <v>197</v>
      </c>
      <c r="C43" s="410" t="s">
        <v>232</v>
      </c>
      <c r="D43" s="410"/>
      <c r="E43" s="411" t="s">
        <v>199</v>
      </c>
      <c r="F43" s="410" t="s">
        <v>217</v>
      </c>
      <c r="G43" s="410"/>
      <c r="H43" s="412" t="s">
        <v>200</v>
      </c>
      <c r="I43" s="413"/>
      <c r="J43" s="413"/>
      <c r="K43" s="416" t="s">
        <v>139</v>
      </c>
      <c r="L43" s="417" t="s">
        <v>233</v>
      </c>
      <c r="M43" s="413"/>
      <c r="N43" s="413"/>
      <c r="O43" s="413"/>
      <c r="P43" s="413"/>
      <c r="Q43" s="413"/>
      <c r="R43" s="413"/>
      <c r="S43" s="414"/>
    </row>
    <row r="44" spans="8:8">
      <c r="B44" s="415" t="s">
        <v>139</v>
      </c>
      <c r="C44" s="417" t="s">
        <v>234</v>
      </c>
      <c r="D44" s="413"/>
      <c r="E44" s="413"/>
      <c r="F44" s="413"/>
      <c r="G44" s="413"/>
      <c r="H44" s="413"/>
      <c r="I44" s="413"/>
      <c r="J44" s="413"/>
      <c r="K44" s="416"/>
      <c r="L44" s="413"/>
      <c r="M44" s="413"/>
      <c r="N44" s="413"/>
      <c r="O44" s="413"/>
      <c r="P44" s="413"/>
      <c r="Q44" s="413"/>
      <c r="R44" s="413"/>
      <c r="S44" s="414"/>
    </row>
    <row r="45" spans="8:8">
      <c r="B45" s="415"/>
      <c r="C45" s="413"/>
      <c r="D45" s="413"/>
      <c r="E45" s="413"/>
      <c r="F45" s="413"/>
      <c r="G45" s="413"/>
      <c r="H45" s="413"/>
      <c r="I45" s="413"/>
      <c r="J45" s="413"/>
      <c r="K45" s="416"/>
      <c r="L45" s="413"/>
      <c r="M45" s="413"/>
      <c r="N45" s="413"/>
      <c r="O45" s="413"/>
      <c r="P45" s="413"/>
      <c r="Q45" s="413"/>
      <c r="R45" s="413"/>
      <c r="S45" s="414"/>
    </row>
    <row r="46" spans="8:8">
      <c r="B46" s="415"/>
      <c r="C46" s="413"/>
      <c r="D46" s="413"/>
      <c r="E46" s="413"/>
      <c r="F46" s="413"/>
      <c r="G46" s="413"/>
      <c r="H46" s="413"/>
      <c r="I46" s="413"/>
      <c r="J46" s="413"/>
      <c r="K46" s="416"/>
      <c r="L46" s="413"/>
      <c r="M46" s="413"/>
      <c r="N46" s="413"/>
      <c r="O46" s="413"/>
      <c r="P46" s="413"/>
      <c r="Q46" s="413"/>
      <c r="R46" s="413"/>
      <c r="S46" s="414"/>
    </row>
    <row r="47" spans="8:8">
      <c r="B47" s="415"/>
      <c r="C47" s="413"/>
      <c r="D47" s="413"/>
      <c r="E47" s="413"/>
      <c r="F47" s="413"/>
      <c r="G47" s="413"/>
      <c r="H47" s="413"/>
      <c r="I47" s="413"/>
      <c r="J47" s="413"/>
      <c r="K47" s="411" t="s">
        <v>197</v>
      </c>
      <c r="L47" s="410" t="s">
        <v>235</v>
      </c>
      <c r="M47" s="410"/>
      <c r="N47" s="411" t="s">
        <v>199</v>
      </c>
      <c r="O47" s="410" t="s">
        <v>217</v>
      </c>
      <c r="P47" s="410"/>
      <c r="Q47" s="412" t="s">
        <v>200</v>
      </c>
      <c r="R47" s="413" t="s">
        <v>220</v>
      </c>
      <c r="S47" s="414"/>
    </row>
    <row r="48" spans="8:8">
      <c r="B48" s="409" t="s">
        <v>205</v>
      </c>
      <c r="C48" s="413" t="s">
        <v>236</v>
      </c>
      <c r="D48" s="413"/>
      <c r="E48" s="413"/>
      <c r="F48" s="413"/>
      <c r="G48" s="413"/>
      <c r="H48" s="413"/>
      <c r="I48" s="413"/>
      <c r="J48" s="413"/>
      <c r="K48" s="416" t="s">
        <v>139</v>
      </c>
      <c r="L48" s="417" t="s">
        <v>237</v>
      </c>
      <c r="M48" s="417"/>
      <c r="N48" s="417"/>
      <c r="O48" s="417"/>
      <c r="P48" s="417"/>
      <c r="Q48" s="417"/>
      <c r="R48" s="417"/>
      <c r="S48" s="418"/>
    </row>
    <row r="49" spans="8:8">
      <c r="B49" s="409" t="s">
        <v>205</v>
      </c>
      <c r="C49" s="413" t="s">
        <v>238</v>
      </c>
      <c r="D49" s="413"/>
      <c r="E49" s="413"/>
      <c r="F49" s="413"/>
      <c r="G49" s="413"/>
      <c r="H49" s="413"/>
      <c r="I49" s="413"/>
      <c r="J49" s="413"/>
      <c r="K49" s="416"/>
      <c r="L49" s="417"/>
      <c r="M49" s="417"/>
      <c r="N49" s="417"/>
      <c r="O49" s="417"/>
      <c r="P49" s="417"/>
      <c r="Q49" s="417"/>
      <c r="R49" s="417"/>
      <c r="S49" s="418"/>
    </row>
    <row r="50" spans="8:8">
      <c r="B50" s="409" t="s">
        <v>205</v>
      </c>
      <c r="C50" s="413" t="s">
        <v>239</v>
      </c>
      <c r="D50" s="413"/>
      <c r="E50" s="413"/>
      <c r="F50" s="413"/>
      <c r="G50" s="413"/>
      <c r="H50" s="413"/>
      <c r="I50" s="413"/>
      <c r="J50" s="413"/>
      <c r="K50" s="411" t="s">
        <v>197</v>
      </c>
      <c r="L50" s="410" t="s">
        <v>240</v>
      </c>
      <c r="M50" s="410"/>
      <c r="N50" s="411" t="s">
        <v>199</v>
      </c>
      <c r="O50" s="410" t="s">
        <v>217</v>
      </c>
      <c r="P50" s="410"/>
      <c r="Q50" s="412" t="s">
        <v>200</v>
      </c>
      <c r="R50" s="413" t="s">
        <v>241</v>
      </c>
      <c r="S50" s="414"/>
    </row>
    <row r="51" spans="8:8">
      <c r="B51" s="415" t="s">
        <v>205</v>
      </c>
      <c r="C51" s="417" t="s">
        <v>242</v>
      </c>
      <c r="D51" s="417"/>
      <c r="E51" s="417"/>
      <c r="F51" s="417"/>
      <c r="G51" s="417"/>
      <c r="H51" s="417"/>
      <c r="I51" s="417"/>
      <c r="J51" s="417"/>
      <c r="K51" s="416" t="s">
        <v>139</v>
      </c>
      <c r="L51" s="417" t="s">
        <v>243</v>
      </c>
      <c r="M51" s="413"/>
      <c r="N51" s="413"/>
      <c r="O51" s="413"/>
      <c r="P51" s="413"/>
      <c r="Q51" s="413"/>
      <c r="R51" s="413"/>
      <c r="S51" s="414"/>
    </row>
    <row r="52" spans="8:8">
      <c r="B52" s="415"/>
      <c r="C52" s="417"/>
      <c r="D52" s="417"/>
      <c r="E52" s="417"/>
      <c r="F52" s="417"/>
      <c r="G52" s="417"/>
      <c r="H52" s="417"/>
      <c r="I52" s="417"/>
      <c r="J52" s="417"/>
      <c r="K52" s="416"/>
      <c r="L52" s="413"/>
      <c r="M52" s="413"/>
      <c r="N52" s="413"/>
      <c r="O52" s="413"/>
      <c r="P52" s="413"/>
      <c r="Q52" s="413"/>
      <c r="R52" s="413"/>
      <c r="S52" s="414"/>
    </row>
    <row r="53" spans="8:8">
      <c r="B53" s="421" t="s">
        <v>244</v>
      </c>
      <c r="C53" s="419"/>
      <c r="D53" s="419"/>
      <c r="E53" s="419"/>
      <c r="F53" s="419"/>
      <c r="G53" s="419"/>
      <c r="H53" s="419"/>
      <c r="I53" s="419"/>
      <c r="J53" s="419"/>
      <c r="K53" s="416"/>
      <c r="L53" s="413"/>
      <c r="M53" s="413"/>
      <c r="N53" s="413"/>
      <c r="O53" s="413"/>
      <c r="P53" s="413"/>
      <c r="Q53" s="413"/>
      <c r="R53" s="413"/>
      <c r="S53" s="414"/>
    </row>
    <row r="54" spans="8:8">
      <c r="B54" s="409" t="s">
        <v>197</v>
      </c>
      <c r="C54" s="410" t="s">
        <v>245</v>
      </c>
      <c r="D54" s="410"/>
      <c r="E54" s="411" t="s">
        <v>199</v>
      </c>
      <c r="F54" s="410" t="s">
        <v>244</v>
      </c>
      <c r="G54" s="410"/>
      <c r="H54" s="412" t="s">
        <v>200</v>
      </c>
      <c r="I54" s="413" t="s">
        <v>201</v>
      </c>
      <c r="J54" s="413"/>
      <c r="K54" s="416"/>
      <c r="L54" s="413"/>
      <c r="M54" s="413"/>
      <c r="N54" s="413"/>
      <c r="O54" s="413"/>
      <c r="P54" s="413"/>
      <c r="Q54" s="413"/>
      <c r="R54" s="413"/>
      <c r="S54" s="414"/>
    </row>
    <row r="55" spans="8:8">
      <c r="B55" s="415" t="s">
        <v>139</v>
      </c>
      <c r="C55" s="413" t="s">
        <v>246</v>
      </c>
      <c r="D55" s="413"/>
      <c r="E55" s="413"/>
      <c r="F55" s="413"/>
      <c r="G55" s="413"/>
      <c r="H55" s="413"/>
      <c r="I55" s="413"/>
      <c r="J55" s="413"/>
      <c r="K55" s="411" t="s">
        <v>197</v>
      </c>
      <c r="L55" s="410" t="s">
        <v>247</v>
      </c>
      <c r="M55" s="410"/>
      <c r="N55" s="411" t="s">
        <v>199</v>
      </c>
      <c r="O55" s="410" t="s">
        <v>217</v>
      </c>
      <c r="P55" s="410"/>
      <c r="Q55" s="412" t="s">
        <v>200</v>
      </c>
      <c r="R55" s="413" t="s">
        <v>90</v>
      </c>
      <c r="S55" s="414"/>
    </row>
    <row r="56" spans="8:8">
      <c r="B56" s="415"/>
      <c r="C56" s="413"/>
      <c r="D56" s="413"/>
      <c r="E56" s="413"/>
      <c r="F56" s="413"/>
      <c r="G56" s="413"/>
      <c r="H56" s="413"/>
      <c r="I56" s="413"/>
      <c r="J56" s="413"/>
      <c r="K56" s="416" t="s">
        <v>139</v>
      </c>
      <c r="L56" s="417" t="s">
        <v>248</v>
      </c>
      <c r="M56" s="417"/>
      <c r="N56" s="417"/>
      <c r="O56" s="417"/>
      <c r="P56" s="417"/>
      <c r="Q56" s="417"/>
      <c r="R56" s="417"/>
      <c r="S56" s="418"/>
    </row>
    <row r="57" spans="8:8">
      <c r="B57" s="422" t="s">
        <v>205</v>
      </c>
      <c r="C57" s="423" t="s">
        <v>206</v>
      </c>
      <c r="D57" s="423"/>
      <c r="E57" s="423"/>
      <c r="F57" s="423"/>
      <c r="G57" s="423"/>
      <c r="H57" s="423"/>
      <c r="I57" s="423"/>
      <c r="J57" s="423"/>
      <c r="K57" s="424"/>
      <c r="L57" s="425"/>
      <c r="M57" s="425"/>
      <c r="N57" s="425"/>
      <c r="O57" s="425"/>
      <c r="P57" s="425"/>
      <c r="Q57" s="425"/>
      <c r="R57" s="425"/>
      <c r="S57" s="426"/>
    </row>
    <row r="59" spans="8:8">
      <c r="K59" s="427" t="s">
        <v>249</v>
      </c>
      <c r="L59" s="427"/>
      <c r="M59" s="427"/>
      <c r="N59" s="427"/>
      <c r="O59" s="427"/>
      <c r="P59" s="427"/>
      <c r="Q59" s="427"/>
      <c r="R59" s="427"/>
      <c r="S59" s="428"/>
    </row>
    <row r="73" spans="8:8">
      <c r="B73" s="429" t="s">
        <v>250</v>
      </c>
      <c r="C73" s="430"/>
      <c r="D73" s="430"/>
      <c r="E73" s="430"/>
      <c r="F73" s="430"/>
      <c r="G73" s="430"/>
      <c r="H73" s="430"/>
      <c r="I73" s="430"/>
      <c r="J73" s="430"/>
      <c r="K73" s="430"/>
      <c r="L73" s="430"/>
      <c r="M73" s="430"/>
      <c r="N73" s="430"/>
      <c r="O73" s="430"/>
      <c r="P73" s="430"/>
      <c r="Q73" s="430"/>
      <c r="R73" s="430"/>
      <c r="S73" s="431"/>
    </row>
    <row r="74" spans="8:8">
      <c r="B74" s="432" t="s">
        <v>251</v>
      </c>
      <c r="C74" s="433"/>
      <c r="D74" s="433"/>
      <c r="E74" s="433"/>
      <c r="F74" s="433"/>
      <c r="G74" s="433"/>
      <c r="H74" s="433"/>
      <c r="I74" s="433"/>
      <c r="J74" s="433"/>
      <c r="K74" s="434" t="s">
        <v>252</v>
      </c>
      <c r="L74" s="433"/>
      <c r="M74" s="433"/>
      <c r="N74" s="433"/>
      <c r="O74" s="433"/>
      <c r="P74" s="433"/>
      <c r="Q74" s="433"/>
      <c r="R74" s="433"/>
      <c r="S74" s="435"/>
    </row>
    <row r="75" spans="8:8">
      <c r="B75" s="436" t="s">
        <v>197</v>
      </c>
      <c r="C75" s="410" t="s">
        <v>253</v>
      </c>
      <c r="D75" s="410"/>
      <c r="E75" s="437" t="s">
        <v>199</v>
      </c>
      <c r="F75" s="410" t="s">
        <v>254</v>
      </c>
      <c r="G75" s="410"/>
      <c r="H75" s="438" t="s">
        <v>200</v>
      </c>
      <c r="I75" s="410" t="s">
        <v>90</v>
      </c>
      <c r="J75" s="410"/>
      <c r="K75" s="439" t="s">
        <v>197</v>
      </c>
      <c r="L75" s="410" t="s">
        <v>255</v>
      </c>
      <c r="M75" s="410"/>
      <c r="N75" s="437" t="s">
        <v>199</v>
      </c>
      <c r="O75" s="410" t="s">
        <v>251</v>
      </c>
      <c r="P75" s="410"/>
      <c r="Q75" s="438" t="s">
        <v>200</v>
      </c>
      <c r="R75" s="410" t="s">
        <v>90</v>
      </c>
      <c r="S75" s="440"/>
    </row>
    <row r="76" spans="8:8">
      <c r="B76" s="441" t="s">
        <v>139</v>
      </c>
      <c r="C76" s="410" t="s">
        <v>256</v>
      </c>
      <c r="D76" s="410"/>
      <c r="E76" s="410"/>
      <c r="F76" s="410"/>
      <c r="G76" s="410"/>
      <c r="H76" s="410"/>
      <c r="I76" s="410"/>
      <c r="J76" s="410"/>
      <c r="K76" s="442" t="s">
        <v>139</v>
      </c>
      <c r="L76" s="410" t="s">
        <v>257</v>
      </c>
      <c r="M76" s="410"/>
      <c r="N76" s="410"/>
      <c r="O76" s="410"/>
      <c r="P76" s="410"/>
      <c r="Q76" s="410"/>
      <c r="R76" s="410"/>
      <c r="S76" s="440"/>
    </row>
    <row r="77" spans="8:8">
      <c r="B77" s="441"/>
      <c r="C77" s="410"/>
      <c r="D77" s="410"/>
      <c r="E77" s="410"/>
      <c r="F77" s="410"/>
      <c r="G77" s="410"/>
      <c r="H77" s="410"/>
      <c r="I77" s="410"/>
      <c r="J77" s="410"/>
      <c r="K77" s="442"/>
      <c r="L77" s="410"/>
      <c r="M77" s="410"/>
      <c r="N77" s="410"/>
      <c r="O77" s="410"/>
      <c r="P77" s="410"/>
      <c r="Q77" s="410"/>
      <c r="R77" s="410"/>
      <c r="S77" s="440"/>
    </row>
    <row r="78" spans="8:8">
      <c r="B78" s="436" t="s">
        <v>197</v>
      </c>
      <c r="C78" s="410" t="s">
        <v>258</v>
      </c>
      <c r="D78" s="410"/>
      <c r="E78" s="437" t="s">
        <v>199</v>
      </c>
      <c r="F78" s="410" t="s">
        <v>254</v>
      </c>
      <c r="G78" s="410"/>
      <c r="H78" s="438" t="s">
        <v>200</v>
      </c>
      <c r="I78" s="410" t="s">
        <v>90</v>
      </c>
      <c r="J78" s="410"/>
      <c r="K78" s="439" t="s">
        <v>197</v>
      </c>
      <c r="L78" s="410" t="s">
        <v>259</v>
      </c>
      <c r="M78" s="410"/>
      <c r="N78" s="437" t="s">
        <v>199</v>
      </c>
      <c r="O78" s="410" t="s">
        <v>260</v>
      </c>
      <c r="P78" s="410"/>
      <c r="Q78" s="438" t="s">
        <v>200</v>
      </c>
      <c r="R78" s="410" t="s">
        <v>81</v>
      </c>
      <c r="S78" s="440"/>
    </row>
    <row r="79" spans="8:8">
      <c r="B79" s="441" t="s">
        <v>139</v>
      </c>
      <c r="C79" s="410" t="s">
        <v>261</v>
      </c>
      <c r="D79" s="410"/>
      <c r="E79" s="410"/>
      <c r="F79" s="410"/>
      <c r="G79" s="410"/>
      <c r="H79" s="410"/>
      <c r="I79" s="410"/>
      <c r="J79" s="410"/>
      <c r="K79" s="442" t="s">
        <v>139</v>
      </c>
      <c r="L79" s="410" t="s">
        <v>262</v>
      </c>
      <c r="M79" s="410"/>
      <c r="N79" s="410"/>
      <c r="O79" s="410"/>
      <c r="P79" s="410"/>
      <c r="Q79" s="410"/>
      <c r="R79" s="410"/>
      <c r="S79" s="440"/>
    </row>
    <row r="80" spans="8:8">
      <c r="B80" s="441"/>
      <c r="C80" s="410"/>
      <c r="D80" s="410"/>
      <c r="E80" s="410"/>
      <c r="F80" s="410"/>
      <c r="G80" s="410"/>
      <c r="H80" s="410"/>
      <c r="I80" s="410"/>
      <c r="J80" s="410"/>
      <c r="K80" s="442"/>
      <c r="L80" s="410"/>
      <c r="M80" s="410"/>
      <c r="N80" s="410"/>
      <c r="O80" s="410"/>
      <c r="P80" s="410"/>
      <c r="Q80" s="410"/>
      <c r="R80" s="410"/>
      <c r="S80" s="440"/>
    </row>
    <row r="81" spans="8:8">
      <c r="B81" s="436" t="s">
        <v>197</v>
      </c>
      <c r="C81" s="410" t="s">
        <v>263</v>
      </c>
      <c r="D81" s="410"/>
      <c r="E81" s="437" t="s">
        <v>199</v>
      </c>
      <c r="F81" s="410" t="s">
        <v>254</v>
      </c>
      <c r="G81" s="410"/>
      <c r="H81" s="438" t="s">
        <v>200</v>
      </c>
      <c r="I81" s="410" t="s">
        <v>220</v>
      </c>
      <c r="J81" s="410"/>
      <c r="K81" s="439" t="s">
        <v>197</v>
      </c>
      <c r="L81" s="410" t="s">
        <v>264</v>
      </c>
      <c r="M81" s="410"/>
      <c r="N81" s="437" t="s">
        <v>199</v>
      </c>
      <c r="O81" s="410" t="s">
        <v>254</v>
      </c>
      <c r="P81" s="410"/>
      <c r="Q81" s="438" t="s">
        <v>200</v>
      </c>
      <c r="R81" s="410" t="s">
        <v>220</v>
      </c>
      <c r="S81" s="440"/>
    </row>
    <row r="82" spans="8:8">
      <c r="B82" s="441" t="s">
        <v>139</v>
      </c>
      <c r="C82" s="410" t="s">
        <v>265</v>
      </c>
      <c r="D82" s="410"/>
      <c r="E82" s="410"/>
      <c r="F82" s="410"/>
      <c r="G82" s="410"/>
      <c r="H82" s="410"/>
      <c r="I82" s="410"/>
      <c r="J82" s="410"/>
      <c r="K82" s="442" t="s">
        <v>139</v>
      </c>
      <c r="L82" s="410" t="s">
        <v>266</v>
      </c>
      <c r="M82" s="410"/>
      <c r="N82" s="410"/>
      <c r="O82" s="410"/>
      <c r="P82" s="410"/>
      <c r="Q82" s="410"/>
      <c r="R82" s="410"/>
      <c r="S82" s="440"/>
    </row>
    <row r="83" spans="8:8">
      <c r="B83" s="441"/>
      <c r="C83" s="410"/>
      <c r="D83" s="410"/>
      <c r="E83" s="410"/>
      <c r="F83" s="410"/>
      <c r="G83" s="410"/>
      <c r="H83" s="410"/>
      <c r="I83" s="410"/>
      <c r="J83" s="410"/>
      <c r="K83" s="442"/>
      <c r="L83" s="410"/>
      <c r="M83" s="410"/>
      <c r="N83" s="410"/>
      <c r="O83" s="410"/>
      <c r="P83" s="410"/>
      <c r="Q83" s="410"/>
      <c r="R83" s="410"/>
      <c r="S83" s="440"/>
    </row>
    <row r="84" spans="8:8">
      <c r="B84" s="436" t="s">
        <v>197</v>
      </c>
      <c r="C84" s="410" t="s">
        <v>267</v>
      </c>
      <c r="D84" s="410"/>
      <c r="E84" s="437" t="s">
        <v>199</v>
      </c>
      <c r="F84" s="410" t="s">
        <v>260</v>
      </c>
      <c r="G84" s="410"/>
      <c r="H84" s="438" t="s">
        <v>200</v>
      </c>
      <c r="I84" s="410" t="s">
        <v>81</v>
      </c>
      <c r="J84" s="410"/>
      <c r="K84" s="439" t="s">
        <v>197</v>
      </c>
      <c r="L84" s="410" t="s">
        <v>268</v>
      </c>
      <c r="M84" s="410"/>
      <c r="N84" s="437" t="s">
        <v>199</v>
      </c>
      <c r="O84" s="410" t="s">
        <v>251</v>
      </c>
      <c r="P84" s="410"/>
      <c r="Q84" s="438" t="s">
        <v>200</v>
      </c>
      <c r="R84" s="410" t="s">
        <v>90</v>
      </c>
      <c r="S84" s="440"/>
    </row>
    <row r="85" spans="8:8">
      <c r="B85" s="441" t="s">
        <v>139</v>
      </c>
      <c r="C85" s="443" t="s">
        <v>269</v>
      </c>
      <c r="D85" s="444"/>
      <c r="E85" s="444"/>
      <c r="F85" s="444"/>
      <c r="G85" s="444"/>
      <c r="H85" s="444"/>
      <c r="I85" s="444"/>
      <c r="J85" s="445"/>
      <c r="K85" s="442" t="s">
        <v>139</v>
      </c>
      <c r="L85" s="443" t="s">
        <v>270</v>
      </c>
      <c r="M85" s="444"/>
      <c r="N85" s="444"/>
      <c r="O85" s="444"/>
      <c r="P85" s="444"/>
      <c r="Q85" s="444"/>
      <c r="R85" s="444"/>
      <c r="S85" s="446"/>
    </row>
    <row r="86" spans="8:8">
      <c r="B86" s="441"/>
      <c r="C86" s="447"/>
      <c r="D86" s="448"/>
      <c r="E86" s="448"/>
      <c r="F86" s="448"/>
      <c r="G86" s="448"/>
      <c r="H86" s="448"/>
      <c r="I86" s="448"/>
      <c r="J86" s="449"/>
      <c r="K86" s="442"/>
      <c r="L86" s="447"/>
      <c r="M86" s="448"/>
      <c r="N86" s="448"/>
      <c r="O86" s="448"/>
      <c r="P86" s="448"/>
      <c r="Q86" s="448"/>
      <c r="R86" s="448"/>
      <c r="S86" s="450"/>
    </row>
    <row r="87" spans="8:8">
      <c r="B87" s="441"/>
      <c r="C87" s="447"/>
      <c r="D87" s="448"/>
      <c r="E87" s="448"/>
      <c r="F87" s="448"/>
      <c r="G87" s="448"/>
      <c r="H87" s="448"/>
      <c r="I87" s="448"/>
      <c r="J87" s="449"/>
      <c r="K87" s="442"/>
      <c r="L87" s="447"/>
      <c r="M87" s="448"/>
      <c r="N87" s="448"/>
      <c r="O87" s="448"/>
      <c r="P87" s="448"/>
      <c r="Q87" s="448"/>
      <c r="R87" s="448"/>
      <c r="S87" s="450"/>
    </row>
    <row r="88" spans="8:8">
      <c r="B88" s="441"/>
      <c r="C88" s="451"/>
      <c r="D88" s="452"/>
      <c r="E88" s="452"/>
      <c r="F88" s="452"/>
      <c r="G88" s="452"/>
      <c r="H88" s="452"/>
      <c r="I88" s="452"/>
      <c r="J88" s="453"/>
      <c r="K88" s="442"/>
      <c r="L88" s="451"/>
      <c r="M88" s="452"/>
      <c r="N88" s="452"/>
      <c r="O88" s="452"/>
      <c r="P88" s="452"/>
      <c r="Q88" s="452"/>
      <c r="R88" s="452"/>
      <c r="S88" s="454"/>
    </row>
    <row r="89" spans="8:8">
      <c r="B89" s="436" t="s">
        <v>197</v>
      </c>
      <c r="C89" s="410" t="s">
        <v>271</v>
      </c>
      <c r="D89" s="410"/>
      <c r="E89" s="437" t="s">
        <v>199</v>
      </c>
      <c r="F89" s="410" t="s">
        <v>254</v>
      </c>
      <c r="G89" s="410"/>
      <c r="H89" s="438" t="s">
        <v>200</v>
      </c>
      <c r="I89" s="410" t="s">
        <v>90</v>
      </c>
      <c r="J89" s="410"/>
      <c r="K89" s="439" t="s">
        <v>197</v>
      </c>
      <c r="L89" s="410" t="s">
        <v>272</v>
      </c>
      <c r="M89" s="410"/>
      <c r="N89" s="437" t="s">
        <v>199</v>
      </c>
      <c r="O89" s="410" t="s">
        <v>260</v>
      </c>
      <c r="P89" s="410"/>
      <c r="Q89" s="438" t="s">
        <v>200</v>
      </c>
      <c r="R89" s="410" t="s">
        <v>273</v>
      </c>
      <c r="S89" s="440"/>
    </row>
    <row r="90" spans="8:8">
      <c r="B90" s="441" t="s">
        <v>139</v>
      </c>
      <c r="C90" s="443" t="s">
        <v>274</v>
      </c>
      <c r="D90" s="444"/>
      <c r="E90" s="444"/>
      <c r="F90" s="444"/>
      <c r="G90" s="444"/>
      <c r="H90" s="444"/>
      <c r="I90" s="444"/>
      <c r="J90" s="445"/>
      <c r="K90" s="442" t="s">
        <v>139</v>
      </c>
      <c r="L90" s="410" t="s">
        <v>275</v>
      </c>
      <c r="M90" s="410"/>
      <c r="N90" s="410"/>
      <c r="O90" s="410"/>
      <c r="P90" s="410"/>
      <c r="Q90" s="410"/>
      <c r="R90" s="410"/>
      <c r="S90" s="440"/>
    </row>
    <row r="91" spans="8:8">
      <c r="B91" s="441"/>
      <c r="C91" s="447"/>
      <c r="D91" s="448"/>
      <c r="E91" s="448"/>
      <c r="F91" s="448"/>
      <c r="G91" s="448"/>
      <c r="H91" s="448"/>
      <c r="I91" s="448"/>
      <c r="J91" s="449"/>
      <c r="K91" s="442"/>
      <c r="L91" s="410"/>
      <c r="M91" s="410"/>
      <c r="N91" s="410"/>
      <c r="O91" s="410"/>
      <c r="P91" s="410"/>
      <c r="Q91" s="410"/>
      <c r="R91" s="410"/>
      <c r="S91" s="440"/>
    </row>
    <row r="92" spans="8:8">
      <c r="B92" s="441"/>
      <c r="C92" s="447"/>
      <c r="D92" s="448"/>
      <c r="E92" s="448"/>
      <c r="F92" s="448"/>
      <c r="G92" s="448"/>
      <c r="H92" s="448"/>
      <c r="I92" s="448"/>
      <c r="J92" s="449"/>
      <c r="K92" s="442"/>
      <c r="L92" s="410"/>
      <c r="M92" s="410"/>
      <c r="N92" s="410"/>
      <c r="O92" s="410"/>
      <c r="P92" s="410"/>
      <c r="Q92" s="410"/>
      <c r="R92" s="410"/>
      <c r="S92" s="440"/>
    </row>
    <row r="93" spans="8:8">
      <c r="B93" s="441"/>
      <c r="C93" s="451"/>
      <c r="D93" s="452"/>
      <c r="E93" s="452"/>
      <c r="F93" s="452"/>
      <c r="G93" s="452"/>
      <c r="H93" s="452"/>
      <c r="I93" s="452"/>
      <c r="J93" s="453"/>
      <c r="K93" s="442"/>
      <c r="L93" s="410"/>
      <c r="M93" s="410"/>
      <c r="N93" s="410"/>
      <c r="O93" s="410"/>
      <c r="P93" s="410"/>
      <c r="Q93" s="410"/>
      <c r="R93" s="410"/>
      <c r="S93" s="440"/>
    </row>
    <row r="94" spans="8:8">
      <c r="B94" s="436" t="s">
        <v>197</v>
      </c>
      <c r="C94" s="410" t="s">
        <v>276</v>
      </c>
      <c r="D94" s="410"/>
      <c r="E94" s="437" t="s">
        <v>199</v>
      </c>
      <c r="F94" s="410" t="s">
        <v>254</v>
      </c>
      <c r="G94" s="410"/>
      <c r="H94" s="438" t="s">
        <v>200</v>
      </c>
      <c r="I94" s="410" t="s">
        <v>211</v>
      </c>
      <c r="J94" s="410"/>
      <c r="K94" s="442"/>
      <c r="L94" s="410"/>
      <c r="M94" s="410"/>
      <c r="N94" s="410"/>
      <c r="O94" s="410"/>
      <c r="P94" s="410"/>
      <c r="Q94" s="410"/>
      <c r="R94" s="410"/>
      <c r="S94" s="440"/>
    </row>
    <row r="95" spans="8:8">
      <c r="B95" s="441" t="s">
        <v>139</v>
      </c>
      <c r="C95" s="410" t="s">
        <v>277</v>
      </c>
      <c r="D95" s="410"/>
      <c r="E95" s="410"/>
      <c r="F95" s="410"/>
      <c r="G95" s="410"/>
      <c r="H95" s="410"/>
      <c r="I95" s="410"/>
      <c r="J95" s="410"/>
      <c r="K95" s="442"/>
      <c r="L95" s="410"/>
      <c r="M95" s="410"/>
      <c r="N95" s="410"/>
      <c r="O95" s="410"/>
      <c r="P95" s="410"/>
      <c r="Q95" s="410"/>
      <c r="R95" s="410"/>
      <c r="S95" s="440"/>
    </row>
    <row r="96" spans="8:8">
      <c r="B96" s="441"/>
      <c r="C96" s="410"/>
      <c r="D96" s="410"/>
      <c r="E96" s="410"/>
      <c r="F96" s="410"/>
      <c r="G96" s="410"/>
      <c r="H96" s="410"/>
      <c r="I96" s="410"/>
      <c r="J96" s="410"/>
      <c r="K96" s="439" t="s">
        <v>197</v>
      </c>
      <c r="L96" s="410" t="s">
        <v>278</v>
      </c>
      <c r="M96" s="410"/>
      <c r="N96" s="437" t="s">
        <v>199</v>
      </c>
      <c r="O96" s="410" t="s">
        <v>254</v>
      </c>
      <c r="P96" s="410"/>
      <c r="Q96" s="438" t="s">
        <v>200</v>
      </c>
      <c r="R96" s="410" t="s">
        <v>90</v>
      </c>
      <c r="S96" s="440"/>
    </row>
    <row r="97" spans="8:8">
      <c r="B97" s="436" t="s">
        <v>197</v>
      </c>
      <c r="C97" s="410" t="s">
        <v>279</v>
      </c>
      <c r="D97" s="410"/>
      <c r="E97" s="437" t="s">
        <v>199</v>
      </c>
      <c r="F97" s="410" t="s">
        <v>254</v>
      </c>
      <c r="G97" s="410"/>
      <c r="H97" s="438" t="s">
        <v>200</v>
      </c>
      <c r="I97" s="410" t="s">
        <v>280</v>
      </c>
      <c r="J97" s="410"/>
      <c r="K97" s="442" t="s">
        <v>139</v>
      </c>
      <c r="L97" s="410" t="s">
        <v>281</v>
      </c>
      <c r="M97" s="410"/>
      <c r="N97" s="410"/>
      <c r="O97" s="410"/>
      <c r="P97" s="410"/>
      <c r="Q97" s="410"/>
      <c r="R97" s="410"/>
      <c r="S97" s="440"/>
    </row>
    <row r="98" spans="8:8">
      <c r="B98" s="441" t="s">
        <v>139</v>
      </c>
      <c r="C98" s="410" t="s">
        <v>282</v>
      </c>
      <c r="D98" s="410"/>
      <c r="E98" s="410"/>
      <c r="F98" s="410"/>
      <c r="G98" s="410"/>
      <c r="H98" s="410"/>
      <c r="I98" s="410"/>
      <c r="J98" s="410"/>
      <c r="K98" s="442"/>
      <c r="L98" s="410"/>
      <c r="M98" s="410"/>
      <c r="N98" s="410"/>
      <c r="O98" s="410"/>
      <c r="P98" s="410"/>
      <c r="Q98" s="410"/>
      <c r="R98" s="410"/>
      <c r="S98" s="440"/>
    </row>
    <row r="99" spans="8:8">
      <c r="B99" s="441"/>
      <c r="C99" s="410"/>
      <c r="D99" s="410"/>
      <c r="E99" s="410"/>
      <c r="F99" s="410"/>
      <c r="G99" s="410"/>
      <c r="H99" s="410"/>
      <c r="I99" s="410"/>
      <c r="J99" s="410"/>
      <c r="K99" s="442"/>
      <c r="L99" s="410"/>
      <c r="M99" s="410"/>
      <c r="N99" s="410"/>
      <c r="O99" s="410"/>
      <c r="P99" s="410"/>
      <c r="Q99" s="410"/>
      <c r="R99" s="410"/>
      <c r="S99" s="440"/>
    </row>
    <row r="100" spans="8:8">
      <c r="B100" s="441"/>
      <c r="C100" s="410"/>
      <c r="D100" s="410"/>
      <c r="E100" s="410"/>
      <c r="F100" s="410"/>
      <c r="G100" s="410"/>
      <c r="H100" s="410"/>
      <c r="I100" s="410"/>
      <c r="J100" s="410"/>
      <c r="K100" s="442"/>
      <c r="L100" s="410"/>
      <c r="M100" s="410"/>
      <c r="N100" s="410"/>
      <c r="O100" s="410"/>
      <c r="P100" s="410"/>
      <c r="Q100" s="410"/>
      <c r="R100" s="410"/>
      <c r="S100" s="440"/>
    </row>
    <row r="101" spans="8:8">
      <c r="B101" s="441"/>
      <c r="C101" s="410"/>
      <c r="D101" s="410"/>
      <c r="E101" s="410"/>
      <c r="F101" s="410"/>
      <c r="G101" s="410"/>
      <c r="H101" s="410"/>
      <c r="I101" s="410"/>
      <c r="J101" s="410"/>
      <c r="K101" s="439" t="s">
        <v>197</v>
      </c>
      <c r="L101" s="410" t="s">
        <v>283</v>
      </c>
      <c r="M101" s="410"/>
      <c r="N101" s="437" t="s">
        <v>199</v>
      </c>
      <c r="O101" s="410" t="s">
        <v>254</v>
      </c>
      <c r="P101" s="410"/>
      <c r="Q101" s="438" t="s">
        <v>200</v>
      </c>
      <c r="R101" s="410" t="s">
        <v>90</v>
      </c>
      <c r="S101" s="440"/>
    </row>
    <row r="102" spans="8:8">
      <c r="B102" s="441" t="s">
        <v>205</v>
      </c>
      <c r="C102" s="410" t="s">
        <v>284</v>
      </c>
      <c r="D102" s="410"/>
      <c r="E102" s="410"/>
      <c r="F102" s="410"/>
      <c r="G102" s="410"/>
      <c r="H102" s="410"/>
      <c r="I102" s="410"/>
      <c r="J102" s="410"/>
      <c r="K102" s="442" t="s">
        <v>139</v>
      </c>
      <c r="L102" s="410" t="s">
        <v>285</v>
      </c>
      <c r="M102" s="410"/>
      <c r="N102" s="410"/>
      <c r="O102" s="410"/>
      <c r="P102" s="410"/>
      <c r="Q102" s="410"/>
      <c r="R102" s="410"/>
      <c r="S102" s="440"/>
    </row>
    <row r="103" spans="8:8">
      <c r="B103" s="455"/>
      <c r="C103" s="456"/>
      <c r="D103" s="456"/>
      <c r="E103" s="456"/>
      <c r="F103" s="456"/>
      <c r="G103" s="456"/>
      <c r="H103" s="456"/>
      <c r="I103" s="456"/>
      <c r="J103" s="456"/>
      <c r="K103" s="442"/>
      <c r="L103" s="410"/>
      <c r="M103" s="410"/>
      <c r="N103" s="410"/>
      <c r="O103" s="410"/>
      <c r="P103" s="410"/>
      <c r="Q103" s="410"/>
      <c r="R103" s="410"/>
      <c r="S103" s="440"/>
    </row>
    <row r="104" spans="8:8">
      <c r="K104" s="441"/>
      <c r="L104" s="410"/>
      <c r="M104" s="410"/>
      <c r="N104" s="410"/>
      <c r="O104" s="410"/>
      <c r="P104" s="410"/>
      <c r="Q104" s="410"/>
      <c r="R104" s="410"/>
      <c r="S104" s="440"/>
    </row>
    <row r="105" spans="8:8">
      <c r="K105" s="455"/>
      <c r="L105" s="456"/>
      <c r="M105" s="456"/>
      <c r="N105" s="456"/>
      <c r="O105" s="456"/>
      <c r="P105" s="456"/>
      <c r="Q105" s="456"/>
      <c r="R105" s="456"/>
      <c r="S105" s="457"/>
    </row>
  </sheetData>
  <mergeCells count="189">
    <mergeCell ref="R96:S96"/>
    <mergeCell ref="C76:J77"/>
    <mergeCell ref="B90:B93"/>
    <mergeCell ref="F84:G84"/>
    <mergeCell ref="F94:G94"/>
    <mergeCell ref="F89:G89"/>
    <mergeCell ref="C102:J103"/>
    <mergeCell ref="K51:K54"/>
    <mergeCell ref="J6:S6"/>
    <mergeCell ref="I30:J30"/>
    <mergeCell ref="R55:S55"/>
    <mergeCell ref="L56:S57"/>
    <mergeCell ref="O55:P55"/>
    <mergeCell ref="B40:B41"/>
    <mergeCell ref="O27:P27"/>
    <mergeCell ref="B2:C2"/>
    <mergeCell ref="B31:B32"/>
    <mergeCell ref="C25:J25"/>
    <mergeCell ref="F22:G22"/>
    <mergeCell ref="C30:D30"/>
    <mergeCell ref="C40:J41"/>
    <mergeCell ref="O101:P101"/>
    <mergeCell ref="K74:S74"/>
    <mergeCell ref="B85:B88"/>
    <mergeCell ref="J2:S2"/>
    <mergeCell ref="L47:M47"/>
    <mergeCell ref="L33:M33"/>
    <mergeCell ref="J14:S14"/>
    <mergeCell ref="J5:S5"/>
    <mergeCell ref="K23:K26"/>
    <mergeCell ref="R33:S33"/>
    <mergeCell ref="R22:S22"/>
    <mergeCell ref="C48:J48"/>
    <mergeCell ref="B95:B96"/>
    <mergeCell ref="K79:K80"/>
    <mergeCell ref="I81:J81"/>
    <mergeCell ref="C75:D75"/>
    <mergeCell ref="K102:K105"/>
    <mergeCell ref="C49:J49"/>
    <mergeCell ref="B55:B56"/>
    <mergeCell ref="L81:M81"/>
    <mergeCell ref="J9:S9"/>
    <mergeCell ref="C36:J37"/>
    <mergeCell ref="B27:B28"/>
    <mergeCell ref="J13:S13"/>
    <mergeCell ref="F97:G97"/>
    <mergeCell ref="L79:S80"/>
    <mergeCell ref="I75:J75"/>
    <mergeCell ref="L101:M101"/>
    <mergeCell ref="I84:J84"/>
    <mergeCell ref="L84:M84"/>
    <mergeCell ref="O78:P78"/>
    <mergeCell ref="L102:S105"/>
    <mergeCell ref="C44:J47"/>
    <mergeCell ref="R27:S27"/>
    <mergeCell ref="C22:D22"/>
    <mergeCell ref="B34:J34"/>
    <mergeCell ref="L43:S46"/>
    <mergeCell ref="C26:D26"/>
    <mergeCell ref="O22:P22"/>
    <mergeCell ref="L48:S49"/>
    <mergeCell ref="C50:J50"/>
    <mergeCell ref="L90:S95"/>
    <mergeCell ref="C82:J83"/>
    <mergeCell ref="K76:K77"/>
    <mergeCell ref="K82:K83"/>
    <mergeCell ref="R84:S84"/>
    <mergeCell ref="C51:J52"/>
    <mergeCell ref="B74:J74"/>
    <mergeCell ref="O89:P89"/>
    <mergeCell ref="I94:J94"/>
    <mergeCell ref="R81:S81"/>
    <mergeCell ref="C81:D81"/>
    <mergeCell ref="C79:J80"/>
    <mergeCell ref="C89:D89"/>
    <mergeCell ref="C90:J93"/>
    <mergeCell ref="B20:S20"/>
    <mergeCell ref="L42:M42"/>
    <mergeCell ref="K28:K31"/>
    <mergeCell ref="C29:J29"/>
    <mergeCell ref="C33:J33"/>
    <mergeCell ref="C23:J24"/>
    <mergeCell ref="D17:I17"/>
    <mergeCell ref="L97:S100"/>
    <mergeCell ref="B76:B77"/>
    <mergeCell ref="F75:G75"/>
    <mergeCell ref="O36:P36"/>
    <mergeCell ref="D2:I2"/>
    <mergeCell ref="K21:S21"/>
    <mergeCell ref="L36:M36"/>
    <mergeCell ref="R42:S42"/>
    <mergeCell ref="C97:D97"/>
    <mergeCell ref="L82:S83"/>
    <mergeCell ref="F78:G78"/>
    <mergeCell ref="B82:B83"/>
    <mergeCell ref="C98:J101"/>
    <mergeCell ref="J12:S12"/>
    <mergeCell ref="K48:K49"/>
    <mergeCell ref="I35:J35"/>
    <mergeCell ref="K59:S59"/>
    <mergeCell ref="I54:J54"/>
    <mergeCell ref="L51:S54"/>
    <mergeCell ref="J4:S4"/>
    <mergeCell ref="B36:B37"/>
    <mergeCell ref="C31:J32"/>
    <mergeCell ref="C38:J38"/>
    <mergeCell ref="B21:J21"/>
    <mergeCell ref="C27:J28"/>
    <mergeCell ref="K32:S32"/>
    <mergeCell ref="B19:S19"/>
    <mergeCell ref="J8:S8"/>
    <mergeCell ref="I22:J22"/>
    <mergeCell ref="L22:M22"/>
    <mergeCell ref="I26:J26"/>
    <mergeCell ref="C54:D54"/>
    <mergeCell ref="C55:J56"/>
    <mergeCell ref="B73:S73"/>
    <mergeCell ref="C94:D94"/>
    <mergeCell ref="K90:K95"/>
    <mergeCell ref="L75:M75"/>
    <mergeCell ref="R75:S75"/>
    <mergeCell ref="J7:S7"/>
    <mergeCell ref="F35:G35"/>
    <mergeCell ref="R36:S36"/>
    <mergeCell ref="C78:D78"/>
    <mergeCell ref="O84:P84"/>
    <mergeCell ref="C85:J88"/>
    <mergeCell ref="O75:P75"/>
    <mergeCell ref="L78:M78"/>
    <mergeCell ref="O81:P81"/>
    <mergeCell ref="L85:S88"/>
    <mergeCell ref="R101:S101"/>
    <mergeCell ref="C57:J57"/>
    <mergeCell ref="L89:M89"/>
    <mergeCell ref="C95:J96"/>
    <mergeCell ref="B79:B80"/>
    <mergeCell ref="F54:G54"/>
    <mergeCell ref="B44:B47"/>
    <mergeCell ref="C39:D39"/>
    <mergeCell ref="R47:S47"/>
    <mergeCell ref="J11:S11"/>
    <mergeCell ref="L23:S26"/>
    <mergeCell ref="K56:K57"/>
    <mergeCell ref="R50:S50"/>
    <mergeCell ref="J10:S10"/>
    <mergeCell ref="I39:J39"/>
    <mergeCell ref="F26:G26"/>
    <mergeCell ref="F43:G43"/>
    <mergeCell ref="L27:M27"/>
    <mergeCell ref="O50:P50"/>
    <mergeCell ref="K37:K40"/>
    <mergeCell ref="K43:K46"/>
    <mergeCell ref="O47:P47"/>
    <mergeCell ref="I78:J78"/>
    <mergeCell ref="K85:K88"/>
    <mergeCell ref="F39:G39"/>
    <mergeCell ref="J15:S15"/>
    <mergeCell ref="L34:S35"/>
    <mergeCell ref="L28:S31"/>
    <mergeCell ref="J17:S17"/>
    <mergeCell ref="K34:K35"/>
    <mergeCell ref="C35:D35"/>
    <mergeCell ref="C43:D43"/>
    <mergeCell ref="O96:P96"/>
    <mergeCell ref="C84:D84"/>
    <mergeCell ref="L76:S77"/>
    <mergeCell ref="K97:K100"/>
    <mergeCell ref="B98:B101"/>
    <mergeCell ref="B102:B103"/>
    <mergeCell ref="R78:S78"/>
    <mergeCell ref="I97:J97"/>
    <mergeCell ref="F81:G81"/>
    <mergeCell ref="R89:S89"/>
    <mergeCell ref="I89:J89"/>
    <mergeCell ref="L96:M96"/>
    <mergeCell ref="B23:B24"/>
    <mergeCell ref="C42:J42"/>
    <mergeCell ref="O33:P33"/>
    <mergeCell ref="B53:J53"/>
    <mergeCell ref="L55:M55"/>
    <mergeCell ref="B51:B52"/>
    <mergeCell ref="J3:S3"/>
    <mergeCell ref="L50:M50"/>
    <mergeCell ref="F30:G30"/>
    <mergeCell ref="L41:S41"/>
    <mergeCell ref="O42:P42"/>
    <mergeCell ref="I43:J43"/>
    <mergeCell ref="J16:S16"/>
    <mergeCell ref="L37:S40"/>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BG75"/>
  <sheetViews>
    <sheetView workbookViewId="0">
      <pane ySplit="2" topLeftCell="A65" state="frozen" activePane="bottomLeft"/>
      <selection pane="bottomLeft" activeCell="A75" sqref="A75"/>
    </sheetView>
  </sheetViews>
  <sheetFormatPr defaultRowHeight="17.4" customHeight="1" defaultColWidth="10"/>
  <cols>
    <col min="1" max="16384" customWidth="0" width="8.832031" style="458"/>
  </cols>
  <sheetData>
    <row r="1" spans="8:8" ht="17.4" customHeight="1">
      <c r="A1" s="459" t="s">
        <v>286</v>
      </c>
      <c r="B1" s="459"/>
      <c r="C1" s="459"/>
      <c r="D1" s="459"/>
      <c r="E1" s="459"/>
      <c r="F1" s="459"/>
      <c r="G1" s="459"/>
      <c r="H1" s="459"/>
      <c r="I1" s="460" t="s">
        <v>287</v>
      </c>
      <c r="J1" s="460"/>
      <c r="K1" s="460"/>
      <c r="L1" s="460"/>
      <c r="M1" s="460"/>
      <c r="N1" s="460"/>
      <c r="O1" s="460"/>
      <c r="P1" s="460"/>
    </row>
    <row r="2" spans="8:8" ht="17.4" customHeight="1">
      <c r="A2" s="461" t="s">
        <v>69</v>
      </c>
      <c r="B2" s="461" t="s">
        <v>76</v>
      </c>
      <c r="C2" s="461" t="s">
        <v>288</v>
      </c>
      <c r="D2" s="461" t="s">
        <v>54</v>
      </c>
      <c r="E2" s="461" t="s">
        <v>72</v>
      </c>
      <c r="F2" s="461" t="s">
        <v>78</v>
      </c>
      <c r="G2" s="461" t="s">
        <v>289</v>
      </c>
      <c r="H2" s="461" t="s">
        <v>83</v>
      </c>
      <c r="I2" s="462" t="s">
        <v>69</v>
      </c>
      <c r="J2" s="462" t="s">
        <v>76</v>
      </c>
      <c r="K2" s="462" t="s">
        <v>288</v>
      </c>
      <c r="L2" s="462" t="s">
        <v>54</v>
      </c>
      <c r="M2" s="462" t="s">
        <v>72</v>
      </c>
      <c r="N2" s="462" t="s">
        <v>78</v>
      </c>
      <c r="O2" s="462" t="s">
        <v>289</v>
      </c>
      <c r="P2" s="462" t="s">
        <v>83</v>
      </c>
    </row>
    <row r="3" spans="8:8" ht="17.4" customHeight="1">
      <c r="A3" s="458" t="s">
        <v>70</v>
      </c>
      <c r="B3" s="458" t="s">
        <v>77</v>
      </c>
      <c r="C3" s="458" t="s">
        <v>290</v>
      </c>
      <c r="D3" s="458" t="s">
        <v>147</v>
      </c>
      <c r="E3" s="458">
        <v>1.0</v>
      </c>
      <c r="F3" s="458">
        <v>1.0</v>
      </c>
      <c r="G3" s="458">
        <v>1.0</v>
      </c>
      <c r="H3" s="463" t="s">
        <v>291</v>
      </c>
    </row>
    <row r="4" spans="8:8" ht="17.4" customHeight="1">
      <c r="A4" s="458" t="s">
        <v>70</v>
      </c>
      <c r="B4" s="458" t="s">
        <v>77</v>
      </c>
      <c r="C4" s="458" t="s">
        <v>290</v>
      </c>
      <c r="D4" s="458" t="s">
        <v>149</v>
      </c>
      <c r="E4" s="458">
        <v>2.0</v>
      </c>
      <c r="F4" s="458">
        <v>1.0</v>
      </c>
      <c r="G4" s="458">
        <v>1.0</v>
      </c>
      <c r="H4" s="463" t="s">
        <v>291</v>
      </c>
    </row>
    <row r="5" spans="8:8" ht="17.4" customHeight="1">
      <c r="A5" s="458" t="s">
        <v>70</v>
      </c>
      <c r="B5" s="458" t="s">
        <v>77</v>
      </c>
      <c r="C5" s="458" t="s">
        <v>290</v>
      </c>
      <c r="D5" s="458" t="s">
        <v>74</v>
      </c>
      <c r="E5" s="458">
        <v>3.0</v>
      </c>
      <c r="F5" s="458">
        <v>1.0</v>
      </c>
      <c r="G5" s="458">
        <v>1.0</v>
      </c>
      <c r="H5" s="463" t="s">
        <v>291</v>
      </c>
    </row>
    <row r="6" spans="8:8" ht="17.4" customHeight="1">
      <c r="A6" s="458" t="s">
        <v>70</v>
      </c>
      <c r="B6" s="458" t="s">
        <v>77</v>
      </c>
      <c r="C6" s="458" t="s">
        <v>290</v>
      </c>
      <c r="D6" s="458" t="s">
        <v>152</v>
      </c>
      <c r="E6" s="458">
        <v>4.0</v>
      </c>
      <c r="F6" s="458">
        <v>1.0</v>
      </c>
      <c r="G6" s="458">
        <v>1.0</v>
      </c>
      <c r="H6" s="463" t="s">
        <v>291</v>
      </c>
    </row>
    <row r="7" spans="8:8" ht="17.4" customHeight="1">
      <c r="A7" s="458" t="s">
        <v>70</v>
      </c>
      <c r="B7" s="458" t="s">
        <v>77</v>
      </c>
      <c r="C7" s="458" t="s">
        <v>290</v>
      </c>
      <c r="D7" s="458" t="s">
        <v>88</v>
      </c>
      <c r="E7" s="458">
        <v>5.0</v>
      </c>
      <c r="F7" s="458">
        <v>1.0</v>
      </c>
      <c r="G7" s="458">
        <v>1.0</v>
      </c>
      <c r="H7" s="463" t="s">
        <v>291</v>
      </c>
    </row>
    <row r="8" spans="8:8" ht="17.4" customHeight="1">
      <c r="A8" s="458" t="s">
        <v>292</v>
      </c>
      <c r="B8" s="458" t="s">
        <v>77</v>
      </c>
      <c r="C8" s="458" t="s">
        <v>81</v>
      </c>
      <c r="D8" s="458" t="s">
        <v>147</v>
      </c>
      <c r="E8" s="458">
        <v>1.0</v>
      </c>
      <c r="F8" s="458">
        <v>0.0</v>
      </c>
      <c r="G8" s="458">
        <v>0.0</v>
      </c>
      <c r="H8" s="458" t="s">
        <v>293</v>
      </c>
    </row>
    <row r="9" spans="8:8" ht="17.4" customHeight="1">
      <c r="A9" s="458" t="s">
        <v>292</v>
      </c>
      <c r="B9" s="458" t="s">
        <v>77</v>
      </c>
      <c r="C9" s="458" t="s">
        <v>81</v>
      </c>
      <c r="D9" s="458" t="s">
        <v>149</v>
      </c>
      <c r="E9" s="458">
        <v>2.0</v>
      </c>
      <c r="F9" s="458">
        <v>0.0</v>
      </c>
      <c r="G9" s="458">
        <v>0.0</v>
      </c>
      <c r="H9" s="458" t="s">
        <v>294</v>
      </c>
    </row>
    <row r="10" spans="8:8" ht="17.4" customHeight="1">
      <c r="A10" s="458" t="s">
        <v>292</v>
      </c>
      <c r="B10" s="458" t="s">
        <v>77</v>
      </c>
      <c r="C10" s="458" t="s">
        <v>81</v>
      </c>
      <c r="D10" s="458" t="s">
        <v>74</v>
      </c>
      <c r="E10" s="458">
        <v>3.0</v>
      </c>
      <c r="F10" s="458">
        <v>0.0</v>
      </c>
      <c r="G10" s="458">
        <v>0.0</v>
      </c>
      <c r="H10" s="458" t="s">
        <v>295</v>
      </c>
    </row>
    <row r="11" spans="8:8" ht="17.4" customHeight="1">
      <c r="A11" s="458" t="s">
        <v>292</v>
      </c>
      <c r="B11" s="458" t="s">
        <v>77</v>
      </c>
      <c r="C11" s="458" t="s">
        <v>81</v>
      </c>
      <c r="D11" s="458" t="s">
        <v>152</v>
      </c>
      <c r="E11" s="458">
        <v>4.0</v>
      </c>
      <c r="F11" s="458">
        <v>0.0</v>
      </c>
      <c r="G11" s="458">
        <v>0.0</v>
      </c>
      <c r="H11" s="458" t="s">
        <v>296</v>
      </c>
    </row>
    <row r="12" spans="8:8" ht="17.4" customHeight="1">
      <c r="A12" s="458" t="s">
        <v>292</v>
      </c>
      <c r="B12" s="458" t="s">
        <v>77</v>
      </c>
      <c r="C12" s="458" t="s">
        <v>81</v>
      </c>
      <c r="D12" s="458" t="s">
        <v>88</v>
      </c>
      <c r="E12" s="458">
        <v>5.0</v>
      </c>
      <c r="F12" s="458">
        <v>0.0</v>
      </c>
      <c r="G12" s="458">
        <v>0.0</v>
      </c>
      <c r="H12" s="458" t="s">
        <v>297</v>
      </c>
    </row>
    <row r="13" spans="8:8" ht="17.4" customHeight="1">
      <c r="A13" s="458" t="s">
        <v>298</v>
      </c>
      <c r="B13" s="458" t="s">
        <v>77</v>
      </c>
      <c r="C13" s="458" t="s">
        <v>81</v>
      </c>
      <c r="D13" s="458" t="s">
        <v>147</v>
      </c>
      <c r="E13" s="458">
        <v>1.0</v>
      </c>
      <c r="F13" s="458">
        <v>0.0</v>
      </c>
      <c r="G13" s="458">
        <v>0.0</v>
      </c>
      <c r="H13" s="463" t="s">
        <v>299</v>
      </c>
    </row>
    <row r="14" spans="8:8" ht="17.4" customHeight="1">
      <c r="A14" s="458" t="s">
        <v>298</v>
      </c>
      <c r="B14" s="458" t="s">
        <v>77</v>
      </c>
      <c r="C14" s="458" t="s">
        <v>81</v>
      </c>
      <c r="D14" s="458" t="s">
        <v>149</v>
      </c>
      <c r="E14" s="458">
        <v>2.0</v>
      </c>
      <c r="F14" s="458">
        <v>0.0</v>
      </c>
      <c r="G14" s="458">
        <v>0.0</v>
      </c>
      <c r="H14" s="463" t="s">
        <v>300</v>
      </c>
    </row>
    <row r="15" spans="8:8" ht="17.4" customHeight="1">
      <c r="A15" s="458" t="s">
        <v>298</v>
      </c>
      <c r="B15" s="458" t="s">
        <v>77</v>
      </c>
      <c r="C15" s="458" t="s">
        <v>81</v>
      </c>
      <c r="D15" s="458" t="s">
        <v>74</v>
      </c>
      <c r="E15" s="458">
        <v>3.0</v>
      </c>
      <c r="F15" s="458">
        <v>0.0</v>
      </c>
      <c r="G15" s="458">
        <v>0.0</v>
      </c>
      <c r="H15" s="463" t="s">
        <v>301</v>
      </c>
    </row>
    <row r="16" spans="8:8" ht="17.4" customHeight="1">
      <c r="A16" s="458" t="s">
        <v>298</v>
      </c>
      <c r="B16" s="458" t="s">
        <v>77</v>
      </c>
      <c r="C16" s="458" t="s">
        <v>81</v>
      </c>
      <c r="D16" s="458" t="s">
        <v>152</v>
      </c>
      <c r="E16" s="458">
        <v>4.0</v>
      </c>
      <c r="F16" s="458">
        <v>0.0</v>
      </c>
      <c r="G16" s="458">
        <v>0.0</v>
      </c>
      <c r="H16" s="463" t="s">
        <v>302</v>
      </c>
    </row>
    <row r="17" spans="8:8" ht="17.4" customHeight="1">
      <c r="A17" s="458" t="s">
        <v>298</v>
      </c>
      <c r="B17" s="458" t="s">
        <v>77</v>
      </c>
      <c r="C17" s="458" t="s">
        <v>81</v>
      </c>
      <c r="D17" s="458" t="s">
        <v>88</v>
      </c>
      <c r="E17" s="458">
        <v>5.0</v>
      </c>
      <c r="F17" s="458">
        <v>0.0</v>
      </c>
      <c r="G17" s="458">
        <v>0.0</v>
      </c>
      <c r="H17" s="463" t="s">
        <v>303</v>
      </c>
    </row>
    <row r="18" spans="8:8" ht="17.4" customHeight="1">
      <c r="A18" s="458" t="s">
        <v>304</v>
      </c>
      <c r="B18" s="458" t="s">
        <v>305</v>
      </c>
      <c r="C18" s="458" t="s">
        <v>211</v>
      </c>
      <c r="D18" s="458" t="s">
        <v>147</v>
      </c>
      <c r="E18" s="458">
        <v>1.0</v>
      </c>
      <c r="F18" s="458">
        <v>20.0</v>
      </c>
      <c r="G18" s="458">
        <v>3.0</v>
      </c>
      <c r="H18" s="463" t="s">
        <v>306</v>
      </c>
    </row>
    <row r="19" spans="8:8" ht="17.4" customHeight="1">
      <c r="A19" s="458" t="s">
        <v>304</v>
      </c>
      <c r="B19" s="458" t="s">
        <v>305</v>
      </c>
      <c r="C19" s="458" t="s">
        <v>211</v>
      </c>
      <c r="D19" s="458" t="s">
        <v>149</v>
      </c>
      <c r="E19" s="458">
        <v>2.0</v>
      </c>
      <c r="F19" s="458">
        <v>20.0</v>
      </c>
      <c r="G19" s="458">
        <v>3.0</v>
      </c>
      <c r="H19" s="463" t="s">
        <v>307</v>
      </c>
    </row>
    <row r="20" spans="8:8" ht="17.4" customHeight="1">
      <c r="A20" s="458" t="s">
        <v>304</v>
      </c>
      <c r="B20" s="458" t="s">
        <v>305</v>
      </c>
      <c r="C20" s="458" t="s">
        <v>211</v>
      </c>
      <c r="D20" s="458" t="s">
        <v>74</v>
      </c>
      <c r="E20" s="458">
        <v>3.0</v>
      </c>
      <c r="F20" s="458">
        <v>20.0</v>
      </c>
      <c r="G20" s="458">
        <v>3.0</v>
      </c>
      <c r="H20" s="458" t="s">
        <v>308</v>
      </c>
    </row>
    <row r="21" spans="8:8" ht="17.4" customHeight="1">
      <c r="A21" s="458" t="s">
        <v>304</v>
      </c>
      <c r="B21" s="458" t="s">
        <v>305</v>
      </c>
      <c r="C21" s="458" t="s">
        <v>211</v>
      </c>
      <c r="D21" s="458" t="s">
        <v>152</v>
      </c>
      <c r="E21" s="458">
        <v>4.0</v>
      </c>
      <c r="F21" s="458">
        <v>20.0</v>
      </c>
      <c r="G21" s="458">
        <v>3.0</v>
      </c>
      <c r="H21" s="458" t="s">
        <v>309</v>
      </c>
    </row>
    <row r="22" spans="8:8" ht="17.4" customHeight="1">
      <c r="A22" s="458" t="s">
        <v>304</v>
      </c>
      <c r="B22" s="458" t="s">
        <v>305</v>
      </c>
      <c r="C22" s="458" t="s">
        <v>211</v>
      </c>
      <c r="D22" s="458" t="s">
        <v>88</v>
      </c>
      <c r="E22" s="458">
        <v>5.0</v>
      </c>
      <c r="F22" s="458">
        <v>20.0</v>
      </c>
      <c r="G22" s="458">
        <v>3.0</v>
      </c>
      <c r="H22" s="458" t="s">
        <v>310</v>
      </c>
    </row>
    <row r="23" spans="8:8" ht="17.4" customHeight="1">
      <c r="A23" s="458" t="s">
        <v>311</v>
      </c>
      <c r="B23" s="458" t="s">
        <v>305</v>
      </c>
      <c r="C23" s="458" t="s">
        <v>81</v>
      </c>
      <c r="D23" s="458" t="s">
        <v>147</v>
      </c>
      <c r="E23" s="458">
        <v>1.0</v>
      </c>
      <c r="F23" s="458">
        <v>0.0</v>
      </c>
      <c r="G23" s="458">
        <v>0.0</v>
      </c>
      <c r="H23" s="463" t="s">
        <v>312</v>
      </c>
    </row>
    <row r="24" spans="8:8" ht="17.4" customHeight="1">
      <c r="A24" s="458" t="s">
        <v>311</v>
      </c>
      <c r="B24" s="458" t="s">
        <v>305</v>
      </c>
      <c r="C24" s="458" t="s">
        <v>81</v>
      </c>
      <c r="D24" s="458" t="s">
        <v>149</v>
      </c>
      <c r="E24" s="458">
        <v>2.0</v>
      </c>
      <c r="F24" s="458">
        <v>0.0</v>
      </c>
      <c r="G24" s="458">
        <v>0.0</v>
      </c>
      <c r="H24" s="463" t="s">
        <v>313</v>
      </c>
    </row>
    <row r="25" spans="8:8" ht="17.4" customHeight="1">
      <c r="A25" s="458" t="s">
        <v>311</v>
      </c>
      <c r="B25" s="458" t="s">
        <v>305</v>
      </c>
      <c r="C25" s="458" t="s">
        <v>81</v>
      </c>
      <c r="D25" s="458" t="s">
        <v>74</v>
      </c>
      <c r="E25" s="458">
        <v>3.0</v>
      </c>
      <c r="F25" s="458">
        <v>0.0</v>
      </c>
      <c r="G25" s="458">
        <v>0.0</v>
      </c>
      <c r="H25" s="463" t="s">
        <v>314</v>
      </c>
    </row>
    <row r="26" spans="8:8" ht="17.4" customHeight="1">
      <c r="A26" s="458" t="s">
        <v>311</v>
      </c>
      <c r="B26" s="458" t="s">
        <v>305</v>
      </c>
      <c r="C26" s="458" t="s">
        <v>81</v>
      </c>
      <c r="D26" s="458" t="s">
        <v>152</v>
      </c>
      <c r="E26" s="458">
        <v>4.0</v>
      </c>
      <c r="F26" s="458">
        <v>0.0</v>
      </c>
      <c r="G26" s="458">
        <v>0.0</v>
      </c>
      <c r="H26" s="463" t="s">
        <v>315</v>
      </c>
    </row>
    <row r="27" spans="8:8" ht="17.4" customHeight="1">
      <c r="A27" s="458" t="s">
        <v>311</v>
      </c>
      <c r="B27" s="458" t="s">
        <v>305</v>
      </c>
      <c r="C27" s="458" t="s">
        <v>81</v>
      </c>
      <c r="D27" s="458" t="s">
        <v>88</v>
      </c>
      <c r="E27" s="458">
        <v>5.0</v>
      </c>
      <c r="F27" s="458">
        <v>0.0</v>
      </c>
      <c r="G27" s="458">
        <v>0.0</v>
      </c>
      <c r="H27" s="463" t="s">
        <v>316</v>
      </c>
    </row>
    <row r="28" spans="8:8" ht="17.4" customHeight="1">
      <c r="A28" s="458" t="s">
        <v>317</v>
      </c>
      <c r="B28" s="458" t="s">
        <v>77</v>
      </c>
      <c r="C28" s="458" t="s">
        <v>81</v>
      </c>
      <c r="D28" s="458" t="s">
        <v>147</v>
      </c>
      <c r="E28" s="458">
        <v>1.0</v>
      </c>
      <c r="F28" s="458">
        <v>0.0</v>
      </c>
      <c r="G28" s="458">
        <v>0.0</v>
      </c>
      <c r="H28" s="463" t="s">
        <v>318</v>
      </c>
    </row>
    <row r="29" spans="8:8" ht="17.4" customHeight="1">
      <c r="A29" s="458" t="s">
        <v>317</v>
      </c>
      <c r="B29" s="458" t="s">
        <v>77</v>
      </c>
      <c r="C29" s="458" t="s">
        <v>81</v>
      </c>
      <c r="D29" s="458" t="s">
        <v>149</v>
      </c>
      <c r="E29" s="458">
        <v>2.0</v>
      </c>
      <c r="F29" s="458">
        <v>0.0</v>
      </c>
      <c r="G29" s="458">
        <v>0.0</v>
      </c>
      <c r="H29" s="463" t="s">
        <v>319</v>
      </c>
    </row>
    <row r="30" spans="8:8" ht="17.4" customHeight="1">
      <c r="A30" s="458" t="s">
        <v>317</v>
      </c>
      <c r="B30" s="458" t="s">
        <v>77</v>
      </c>
      <c r="C30" s="458" t="s">
        <v>81</v>
      </c>
      <c r="D30" s="458" t="s">
        <v>74</v>
      </c>
      <c r="E30" s="458">
        <v>3.0</v>
      </c>
      <c r="F30" s="458">
        <v>0.0</v>
      </c>
      <c r="G30" s="458">
        <v>0.0</v>
      </c>
      <c r="H30" s="463" t="s">
        <v>320</v>
      </c>
    </row>
    <row r="31" spans="8:8" ht="17.4" customHeight="1">
      <c r="A31" s="458" t="s">
        <v>317</v>
      </c>
      <c r="B31" s="458" t="s">
        <v>77</v>
      </c>
      <c r="C31" s="458" t="s">
        <v>81</v>
      </c>
      <c r="D31" s="458" t="s">
        <v>152</v>
      </c>
      <c r="E31" s="458">
        <v>4.0</v>
      </c>
      <c r="F31" s="458">
        <v>0.0</v>
      </c>
      <c r="G31" s="458">
        <v>0.0</v>
      </c>
      <c r="H31" s="463" t="s">
        <v>321</v>
      </c>
    </row>
    <row r="32" spans="8:8" ht="17.4" customHeight="1">
      <c r="A32" s="458" t="s">
        <v>317</v>
      </c>
      <c r="B32" s="458" t="s">
        <v>77</v>
      </c>
      <c r="C32" s="458" t="s">
        <v>81</v>
      </c>
      <c r="D32" s="458" t="s">
        <v>88</v>
      </c>
      <c r="E32" s="458">
        <v>5.0</v>
      </c>
      <c r="F32" s="458">
        <v>0.0</v>
      </c>
      <c r="G32" s="458">
        <v>0.0</v>
      </c>
      <c r="H32" s="463" t="s">
        <v>322</v>
      </c>
    </row>
    <row r="33" spans="8:8" ht="17.4" customHeight="1">
      <c r="A33" s="458" t="s">
        <v>323</v>
      </c>
      <c r="B33" s="458" t="s">
        <v>77</v>
      </c>
      <c r="C33" s="458" t="s">
        <v>81</v>
      </c>
      <c r="D33" s="458" t="s">
        <v>147</v>
      </c>
      <c r="E33" s="458">
        <v>1.0</v>
      </c>
      <c r="F33" s="458">
        <v>0.0</v>
      </c>
      <c r="G33" s="458">
        <v>5.0</v>
      </c>
      <c r="H33" s="463" t="s">
        <v>324</v>
      </c>
    </row>
    <row r="34" spans="8:8" ht="17.4" customHeight="1">
      <c r="A34" s="458" t="s">
        <v>323</v>
      </c>
      <c r="B34" s="458" t="s">
        <v>77</v>
      </c>
      <c r="C34" s="458" t="s">
        <v>81</v>
      </c>
      <c r="D34" s="458" t="s">
        <v>149</v>
      </c>
      <c r="E34" s="458">
        <v>2.0</v>
      </c>
      <c r="F34" s="458">
        <v>0.0</v>
      </c>
      <c r="G34" s="458">
        <v>10.0</v>
      </c>
      <c r="H34" s="463" t="s">
        <v>325</v>
      </c>
    </row>
    <row r="35" spans="8:8" ht="17.4" customHeight="1">
      <c r="A35" s="458" t="s">
        <v>323</v>
      </c>
      <c r="B35" s="458" t="s">
        <v>77</v>
      </c>
      <c r="C35" s="458" t="s">
        <v>81</v>
      </c>
      <c r="D35" s="458" t="s">
        <v>74</v>
      </c>
      <c r="E35" s="458">
        <v>3.0</v>
      </c>
      <c r="F35" s="458">
        <v>0.0</v>
      </c>
      <c r="G35" s="458">
        <v>15.0</v>
      </c>
      <c r="H35" s="463" t="s">
        <v>326</v>
      </c>
    </row>
    <row r="36" spans="8:8" ht="17.4" customHeight="1">
      <c r="A36" s="458" t="s">
        <v>323</v>
      </c>
      <c r="B36" s="458" t="s">
        <v>77</v>
      </c>
      <c r="C36" s="458" t="s">
        <v>81</v>
      </c>
      <c r="D36" s="458" t="s">
        <v>152</v>
      </c>
      <c r="E36" s="458">
        <v>4.0</v>
      </c>
      <c r="F36" s="458">
        <v>0.0</v>
      </c>
      <c r="G36" s="458">
        <v>20.0</v>
      </c>
      <c r="H36" s="463" t="s">
        <v>327</v>
      </c>
    </row>
    <row r="37" spans="8:8" ht="17.4" customHeight="1">
      <c r="A37" s="458" t="s">
        <v>323</v>
      </c>
      <c r="B37" s="458" t="s">
        <v>77</v>
      </c>
      <c r="C37" s="458" t="s">
        <v>81</v>
      </c>
      <c r="D37" s="458" t="s">
        <v>88</v>
      </c>
      <c r="E37" s="458">
        <v>5.0</v>
      </c>
      <c r="F37" s="458">
        <v>0.0</v>
      </c>
      <c r="G37" s="458">
        <v>25.0</v>
      </c>
      <c r="H37" s="463" t="s">
        <v>328</v>
      </c>
    </row>
    <row r="38" spans="8:8" ht="17.4" customHeight="1">
      <c r="A38" s="458" t="s">
        <v>323</v>
      </c>
      <c r="B38" s="458" t="s">
        <v>77</v>
      </c>
      <c r="C38" s="458" t="s">
        <v>81</v>
      </c>
      <c r="D38" s="458" t="s">
        <v>155</v>
      </c>
      <c r="E38" s="458">
        <v>3.0</v>
      </c>
      <c r="F38" s="458">
        <v>0.0</v>
      </c>
      <c r="G38" s="458">
        <v>15.0</v>
      </c>
      <c r="H38" s="463" t="s">
        <v>329</v>
      </c>
    </row>
    <row r="39" spans="8:8" ht="17.4" customHeight="1">
      <c r="A39" s="458" t="s">
        <v>97</v>
      </c>
      <c r="B39" s="458" t="s">
        <v>98</v>
      </c>
      <c r="C39" s="458" t="s">
        <v>81</v>
      </c>
      <c r="D39" s="458" t="s">
        <v>147</v>
      </c>
      <c r="E39" s="458">
        <v>1.0</v>
      </c>
      <c r="F39" s="458">
        <v>0.0</v>
      </c>
      <c r="G39" s="458">
        <v>0.0</v>
      </c>
      <c r="H39" s="463" t="s">
        <v>330</v>
      </c>
    </row>
    <row r="40" spans="8:8" ht="17.4" customHeight="1">
      <c r="A40" s="458" t="s">
        <v>97</v>
      </c>
      <c r="B40" s="458" t="s">
        <v>98</v>
      </c>
      <c r="C40" s="458" t="s">
        <v>81</v>
      </c>
      <c r="D40" s="458" t="s">
        <v>149</v>
      </c>
      <c r="E40" s="458">
        <v>2.0</v>
      </c>
      <c r="F40" s="458">
        <v>0.0</v>
      </c>
      <c r="G40" s="458">
        <v>0.0</v>
      </c>
      <c r="H40" s="463" t="s">
        <v>331</v>
      </c>
    </row>
    <row r="41" spans="8:8" ht="17.4" customHeight="1">
      <c r="A41" s="458" t="s">
        <v>97</v>
      </c>
      <c r="B41" s="458" t="s">
        <v>98</v>
      </c>
      <c r="C41" s="458" t="s">
        <v>81</v>
      </c>
      <c r="D41" s="458" t="s">
        <v>74</v>
      </c>
      <c r="E41" s="458">
        <v>3.0</v>
      </c>
      <c r="F41" s="458">
        <v>0.0</v>
      </c>
      <c r="G41" s="458">
        <v>0.0</v>
      </c>
      <c r="H41" s="463" t="s">
        <v>332</v>
      </c>
    </row>
    <row r="42" spans="8:8" ht="17.4" customHeight="1">
      <c r="A42" s="458" t="s">
        <v>97</v>
      </c>
      <c r="B42" s="458" t="s">
        <v>98</v>
      </c>
      <c r="C42" s="458" t="s">
        <v>81</v>
      </c>
      <c r="D42" s="458" t="s">
        <v>152</v>
      </c>
      <c r="E42" s="458">
        <v>4.0</v>
      </c>
      <c r="F42" s="458">
        <v>0.0</v>
      </c>
      <c r="G42" s="458">
        <v>0.0</v>
      </c>
      <c r="H42" s="463" t="s">
        <v>333</v>
      </c>
    </row>
    <row r="43" spans="8:8" ht="17.4" customHeight="1">
      <c r="A43" s="458" t="s">
        <v>97</v>
      </c>
      <c r="B43" s="458" t="s">
        <v>98</v>
      </c>
      <c r="C43" s="458" t="s">
        <v>81</v>
      </c>
      <c r="D43" s="458" t="s">
        <v>88</v>
      </c>
      <c r="E43" s="458">
        <v>5.0</v>
      </c>
      <c r="F43" s="458">
        <v>0.0</v>
      </c>
      <c r="G43" s="458">
        <v>0.0</v>
      </c>
      <c r="H43" s="463" t="s">
        <v>334</v>
      </c>
    </row>
    <row r="44" spans="8:8" ht="17.4" customHeight="1">
      <c r="A44" s="458" t="s">
        <v>99</v>
      </c>
      <c r="B44" s="458" t="s">
        <v>98</v>
      </c>
      <c r="C44" s="458" t="s">
        <v>90</v>
      </c>
      <c r="D44" s="458" t="s">
        <v>74</v>
      </c>
      <c r="E44" s="458">
        <v>3.0</v>
      </c>
      <c r="F44" s="458">
        <v>1.0</v>
      </c>
      <c r="G44" s="458">
        <v>0.0</v>
      </c>
      <c r="H44" s="463" t="s">
        <v>335</v>
      </c>
    </row>
    <row r="45" spans="8:8" ht="17.4" customHeight="1">
      <c r="A45" s="458" t="s">
        <v>99</v>
      </c>
      <c r="B45" s="458" t="s">
        <v>98</v>
      </c>
      <c r="C45" s="458" t="s">
        <v>90</v>
      </c>
      <c r="D45" s="458" t="s">
        <v>152</v>
      </c>
      <c r="E45" s="458">
        <v>4.0</v>
      </c>
      <c r="F45" s="458">
        <v>1.0</v>
      </c>
      <c r="G45" s="458">
        <v>0.0</v>
      </c>
      <c r="H45" s="463" t="s">
        <v>335</v>
      </c>
    </row>
    <row r="46" spans="8:8" ht="17.4" customHeight="1">
      <c r="A46" s="458" t="s">
        <v>99</v>
      </c>
      <c r="B46" s="458" t="s">
        <v>98</v>
      </c>
      <c r="C46" s="458" t="s">
        <v>90</v>
      </c>
      <c r="D46" s="458" t="s">
        <v>88</v>
      </c>
      <c r="E46" s="458">
        <v>5.0</v>
      </c>
      <c r="F46" s="458">
        <v>1.0</v>
      </c>
      <c r="G46" s="458">
        <v>0.0</v>
      </c>
      <c r="H46" s="463" t="s">
        <v>335</v>
      </c>
    </row>
    <row r="47" spans="8:8" ht="17.4" customHeight="1">
      <c r="A47" s="458" t="s">
        <v>336</v>
      </c>
      <c r="B47" s="458" t="s">
        <v>98</v>
      </c>
      <c r="C47" s="458" t="s">
        <v>81</v>
      </c>
      <c r="D47" s="458" t="s">
        <v>74</v>
      </c>
      <c r="E47" s="458">
        <v>3.0</v>
      </c>
      <c r="F47" s="458">
        <v>0.0</v>
      </c>
      <c r="G47" s="458">
        <v>0.0</v>
      </c>
      <c r="H47" s="463" t="s">
        <v>337</v>
      </c>
    </row>
    <row r="48" spans="8:8" ht="17.4" customHeight="1">
      <c r="A48" s="458" t="s">
        <v>336</v>
      </c>
      <c r="B48" s="458" t="s">
        <v>98</v>
      </c>
      <c r="C48" s="458" t="s">
        <v>81</v>
      </c>
      <c r="D48" s="458" t="s">
        <v>152</v>
      </c>
      <c r="E48" s="458">
        <v>4.0</v>
      </c>
      <c r="F48" s="458">
        <v>0.0</v>
      </c>
      <c r="G48" s="458">
        <v>0.0</v>
      </c>
      <c r="H48" s="463" t="s">
        <v>338</v>
      </c>
    </row>
    <row r="49" spans="8:8" ht="17.4" customHeight="1">
      <c r="A49" s="458" t="s">
        <v>336</v>
      </c>
      <c r="B49" s="458" t="s">
        <v>98</v>
      </c>
      <c r="C49" s="458" t="s">
        <v>81</v>
      </c>
      <c r="D49" s="458" t="s">
        <v>88</v>
      </c>
      <c r="E49" s="458">
        <v>5.0</v>
      </c>
      <c r="F49" s="458">
        <v>0.0</v>
      </c>
      <c r="G49" s="458">
        <v>0.0</v>
      </c>
      <c r="H49" s="463" t="s">
        <v>339</v>
      </c>
    </row>
    <row r="50" spans="8:8" ht="17.4" customHeight="1">
      <c r="A50" s="458" t="s">
        <v>340</v>
      </c>
      <c r="B50" s="458" t="s">
        <v>98</v>
      </c>
      <c r="C50" s="458" t="s">
        <v>81</v>
      </c>
      <c r="D50" s="458" t="s">
        <v>147</v>
      </c>
      <c r="E50" s="458">
        <v>1.0</v>
      </c>
      <c r="F50" s="458">
        <v>0.0</v>
      </c>
      <c r="G50" s="458">
        <v>0.0</v>
      </c>
      <c r="H50" s="458" t="s">
        <v>341</v>
      </c>
    </row>
    <row r="51" spans="8:8" ht="17.4" customHeight="1">
      <c r="A51" s="458" t="s">
        <v>340</v>
      </c>
      <c r="B51" s="458" t="s">
        <v>98</v>
      </c>
      <c r="C51" s="458" t="s">
        <v>81</v>
      </c>
      <c r="D51" s="458" t="s">
        <v>149</v>
      </c>
      <c r="E51" s="458">
        <v>2.0</v>
      </c>
      <c r="F51" s="458">
        <v>0.0</v>
      </c>
      <c r="G51" s="458">
        <v>0.0</v>
      </c>
      <c r="H51" s="458" t="s">
        <v>342</v>
      </c>
    </row>
    <row r="52" spans="8:8" ht="17.4" customHeight="1">
      <c r="A52" s="458" t="s">
        <v>340</v>
      </c>
      <c r="B52" s="458" t="s">
        <v>98</v>
      </c>
      <c r="C52" s="458" t="s">
        <v>81</v>
      </c>
      <c r="D52" s="458" t="s">
        <v>74</v>
      </c>
      <c r="E52" s="458">
        <v>3.0</v>
      </c>
      <c r="F52" s="458">
        <v>0.0</v>
      </c>
      <c r="G52" s="458">
        <v>0.0</v>
      </c>
      <c r="H52" s="458" t="s">
        <v>343</v>
      </c>
    </row>
    <row r="53" spans="8:8" ht="17.4" customHeight="1">
      <c r="A53" s="458" t="s">
        <v>340</v>
      </c>
      <c r="B53" s="458" t="s">
        <v>98</v>
      </c>
      <c r="C53" s="458" t="s">
        <v>81</v>
      </c>
      <c r="D53" s="458" t="s">
        <v>152</v>
      </c>
      <c r="E53" s="458">
        <v>4.0</v>
      </c>
      <c r="F53" s="458">
        <v>0.0</v>
      </c>
      <c r="G53" s="458">
        <v>0.0</v>
      </c>
      <c r="H53" s="458" t="s">
        <v>344</v>
      </c>
    </row>
    <row r="54" spans="8:8" ht="17.4" customHeight="1">
      <c r="A54" s="458" t="s">
        <v>340</v>
      </c>
      <c r="B54" s="458" t="s">
        <v>98</v>
      </c>
      <c r="C54" s="458" t="s">
        <v>81</v>
      </c>
      <c r="D54" s="458" t="s">
        <v>88</v>
      </c>
      <c r="E54" s="458">
        <v>5.0</v>
      </c>
      <c r="F54" s="458">
        <v>0.0</v>
      </c>
      <c r="G54" s="458">
        <v>0.0</v>
      </c>
      <c r="H54" s="458" t="s">
        <v>345</v>
      </c>
    </row>
    <row r="55" spans="8:8" ht="17.4" customHeight="1">
      <c r="A55" s="458" t="s">
        <v>346</v>
      </c>
      <c r="B55" s="458" t="s">
        <v>98</v>
      </c>
      <c r="C55" s="458" t="s">
        <v>81</v>
      </c>
      <c r="D55" s="458" t="s">
        <v>74</v>
      </c>
      <c r="E55" s="458">
        <v>3.0</v>
      </c>
      <c r="F55" s="458">
        <v>0.0</v>
      </c>
      <c r="G55" s="458">
        <v>0.0</v>
      </c>
      <c r="H55" s="458" t="s">
        <v>347</v>
      </c>
    </row>
    <row r="56" spans="8:8" ht="17.4" customHeight="1">
      <c r="A56" s="458" t="s">
        <v>346</v>
      </c>
      <c r="B56" s="458" t="s">
        <v>98</v>
      </c>
      <c r="C56" s="458" t="s">
        <v>81</v>
      </c>
      <c r="D56" s="458" t="s">
        <v>152</v>
      </c>
      <c r="E56" s="458">
        <v>4.0</v>
      </c>
      <c r="F56" s="458">
        <v>0.0</v>
      </c>
      <c r="G56" s="458">
        <v>0.0</v>
      </c>
      <c r="H56" s="458" t="s">
        <v>348</v>
      </c>
    </row>
    <row r="57" spans="8:8" ht="17.4" customHeight="1">
      <c r="A57" s="458" t="s">
        <v>346</v>
      </c>
      <c r="B57" s="458" t="s">
        <v>98</v>
      </c>
      <c r="C57" s="458" t="s">
        <v>81</v>
      </c>
      <c r="D57" s="458" t="s">
        <v>88</v>
      </c>
      <c r="E57" s="458">
        <v>5.0</v>
      </c>
      <c r="F57" s="458">
        <v>0.0</v>
      </c>
      <c r="G57" s="458">
        <v>0.0</v>
      </c>
      <c r="H57" s="458" t="s">
        <v>349</v>
      </c>
    </row>
    <row r="58" spans="8:8" ht="17.4" customHeight="1">
      <c r="A58" s="458" t="s">
        <v>350</v>
      </c>
      <c r="B58" s="458" t="s">
        <v>98</v>
      </c>
      <c r="C58" s="458" t="s">
        <v>81</v>
      </c>
      <c r="D58" s="458" t="s">
        <v>74</v>
      </c>
      <c r="E58" s="458">
        <v>3.0</v>
      </c>
      <c r="F58" s="458">
        <v>0.0</v>
      </c>
      <c r="G58" s="458">
        <v>0.0</v>
      </c>
      <c r="H58" s="463" t="s">
        <v>351</v>
      </c>
    </row>
    <row r="59" spans="8:8" ht="17.4" customHeight="1">
      <c r="A59" s="458" t="s">
        <v>350</v>
      </c>
      <c r="B59" s="458" t="s">
        <v>98</v>
      </c>
      <c r="C59" s="458" t="s">
        <v>81</v>
      </c>
      <c r="D59" s="458" t="s">
        <v>152</v>
      </c>
      <c r="E59" s="458">
        <v>4.0</v>
      </c>
      <c r="F59" s="458">
        <v>0.0</v>
      </c>
      <c r="G59" s="458">
        <v>0.0</v>
      </c>
      <c r="H59" s="463" t="s">
        <v>352</v>
      </c>
    </row>
    <row r="60" spans="8:8" ht="17.4" customHeight="1">
      <c r="A60" s="458" t="s">
        <v>350</v>
      </c>
      <c r="B60" s="458" t="s">
        <v>98</v>
      </c>
      <c r="C60" s="458" t="s">
        <v>81</v>
      </c>
      <c r="D60" s="458" t="s">
        <v>88</v>
      </c>
      <c r="E60" s="458">
        <v>5.0</v>
      </c>
      <c r="F60" s="458">
        <v>0.0</v>
      </c>
      <c r="G60" s="458">
        <v>0.0</v>
      </c>
      <c r="H60" s="463" t="s">
        <v>353</v>
      </c>
    </row>
    <row r="61" spans="8:8" ht="17.4" customHeight="1">
      <c r="A61" s="458" t="s">
        <v>354</v>
      </c>
      <c r="B61" s="458" t="s">
        <v>98</v>
      </c>
      <c r="C61" s="458" t="s">
        <v>81</v>
      </c>
      <c r="D61" s="458" t="s">
        <v>74</v>
      </c>
      <c r="E61" s="458">
        <v>3.0</v>
      </c>
      <c r="F61" s="458">
        <v>0.0</v>
      </c>
      <c r="G61" s="458">
        <v>0.0</v>
      </c>
      <c r="H61" s="463" t="s">
        <v>355</v>
      </c>
    </row>
    <row r="62" spans="8:8" ht="17.4" customHeight="1">
      <c r="A62" s="458" t="s">
        <v>354</v>
      </c>
      <c r="B62" s="458" t="s">
        <v>98</v>
      </c>
      <c r="C62" s="458" t="s">
        <v>81</v>
      </c>
      <c r="D62" s="458" t="s">
        <v>152</v>
      </c>
      <c r="E62" s="458">
        <v>4.0</v>
      </c>
      <c r="F62" s="458">
        <v>0.0</v>
      </c>
      <c r="G62" s="458">
        <v>0.0</v>
      </c>
      <c r="H62" s="463" t="s">
        <v>356</v>
      </c>
    </row>
    <row r="63" spans="8:8" ht="17.4" customHeight="1">
      <c r="A63" s="458" t="s">
        <v>354</v>
      </c>
      <c r="B63" s="458" t="s">
        <v>98</v>
      </c>
      <c r="C63" s="458" t="s">
        <v>81</v>
      </c>
      <c r="D63" s="458" t="s">
        <v>88</v>
      </c>
      <c r="E63" s="458">
        <v>5.0</v>
      </c>
      <c r="F63" s="458">
        <v>0.0</v>
      </c>
      <c r="G63" s="458">
        <v>0.0</v>
      </c>
      <c r="H63" s="463" t="s">
        <v>357</v>
      </c>
    </row>
    <row r="64" spans="8:8" ht="17.4" customHeight="1">
      <c r="A64" s="458" t="s">
        <v>358</v>
      </c>
      <c r="B64" s="458" t="s">
        <v>98</v>
      </c>
      <c r="C64" s="458" t="s">
        <v>90</v>
      </c>
      <c r="D64" s="458" t="s">
        <v>147</v>
      </c>
      <c r="E64" s="458">
        <v>1.0</v>
      </c>
      <c r="F64" s="458">
        <v>6.0</v>
      </c>
      <c r="G64" s="458">
        <v>0.0</v>
      </c>
      <c r="H64" s="458" t="s">
        <v>359</v>
      </c>
    </row>
    <row r="65" spans="8:8" ht="17.4" customHeight="1">
      <c r="A65" s="458" t="s">
        <v>358</v>
      </c>
      <c r="B65" s="458" t="s">
        <v>98</v>
      </c>
      <c r="C65" s="458" t="s">
        <v>90</v>
      </c>
      <c r="D65" s="458" t="s">
        <v>149</v>
      </c>
      <c r="E65" s="458">
        <v>2.0</v>
      </c>
      <c r="F65" s="458">
        <v>6.0</v>
      </c>
      <c r="G65" s="458">
        <v>0.0</v>
      </c>
      <c r="H65" s="458" t="s">
        <v>360</v>
      </c>
    </row>
    <row r="66" spans="8:8" ht="17.4" customHeight="1">
      <c r="A66" s="458" t="s">
        <v>358</v>
      </c>
      <c r="B66" s="458" t="s">
        <v>98</v>
      </c>
      <c r="C66" s="458" t="s">
        <v>90</v>
      </c>
      <c r="D66" s="458" t="s">
        <v>74</v>
      </c>
      <c r="E66" s="458">
        <v>3.0</v>
      </c>
      <c r="F66" s="458">
        <v>6.0</v>
      </c>
      <c r="G66" s="458">
        <v>0.0</v>
      </c>
      <c r="H66" s="458" t="s">
        <v>361</v>
      </c>
    </row>
    <row r="67" spans="8:8" ht="17.4" customHeight="1">
      <c r="A67" s="458" t="s">
        <v>358</v>
      </c>
      <c r="B67" s="458" t="s">
        <v>98</v>
      </c>
      <c r="C67" s="458" t="s">
        <v>90</v>
      </c>
      <c r="D67" s="458" t="s">
        <v>152</v>
      </c>
      <c r="E67" s="458">
        <v>4.0</v>
      </c>
      <c r="F67" s="458">
        <v>6.0</v>
      </c>
      <c r="G67" s="458">
        <v>0.0</v>
      </c>
      <c r="H67" s="458" t="s">
        <v>362</v>
      </c>
    </row>
    <row r="68" spans="8:8" ht="17.4" customHeight="1">
      <c r="A68" s="458" t="s">
        <v>93</v>
      </c>
      <c r="B68" s="458" t="s">
        <v>95</v>
      </c>
      <c r="C68" s="458" t="s">
        <v>90</v>
      </c>
      <c r="D68" s="458" t="s">
        <v>74</v>
      </c>
      <c r="E68" s="458">
        <v>3.0</v>
      </c>
      <c r="F68" s="458">
        <v>1.0</v>
      </c>
      <c r="G68" s="458">
        <v>5.0</v>
      </c>
      <c r="H68" s="463" t="s">
        <v>363</v>
      </c>
    </row>
    <row r="69" spans="8:8" ht="17.4" customHeight="1">
      <c r="D69" s="458" t="s">
        <v>152</v>
      </c>
      <c r="E69" s="458">
        <v>4.0</v>
      </c>
      <c r="F69" s="458">
        <v>1.0</v>
      </c>
      <c r="G69" s="458">
        <v>10.0</v>
      </c>
      <c r="H69" s="463" t="s">
        <v>364</v>
      </c>
    </row>
    <row r="70" spans="8:8" ht="17.4" customHeight="1">
      <c r="D70" s="458" t="s">
        <v>88</v>
      </c>
      <c r="E70" s="458">
        <v>5.0</v>
      </c>
      <c r="F70" s="458">
        <v>1.0</v>
      </c>
      <c r="G70" s="458">
        <v>15.0</v>
      </c>
      <c r="H70" s="463" t="s">
        <v>365</v>
      </c>
    </row>
    <row r="71" spans="8:8" ht="17.4" customHeight="1">
      <c r="A71" s="458" t="s">
        <v>366</v>
      </c>
      <c r="B71" s="458" t="s">
        <v>95</v>
      </c>
      <c r="C71" s="458" t="s">
        <v>81</v>
      </c>
      <c r="D71" s="458" t="s">
        <v>147</v>
      </c>
      <c r="E71" s="458">
        <v>1.0</v>
      </c>
      <c r="F71" s="458">
        <v>0.0</v>
      </c>
      <c r="G71" s="458">
        <v>0.0</v>
      </c>
      <c r="H71" s="463" t="s">
        <v>367</v>
      </c>
    </row>
    <row r="72" spans="8:8" ht="17.4" customHeight="1">
      <c r="C72" s="458" t="s">
        <v>81</v>
      </c>
      <c r="D72" s="458" t="s">
        <v>149</v>
      </c>
      <c r="E72" s="458">
        <v>2.0</v>
      </c>
      <c r="F72" s="458">
        <v>0.0</v>
      </c>
      <c r="G72" s="458">
        <v>0.0</v>
      </c>
      <c r="H72" s="463" t="s">
        <v>368</v>
      </c>
    </row>
    <row r="73" spans="8:8" ht="17.4" customHeight="1">
      <c r="C73" s="458" t="s">
        <v>81</v>
      </c>
      <c r="D73" s="458" t="s">
        <v>74</v>
      </c>
      <c r="E73" s="458">
        <v>3.0</v>
      </c>
      <c r="F73" s="458">
        <v>0.0</v>
      </c>
      <c r="G73" s="458">
        <v>0.0</v>
      </c>
      <c r="H73" s="463" t="s">
        <v>369</v>
      </c>
    </row>
    <row r="74" spans="8:8" ht="17.4" customHeight="1">
      <c r="C74" s="458" t="s">
        <v>81</v>
      </c>
      <c r="D74" s="458" t="s">
        <v>152</v>
      </c>
      <c r="E74" s="458">
        <v>4.0</v>
      </c>
      <c r="F74" s="458">
        <v>0.0</v>
      </c>
      <c r="G74" s="458">
        <v>0.0</v>
      </c>
      <c r="H74" s="463" t="s">
        <v>370</v>
      </c>
    </row>
    <row r="75" spans="8:8" ht="17.4" customHeight="1">
      <c r="C75" s="458" t="s">
        <v>81</v>
      </c>
      <c r="D75" s="458" t="s">
        <v>88</v>
      </c>
      <c r="E75" s="458">
        <v>5.0</v>
      </c>
      <c r="F75" s="458">
        <v>0.0</v>
      </c>
      <c r="G75" s="458">
        <v>0.0</v>
      </c>
      <c r="H75" s="463" t="s">
        <v>371</v>
      </c>
    </row>
  </sheetData>
  <mergeCells count="2">
    <mergeCell ref="A1:H1"/>
    <mergeCell ref="I1:P1"/>
  </mergeCells>
  <pageMargins left="0.75" right="0.75" top="1.0" bottom="1.0" header="0.5" footer="0.5"/>
</worksheet>
</file>

<file path=xl/worksheets/sheet7.xml><?xml version="1.0" encoding="utf-8"?>
<worksheet xmlns:r="http://schemas.openxmlformats.org/officeDocument/2006/relationships" xmlns="http://schemas.openxmlformats.org/spreadsheetml/2006/main">
  <dimension ref="A1:BE38"/>
  <sheetViews>
    <sheetView workbookViewId="0" topLeftCell="C19" zoomScale="38">
      <selection activeCell="K48" sqref="K48"/>
    </sheetView>
  </sheetViews>
  <sheetFormatPr defaultRowHeight="15.0" defaultColWidth="10"/>
  <sheetData>
    <row r="2" spans="8:8">
      <c r="A2" s="464" t="s">
        <v>372</v>
      </c>
      <c r="B2" s="465" t="s">
        <v>373</v>
      </c>
      <c r="C2" s="466" t="s">
        <v>39</v>
      </c>
      <c r="D2" s="467"/>
      <c r="F2" s="468"/>
      <c r="G2" s="469" t="s">
        <v>374</v>
      </c>
      <c r="H2" s="469" t="s">
        <v>375</v>
      </c>
      <c r="I2" s="470" t="s">
        <v>376</v>
      </c>
      <c r="J2" s="470" t="s">
        <v>377</v>
      </c>
      <c r="K2" s="470" t="s">
        <v>378</v>
      </c>
      <c r="L2" s="469" t="s">
        <v>379</v>
      </c>
      <c r="M2" s="471" t="s">
        <v>380</v>
      </c>
    </row>
    <row r="3" spans="8:8">
      <c r="A3" s="472">
        <v>40.0</v>
      </c>
      <c r="B3" s="473">
        <v>100.0</v>
      </c>
      <c r="C3" s="474" t="s">
        <v>381</v>
      </c>
      <c r="D3" s="475"/>
      <c r="F3" s="472" t="s">
        <v>43</v>
      </c>
      <c r="G3" s="476">
        <v>20.0</v>
      </c>
      <c r="H3" s="476">
        <v>20.0</v>
      </c>
      <c r="I3" s="476">
        <v>20.0</v>
      </c>
      <c r="J3" s="476">
        <v>10.0</v>
      </c>
      <c r="K3" s="476">
        <v>20.0</v>
      </c>
      <c r="L3" s="476">
        <v>0.0</v>
      </c>
      <c r="M3" s="477" t="s">
        <v>382</v>
      </c>
    </row>
    <row r="4" spans="8:8">
      <c r="A4" s="472">
        <v>50.0</v>
      </c>
      <c r="B4" s="473">
        <v>120.0</v>
      </c>
      <c r="C4" s="474" t="s">
        <v>383</v>
      </c>
      <c r="D4" s="475"/>
      <c r="F4" s="472" t="s">
        <v>150</v>
      </c>
      <c r="G4" s="476">
        <v>10.0</v>
      </c>
      <c r="H4" s="476">
        <v>10.0</v>
      </c>
      <c r="I4" s="476">
        <v>30.0</v>
      </c>
      <c r="J4" s="476">
        <v>10.0</v>
      </c>
      <c r="K4" s="476">
        <v>10.0</v>
      </c>
      <c r="L4" s="476">
        <v>0.0</v>
      </c>
      <c r="M4" s="477" t="s">
        <v>384</v>
      </c>
    </row>
    <row r="5" spans="8:8">
      <c r="A5" s="472">
        <v>60.0</v>
      </c>
      <c r="B5" s="473">
        <v>140.0</v>
      </c>
      <c r="C5" s="474" t="s">
        <v>385</v>
      </c>
      <c r="D5" s="475"/>
      <c r="F5" s="472" t="s">
        <v>153</v>
      </c>
      <c r="G5" s="476">
        <v>10.0</v>
      </c>
      <c r="H5" s="476">
        <v>10.0</v>
      </c>
      <c r="I5" s="476">
        <v>10.0</v>
      </c>
      <c r="J5" s="476">
        <v>0.0</v>
      </c>
      <c r="K5" s="476">
        <v>20.0</v>
      </c>
      <c r="L5" s="476">
        <v>0.0</v>
      </c>
      <c r="M5" s="477" t="s">
        <v>386</v>
      </c>
    </row>
    <row r="6" spans="8:8">
      <c r="A6" s="472">
        <v>70.0</v>
      </c>
      <c r="B6" s="473">
        <v>160.0</v>
      </c>
      <c r="C6" s="474" t="s">
        <v>387</v>
      </c>
      <c r="D6" s="475"/>
      <c r="F6" s="472" t="s">
        <v>151</v>
      </c>
      <c r="G6" s="476">
        <v>0.0</v>
      </c>
      <c r="H6" s="476">
        <v>30.0</v>
      </c>
      <c r="I6" s="476">
        <v>0.0</v>
      </c>
      <c r="J6" s="476">
        <v>0.0</v>
      </c>
      <c r="K6" s="476">
        <v>20.0</v>
      </c>
      <c r="L6" s="476">
        <v>0.0</v>
      </c>
      <c r="M6" s="477" t="s">
        <v>388</v>
      </c>
    </row>
    <row r="7" spans="8:8">
      <c r="A7" s="478" t="s">
        <v>389</v>
      </c>
      <c r="B7" s="479">
        <v>0.0</v>
      </c>
      <c r="C7" s="474" t="s">
        <v>390</v>
      </c>
      <c r="D7" s="475"/>
      <c r="F7" s="472" t="s">
        <v>154</v>
      </c>
      <c r="G7" s="476">
        <v>0.0</v>
      </c>
      <c r="H7" s="476">
        <v>0.0</v>
      </c>
      <c r="I7" s="476">
        <v>0.0</v>
      </c>
      <c r="J7" s="476">
        <v>30.0</v>
      </c>
      <c r="K7" s="476">
        <v>0.0</v>
      </c>
      <c r="L7" s="476">
        <v>0.0</v>
      </c>
      <c r="M7" s="477" t="s">
        <v>391</v>
      </c>
    </row>
    <row r="8" spans="8:8">
      <c r="A8" s="478" t="s">
        <v>389</v>
      </c>
      <c r="B8" s="479">
        <v>0.0</v>
      </c>
      <c r="C8" s="474" t="s">
        <v>392</v>
      </c>
      <c r="D8" s="475"/>
      <c r="F8" s="472" t="s">
        <v>156</v>
      </c>
      <c r="G8" s="476">
        <v>0.0</v>
      </c>
      <c r="H8" s="476">
        <v>0.0</v>
      </c>
      <c r="I8" s="476">
        <v>20.0</v>
      </c>
      <c r="J8" s="476">
        <v>0.0</v>
      </c>
      <c r="K8" s="476">
        <v>20.0</v>
      </c>
      <c r="L8" s="476">
        <v>0.0</v>
      </c>
      <c r="M8" s="477" t="s">
        <v>393</v>
      </c>
    </row>
    <row r="9" spans="8:8">
      <c r="A9" s="480" t="s">
        <v>389</v>
      </c>
      <c r="B9" s="481">
        <v>0.0</v>
      </c>
      <c r="C9" s="474" t="s">
        <v>394</v>
      </c>
      <c r="D9" s="475"/>
      <c r="F9" s="482" t="s">
        <v>158</v>
      </c>
      <c r="G9" s="476">
        <v>0.0</v>
      </c>
      <c r="H9" s="476">
        <v>0.0</v>
      </c>
      <c r="I9" s="476">
        <v>0.0</v>
      </c>
      <c r="J9" s="476">
        <v>0.0</v>
      </c>
      <c r="K9" s="476">
        <v>0.0</v>
      </c>
      <c r="L9" s="476">
        <v>0.0</v>
      </c>
      <c r="M9" s="477" t="s">
        <v>395</v>
      </c>
    </row>
    <row r="10" spans="8:8">
      <c r="C10" s="474" t="s">
        <v>396</v>
      </c>
      <c r="D10" s="475"/>
      <c r="F10" s="482" t="s">
        <v>148</v>
      </c>
      <c r="G10" s="476">
        <v>20.0</v>
      </c>
      <c r="H10" s="476">
        <v>30.0</v>
      </c>
      <c r="I10" s="476">
        <v>20.0</v>
      </c>
      <c r="J10" s="476">
        <v>10.0</v>
      </c>
      <c r="K10" s="476">
        <v>20.0</v>
      </c>
      <c r="L10" s="476">
        <v>0.0</v>
      </c>
      <c r="M10" s="477"/>
    </row>
    <row r="11" spans="8:8">
      <c r="C11" s="474" t="s">
        <v>397</v>
      </c>
      <c r="D11" s="475"/>
      <c r="F11" s="483" t="s">
        <v>398</v>
      </c>
      <c r="G11" s="484">
        <v>0.0</v>
      </c>
      <c r="H11" s="484">
        <v>0.0</v>
      </c>
      <c r="I11" s="484">
        <v>0.0</v>
      </c>
      <c r="J11" s="484">
        <v>0.0</v>
      </c>
      <c r="K11" s="484">
        <v>0.0</v>
      </c>
      <c r="L11" s="484">
        <v>0.0</v>
      </c>
      <c r="M11" s="479"/>
    </row>
    <row r="12" spans="8:8">
      <c r="C12" s="474" t="s">
        <v>399</v>
      </c>
      <c r="D12" s="475"/>
      <c r="F12" s="483" t="s">
        <v>400</v>
      </c>
      <c r="G12" s="484">
        <v>0.0</v>
      </c>
      <c r="H12" s="484">
        <v>0.0</v>
      </c>
      <c r="I12" s="484">
        <v>0.0</v>
      </c>
      <c r="J12" s="484">
        <v>0.0</v>
      </c>
      <c r="K12" s="484">
        <v>0.0</v>
      </c>
      <c r="L12" s="484">
        <v>0.0</v>
      </c>
      <c r="M12" s="479"/>
    </row>
    <row r="13" spans="8:8">
      <c r="C13" s="474" t="s">
        <v>401</v>
      </c>
      <c r="D13" s="475"/>
      <c r="F13" s="483" t="s">
        <v>402</v>
      </c>
      <c r="G13" s="484">
        <v>0.0</v>
      </c>
      <c r="H13" s="484">
        <v>0.0</v>
      </c>
      <c r="I13" s="484">
        <v>0.0</v>
      </c>
      <c r="J13" s="484">
        <v>0.0</v>
      </c>
      <c r="K13" s="484">
        <v>0.0</v>
      </c>
      <c r="L13" s="484">
        <v>0.0</v>
      </c>
      <c r="M13" s="479"/>
    </row>
    <row r="14" spans="8:8">
      <c r="C14" s="474" t="s">
        <v>403</v>
      </c>
      <c r="D14" s="475"/>
      <c r="F14" s="483" t="s">
        <v>404</v>
      </c>
      <c r="G14" s="484">
        <v>0.0</v>
      </c>
      <c r="H14" s="484">
        <v>0.0</v>
      </c>
      <c r="I14" s="484">
        <v>0.0</v>
      </c>
      <c r="J14" s="484">
        <v>0.0</v>
      </c>
      <c r="K14" s="484">
        <v>0.0</v>
      </c>
      <c r="L14" s="484">
        <v>0.0</v>
      </c>
      <c r="M14" s="479"/>
    </row>
    <row r="15" spans="8:8">
      <c r="C15" s="485" t="s">
        <v>389</v>
      </c>
      <c r="D15" s="486"/>
      <c r="F15" s="483" t="s">
        <v>405</v>
      </c>
      <c r="G15" s="484">
        <v>0.0</v>
      </c>
      <c r="H15" s="484">
        <v>0.0</v>
      </c>
      <c r="I15" s="484">
        <v>0.0</v>
      </c>
      <c r="J15" s="484">
        <v>0.0</v>
      </c>
      <c r="K15" s="484">
        <v>0.0</v>
      </c>
      <c r="L15" s="484">
        <v>0.0</v>
      </c>
      <c r="M15" s="479"/>
      <c r="N15" s="487"/>
    </row>
    <row r="16" spans="8:8">
      <c r="C16" s="485" t="s">
        <v>389</v>
      </c>
      <c r="D16" s="486"/>
      <c r="F16" s="483" t="s">
        <v>406</v>
      </c>
      <c r="G16" s="484">
        <v>0.0</v>
      </c>
      <c r="H16" s="484">
        <v>0.0</v>
      </c>
      <c r="I16" s="484">
        <v>0.0</v>
      </c>
      <c r="J16" s="484">
        <v>0.0</v>
      </c>
      <c r="K16" s="484">
        <v>0.0</v>
      </c>
      <c r="L16" s="484">
        <v>0.0</v>
      </c>
      <c r="M16" s="479"/>
    </row>
    <row r="17" spans="8:8">
      <c r="C17" s="485" t="s">
        <v>389</v>
      </c>
      <c r="D17" s="486"/>
      <c r="F17" s="478" t="s">
        <v>407</v>
      </c>
      <c r="G17" s="484">
        <v>20.0</v>
      </c>
      <c r="H17" s="484">
        <v>0.0</v>
      </c>
      <c r="I17" s="484">
        <v>0.0</v>
      </c>
      <c r="J17" s="484">
        <v>0.0</v>
      </c>
      <c r="K17" s="484">
        <v>0.0</v>
      </c>
      <c r="L17" s="484">
        <v>0.0</v>
      </c>
      <c r="M17" s="479"/>
    </row>
    <row r="18" spans="8:8">
      <c r="C18" s="485" t="s">
        <v>389</v>
      </c>
      <c r="D18" s="486"/>
      <c r="F18" s="478"/>
      <c r="G18" s="484">
        <v>0.0</v>
      </c>
      <c r="H18" s="484">
        <v>0.0</v>
      </c>
      <c r="I18" s="484">
        <v>0.0</v>
      </c>
      <c r="J18" s="484">
        <v>0.0</v>
      </c>
      <c r="K18" s="484">
        <v>0.0</v>
      </c>
      <c r="L18" s="484">
        <v>0.0</v>
      </c>
      <c r="M18" s="479"/>
    </row>
    <row r="19" spans="8:8">
      <c r="C19" s="485" t="s">
        <v>389</v>
      </c>
      <c r="D19" s="486"/>
      <c r="F19" s="478"/>
      <c r="G19" s="484">
        <v>0.0</v>
      </c>
      <c r="H19" s="484">
        <v>0.0</v>
      </c>
      <c r="I19" s="484">
        <v>0.0</v>
      </c>
      <c r="J19" s="484">
        <v>0.0</v>
      </c>
      <c r="K19" s="484">
        <v>0.0</v>
      </c>
      <c r="L19" s="484">
        <v>0.0</v>
      </c>
      <c r="M19" s="479"/>
    </row>
    <row r="20" spans="8:8">
      <c r="C20" s="485" t="s">
        <v>389</v>
      </c>
      <c r="D20" s="486"/>
      <c r="F20" s="480"/>
      <c r="G20" s="488">
        <v>0.0</v>
      </c>
      <c r="H20" s="488">
        <v>0.0</v>
      </c>
      <c r="I20" s="488">
        <v>0.0</v>
      </c>
      <c r="J20" s="488">
        <v>0.0</v>
      </c>
      <c r="K20" s="488">
        <v>0.0</v>
      </c>
      <c r="L20" s="488">
        <v>0.0</v>
      </c>
      <c r="M20" s="481"/>
    </row>
    <row r="21" spans="8:8">
      <c r="C21" s="485" t="s">
        <v>389</v>
      </c>
      <c r="D21" s="486"/>
    </row>
    <row r="22" spans="8:8">
      <c r="C22" s="485" t="s">
        <v>389</v>
      </c>
      <c r="D22" s="486"/>
      <c r="F22" t="s">
        <v>408</v>
      </c>
      <c r="H22" t="s">
        <v>409</v>
      </c>
      <c r="J22" t="s">
        <v>410</v>
      </c>
    </row>
    <row r="23" spans="8:8">
      <c r="C23" s="485" t="s">
        <v>389</v>
      </c>
      <c r="D23" s="486"/>
      <c r="F23" t="s">
        <v>155</v>
      </c>
      <c r="G23">
        <v>7.0</v>
      </c>
      <c r="H23" t="s">
        <v>155</v>
      </c>
      <c r="I23">
        <v>9.0</v>
      </c>
      <c r="J23" t="s">
        <v>411</v>
      </c>
      <c r="K23">
        <v>6.0</v>
      </c>
    </row>
    <row r="24" spans="8:8">
      <c r="C24" s="485" t="s">
        <v>389</v>
      </c>
      <c r="D24" s="486"/>
      <c r="F24" t="s">
        <v>412</v>
      </c>
      <c r="G24">
        <v>5.0</v>
      </c>
      <c r="J24" t="s">
        <v>71</v>
      </c>
      <c r="K24">
        <v>4.0</v>
      </c>
    </row>
    <row r="25" spans="8:8">
      <c r="C25" s="485" t="s">
        <v>389</v>
      </c>
      <c r="D25" s="486"/>
      <c r="F25" t="s">
        <v>169</v>
      </c>
      <c r="G25">
        <v>7.0</v>
      </c>
      <c r="H25" t="s">
        <v>169</v>
      </c>
      <c r="I25">
        <v>7.0</v>
      </c>
      <c r="J25" t="s">
        <v>169</v>
      </c>
      <c r="K25">
        <v>7.0</v>
      </c>
    </row>
    <row r="26" spans="8:8">
      <c r="C26" s="485" t="s">
        <v>389</v>
      </c>
      <c r="D26" s="486"/>
      <c r="F26" t="s">
        <v>88</v>
      </c>
      <c r="G26">
        <v>5.0</v>
      </c>
      <c r="H26" t="s">
        <v>88</v>
      </c>
      <c r="I26">
        <v>5.0</v>
      </c>
      <c r="J26" t="s">
        <v>88</v>
      </c>
      <c r="K26">
        <v>5.0</v>
      </c>
    </row>
    <row r="27" spans="8:8">
      <c r="C27" s="485" t="s">
        <v>389</v>
      </c>
      <c r="D27" s="486"/>
      <c r="F27" t="s">
        <v>413</v>
      </c>
      <c r="G27">
        <v>5.0</v>
      </c>
      <c r="H27" t="s">
        <v>413</v>
      </c>
      <c r="I27">
        <v>5.0</v>
      </c>
      <c r="J27" t="s">
        <v>414</v>
      </c>
      <c r="K27">
        <v>3.0</v>
      </c>
    </row>
    <row r="28" spans="8:8">
      <c r="C28" s="489" t="s">
        <v>389</v>
      </c>
      <c r="D28" s="490"/>
      <c r="F28" t="s">
        <v>168</v>
      </c>
      <c r="G28">
        <v>6.0</v>
      </c>
      <c r="H28" t="s">
        <v>168</v>
      </c>
      <c r="I28">
        <v>6.0</v>
      </c>
      <c r="J28" t="s">
        <v>168</v>
      </c>
      <c r="K28">
        <v>6.0</v>
      </c>
    </row>
    <row r="29" spans="8:8">
      <c r="C29" s="489" t="s">
        <v>389</v>
      </c>
      <c r="D29" s="490"/>
      <c r="F29" t="s">
        <v>152</v>
      </c>
      <c r="G29">
        <v>4.0</v>
      </c>
      <c r="H29" t="s">
        <v>152</v>
      </c>
      <c r="I29">
        <v>4.0</v>
      </c>
      <c r="J29" t="s">
        <v>152</v>
      </c>
      <c r="K29">
        <v>4.0</v>
      </c>
    </row>
    <row r="30" spans="8:8">
      <c r="C30" s="489" t="s">
        <v>389</v>
      </c>
      <c r="D30" s="490"/>
      <c r="F30" t="s">
        <v>415</v>
      </c>
      <c r="G30">
        <v>4.0</v>
      </c>
      <c r="H30" t="s">
        <v>415</v>
      </c>
      <c r="I30">
        <v>4.0</v>
      </c>
      <c r="J30" t="s">
        <v>416</v>
      </c>
      <c r="K30">
        <v>2.0</v>
      </c>
    </row>
    <row r="31" spans="8:8">
      <c r="C31" s="489" t="s">
        <v>389</v>
      </c>
      <c r="D31" s="490"/>
      <c r="F31" t="s">
        <v>167</v>
      </c>
      <c r="G31">
        <v>5.0</v>
      </c>
      <c r="H31" t="s">
        <v>167</v>
      </c>
      <c r="I31">
        <v>5.0</v>
      </c>
      <c r="J31" t="s">
        <v>167</v>
      </c>
      <c r="K31">
        <v>5.0</v>
      </c>
    </row>
    <row r="32" spans="8:8">
      <c r="C32" s="489" t="s">
        <v>389</v>
      </c>
      <c r="D32" s="490"/>
      <c r="F32" t="s">
        <v>74</v>
      </c>
      <c r="G32">
        <v>3.0</v>
      </c>
      <c r="H32" t="s">
        <v>74</v>
      </c>
      <c r="I32">
        <v>3.0</v>
      </c>
      <c r="J32" t="s">
        <v>74</v>
      </c>
      <c r="K32">
        <v>3.0</v>
      </c>
    </row>
    <row r="33" spans="8:8">
      <c r="C33" s="489" t="s">
        <v>389</v>
      </c>
      <c r="D33" s="490"/>
      <c r="F33" t="s">
        <v>417</v>
      </c>
      <c r="G33">
        <v>3.0</v>
      </c>
      <c r="H33" t="s">
        <v>417</v>
      </c>
      <c r="I33">
        <v>3.0</v>
      </c>
      <c r="J33" t="s">
        <v>418</v>
      </c>
      <c r="K33">
        <v>1.0</v>
      </c>
    </row>
    <row r="34" spans="8:8">
      <c r="C34" s="489" t="s">
        <v>389</v>
      </c>
      <c r="D34" s="490"/>
      <c r="F34" t="s">
        <v>166</v>
      </c>
      <c r="G34">
        <v>4.0</v>
      </c>
      <c r="H34" t="s">
        <v>166</v>
      </c>
      <c r="I34">
        <v>4.0</v>
      </c>
      <c r="J34" t="s">
        <v>166</v>
      </c>
      <c r="K34">
        <v>4.0</v>
      </c>
    </row>
    <row r="35" spans="8:8">
      <c r="C35" s="491" t="s">
        <v>389</v>
      </c>
      <c r="D35" s="492"/>
      <c r="F35" t="s">
        <v>149</v>
      </c>
      <c r="G35">
        <v>2.0</v>
      </c>
      <c r="H35" t="s">
        <v>149</v>
      </c>
      <c r="I35">
        <v>2.0</v>
      </c>
      <c r="J35" t="s">
        <v>149</v>
      </c>
      <c r="K35">
        <v>2.0</v>
      </c>
    </row>
    <row r="36" spans="8:8">
      <c r="J36" t="s">
        <v>419</v>
      </c>
      <c r="K36">
        <v>0.0</v>
      </c>
    </row>
    <row r="37" spans="8:8">
      <c r="F37" t="s">
        <v>165</v>
      </c>
      <c r="G37">
        <v>3.0</v>
      </c>
      <c r="H37" t="s">
        <v>165</v>
      </c>
      <c r="I37">
        <v>3.0</v>
      </c>
      <c r="J37" t="s">
        <v>165</v>
      </c>
      <c r="K37">
        <v>3.0</v>
      </c>
    </row>
    <row r="38" spans="8:8">
      <c r="F38" t="s">
        <v>147</v>
      </c>
      <c r="G38">
        <v>1.0</v>
      </c>
      <c r="H38" t="s">
        <v>147</v>
      </c>
      <c r="I38">
        <v>1.0</v>
      </c>
      <c r="J38" t="s">
        <v>147</v>
      </c>
      <c r="K38">
        <v>1.0</v>
      </c>
    </row>
  </sheetData>
  <mergeCells count="34">
    <mergeCell ref="C35:D35"/>
    <mergeCell ref="C22:D22"/>
    <mergeCell ref="C2:D2"/>
    <mergeCell ref="C15:D15"/>
    <mergeCell ref="C20:D20"/>
    <mergeCell ref="C34:D34"/>
    <mergeCell ref="C30:D30"/>
    <mergeCell ref="C31:D31"/>
    <mergeCell ref="C23:D23"/>
    <mergeCell ref="C21:D21"/>
    <mergeCell ref="C32:D32"/>
    <mergeCell ref="C18:D18"/>
    <mergeCell ref="C33:D33"/>
    <mergeCell ref="C24:D24"/>
    <mergeCell ref="C27:D27"/>
    <mergeCell ref="C26:D26"/>
    <mergeCell ref="C25:D25"/>
    <mergeCell ref="C29:D29"/>
    <mergeCell ref="C28:D28"/>
    <mergeCell ref="C17:D17"/>
    <mergeCell ref="C3:D3"/>
    <mergeCell ref="C4:D4"/>
    <mergeCell ref="C14:D14"/>
    <mergeCell ref="C12:D12"/>
    <mergeCell ref="C16:D16"/>
    <mergeCell ref="C6:D6"/>
    <mergeCell ref="C19:D19"/>
    <mergeCell ref="C5:D5"/>
    <mergeCell ref="C13:D13"/>
    <mergeCell ref="C7:D7"/>
    <mergeCell ref="C8:D8"/>
    <mergeCell ref="C9:D9"/>
    <mergeCell ref="C11:D11"/>
    <mergeCell ref="C10:D10"/>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NetdiskSupbooks xmlns="http://www.wps.cn/et/2019/netdiskSupbooks">
  <NetdiskSupbook Target="空想SP1.153御主角色卡.xlsx" FileId="418434939870" NetdiskName="yunwps"/>
</NetdiskSupbooks>
</file>

<file path=customXml/item2.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rangeList sheetStid="7" master=""/>
</allowEditUser>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junwei mao</cp:lastModifiedBy>
  <dcterms:created xsi:type="dcterms:W3CDTF">2017-07-31T03:16:00Z</dcterms:created>
  <dcterms:modified xsi:type="dcterms:W3CDTF">2025-09-24T00:55:08Z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2052-12.1.0.22215</vt:lpwstr>
  </property>
  <property fmtid="{D5CDD505-2E9C-101B-9397-08002B2CF9AE}" pid="3" name="ICV">
    <vt:lpwstr>06B57A50B19146E8864C45ED65A6CFC9_13</vt:lpwstr>
  </property>
</Properties>
</file>