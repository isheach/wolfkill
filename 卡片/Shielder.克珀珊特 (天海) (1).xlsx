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drawings/vmlDrawing3.vml" ContentType="application/vnd.openxmlformats-officedocument.vmlDrawing"/>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5" rupBuild="28827"/>
  <workbookPr defaultThemeVersion="153222"/>
  <bookViews>
    <workbookView xWindow="-110" yWindow="-110" windowWidth="25820" windowHeight="15500" firstSheet="1" activeTab="1"/>
  </bookViews>
  <sheets>
    <sheet name="说明" sheetId="1" r:id="rId2" state="hidden"/>
    <sheet name="角色卡 " sheetId="2" r:id="rId3"/>
    <sheet name="角色经历" sheetId="3" r:id="rId4"/>
    <sheet name="调卡用表" sheetId="4" r:id="rId5" state="hidden"/>
    <sheet name="数值参考" sheetId="5" r:id="rId6" state="hidden"/>
  </sheets>
  <externalReferences>
    <externalReference r:id="rId1"/>
  </externalReferences>
  <definedNames>
    <definedName name="_xlnm.Print_Area" localSheetId="1">'角色卡 '!$B$2:$N$76</definedName>
    <definedName name="阵营">数值参考!$C$3:$C$35</definedName>
  </definedNames>
  <calcPr calcId="191029"/>
</workbook>
</file>

<file path=xl/cellimages.xml><?xml version="1.0" encoding="utf-8"?>
<etc:cellImages xmlns:xdr="http://schemas.openxmlformats.org/drawingml/2006/spreadsheetDrawing" xmlns:a="http://schemas.openxmlformats.org/drawingml/2006/main" xmlns:r="http://schemas.openxmlformats.org/officeDocument/2006/relationships" xmlns:etc="http://www.wps.cn/officeDocument/2017/etCustomData">
  <etc:cellImage>
    <xdr:pic>
      <xdr:nvPicPr>
        <xdr:cNvPr id="2" name="ID_BC849194706D4E2C8A2F9EFFA2DC9407" descr=" "/>
        <xdr:cNvPicPr/>
      </xdr:nvPicPr>
      <xdr:blipFill>
        <a:blip xmlns:r="http://schemas.openxmlformats.org/officeDocument/2006/relationships" r:embed="rId1"/>
        <a:srcRect/>
        <a:stretch>
          <a:fillRect/>
        </a:stretch>
      </xdr:blipFill>
      <xdr:spPr>
        <a:xfrm>
          <a:off x="0" y="0"/>
          <a:ext cx="15150241" cy="8226467"/>
        </a:xfrm>
        <a:noFill/>
        <a:ln w="9525" cap="flat" cmpd="sng">
          <a:noFill/>
          <a:prstDash val="solid"/>
          <a:miter/>
        </a:ln>
        <a:effectLst/>
      </xdr:spPr>
    </xdr:pic>
  </etc:cellImage>
</etc:cellImages>
</file>

<file path=xl/comments2.xml><?xml version="1.0" encoding="utf-8"?>
<comments xmlns="http://schemas.openxmlformats.org/spreadsheetml/2006/main">
  <authors>
    <author>dell</author>
  </authors>
  <commentList>
    <comment ref="H3" authorId="0">
      <text>
        <r>
          <rPr>
            <sz val="9"/>
            <rFont val="宋体"/>
            <family val="3"/>
            <charset val="134"/>
          </rPr>
          <t xml:space="preserve">放置角色肖像的栏位。
请选适当的图片。
若手机没办法贴上，请在交卡时直接传一张给GM。</t>
        </r>
      </text>
    </comment>
    <comment ref="N8" authorId="0">
      <text>
        <r>
          <rPr>
            <sz val="9"/>
            <rFont val="宋体"/>
            <family val="3"/>
            <charset val="134"/>
          </rPr>
          <t xml:space="preserve">幻灵皆为虚造。
非特殊情况下，未来、异闻带不开放。</t>
        </r>
      </text>
    </comment>
    <comment ref="F13" authorId="0">
      <text>
        <r>
          <rPr>
            <sz val="9"/>
            <rFont val="宋体"/>
            <family val="3"/>
            <charset val="134"/>
          </rPr>
          <t xml:space="preserve">袖珍：0~140cm；
通常：141~220cm；
巨大：221~1000cm；
超巨大：1001~∞。</t>
        </r>
      </text>
    </comment>
  </commentList>
</comments>
</file>

<file path=xl/comments3.xml><?xml version="1.0" encoding="utf-8"?>
<comments xmlns="http://schemas.openxmlformats.org/spreadsheetml/2006/main">
  <authors>
    <author>misak</author>
  </authors>
  <commentList>
    <comment ref="E18" authorId="0">
      <text>
        <r>
          <rPr>
            <sz val="9"/>
            <rFont val="宋体"/>
            <family val="3"/>
            <charset val="134"/>
          </rPr>
          <t xml:space="preserve">此处由GM凭借个人主观意志进行填写。</t>
        </r>
      </text>
    </comment>
  </commentList>
</comments>
</file>

<file path=xl/sharedStrings.xml><?xml version="1.0" encoding="utf-8"?>
<sst xmlns="http://schemas.openxmlformats.org/spreadsheetml/2006/main" uniqueCount="630" count="630">
  <si>
    <t>對應規則書︰2.05</t>
  </si>
  <si>
    <t>更新记录</t>
  </si>
  <si>
    <t>自动化一部份的属性分配</t>
  </si>
  <si>
    <t>加入看上去很酷的属性图</t>
  </si>
  <si>
    <t>加入详细的圣遗物介绍</t>
  </si>
  <si>
    <t>加入特性(可选规则)用的格子</t>
  </si>
  <si>
    <t>只是加了一個職階技能的格子，方便特殊職階車卡。拜託普通職階不要填</t>
  </si>
  <si>
    <t>將特性這不會暴露，暴露後易被針對的效果移至角色卡下方，以便GM處理情報</t>
  </si>
  <si>
    <t>為特性提供了實驗性質的效果槽，是否啟用自行向GM查詢</t>
  </si>
  <si>
    <t>Berserker的基礎屬性調整，1.79以下的版本的參加者請注意</t>
  </si>
  <si>
    <t>六維圖修了修</t>
  </si>
  <si>
    <t>技能效果多加了一行，讓說明有點複雜的技能不用整天拉長行數。但是說明超長的依然要拉長行數</t>
  </si>
  <si>
    <t>其實什麼都沒動，但為了對稱所以再發一版~</t>
  </si>
  <si>
    <t>這回真的有更動!寶具/技能的名稱格子長了!</t>
  </si>
  <si>
    <t>遺物介紹的格子微調了</t>
  </si>
  <si>
    <t>特性由原來的範例，改成一些針對性的問題，寫特性時請將這些問題納入考慮</t>
  </si>
  <si>
    <t>Avenger的基礎屬性確立，2.03以下的版本注意</t>
  </si>
  <si>
    <t>雖然很丟人，但之前一直將貼圖鎖了....現在不解除保護也能貼圖了</t>
  </si>
  <si>
    <t>Lancer的基础属性调整，2.05以下的版本注意</t>
  </si>
  <si>
    <t>6.0</t>
  </si>
  <si>
    <t>角色的屬性改成橫的，方便填表時右鍵</t>
  </si>
  <si>
    <t>角色頭像可以放更大的了</t>
  </si>
  <si>
    <t>陣營的位置改放到「角色經歷」</t>
  </si>
  <si>
    <t>調整了一下排版，如無意外角卡可以用A4size印出來了</t>
  </si>
  <si>
    <t>有些排版出包了，調整完成。</t>
  </si>
  <si>
    <t>GM开团前「可」准备的事</t>
  </si>
  <si>
    <t>在数值参考页面按自己特有的村规进行基础属性、点数的调整。或加入新职阶</t>
  </si>
  <si>
    <t>本角色卡是为圣杯战争跑团准备的战斗计算表。</t>
  </si>
  <si>
    <t>该圣杯战争跑团规则大部分采用了日本现在较流行的男爵圣杯规则作为基底，进行魔改的TRPG规则，在游戏上简约了战斗部分，以实际扮演为主体的游戏方式。</t>
  </si>
  <si>
    <t>若有疑问可加群424815329查询</t>
  </si>
  <si>
    <t>阵营</t>
  </si>
  <si>
    <t>外貌描述</t>
  </si>
  <si>
    <t>肖像</t>
  </si>
  <si>
    <t>资源上限</t>
  </si>
  <si>
    <t>特攻列表</t>
  </si>
  <si>
    <t>职阶</t>
  </si>
  <si>
    <t>灵基</t>
  </si>
  <si>
    <t>令咒</t>
  </si>
  <si>
    <t>剩余资源</t>
  </si>
  <si>
    <t>特性</t>
  </si>
  <si>
    <t>花费资源</t>
  </si>
  <si>
    <t>时代</t>
  </si>
  <si>
    <t>过去</t>
  </si>
  <si>
    <t>Saber</t>
  </si>
  <si>
    <t>隐属</t>
  </si>
  <si>
    <t>地</t>
  </si>
  <si>
    <t>英灵</t>
  </si>
  <si>
    <t>性别</t>
  </si>
  <si>
    <t>人型</t>
  </si>
  <si>
    <t>扩容</t>
  </si>
  <si>
    <t>体型</t>
  </si>
  <si>
    <t>注释</t>
  </si>
  <si>
    <t>通常</t>
  </si>
  <si>
    <t>特攻列表不会也不能为其他角色所获取。</t>
  </si>
  <si>
    <t>等级</t>
  </si>
  <si>
    <t>筋力</t>
  </si>
  <si>
    <t>耐久</t>
  </si>
  <si>
    <t>敏捷</t>
  </si>
  <si>
    <t>魔力</t>
  </si>
  <si>
    <t>幸运</t>
  </si>
  <si>
    <t>宝具</t>
  </si>
  <si>
    <t>属性点数</t>
  </si>
  <si>
    <t>RP补正</t>
  </si>
  <si>
    <t>合计</t>
  </si>
  <si>
    <t>分配</t>
  </si>
  <si>
    <t>剩余点数</t>
  </si>
  <si>
    <t>基础上限</t>
  </si>
  <si>
    <t>补正</t>
  </si>
  <si>
    <t>职阶技能</t>
  </si>
  <si>
    <t>模板</t>
  </si>
  <si>
    <t>对魔力</t>
  </si>
  <si>
    <t>A(本职)</t>
  </si>
  <si>
    <t>资源</t>
  </si>
  <si>
    <t>风王结界</t>
  </si>
  <si>
    <t>C</t>
  </si>
  <si>
    <t>名称</t>
  </si>
  <si>
    <t>类型</t>
  </si>
  <si>
    <t>职介</t>
  </si>
  <si>
    <t>回转</t>
  </si>
  <si>
    <t>对军</t>
  </si>
  <si>
    <t>发动时机</t>
  </si>
  <si>
    <t>常驻</t>
  </si>
  <si>
    <t>魔力消耗</t>
  </si>
  <si>
    <t>效果</t>
  </si>
  <si>
    <t>（不论持有的职介技能数量，对于从者职介带来的职介技能，其基础等级皆为E，每提升一级都需要消耗1RP）</t>
  </si>
  <si>
    <t>（每名从者持有一个初始宝具栏，每个额外宝具栏需消耗2RP购入，写作[扩容]）</t>
  </si>
  <si>
    <t>背景</t>
  </si>
  <si>
    <t>誓约胜利之剑</t>
  </si>
  <si>
    <t>A</t>
  </si>
  <si>
    <t>对人</t>
  </si>
  <si>
    <t>随时</t>
  </si>
  <si>
    <t>保有技能</t>
  </si>
  <si>
    <t>礼装</t>
  </si>
  <si>
    <t>魔力放出</t>
  </si>
  <si>
    <t>/</t>
  </si>
  <si>
    <t>技艺</t>
  </si>
  <si>
    <t>（建卡时，从者无法持有礼装）</t>
  </si>
  <si>
    <t>领袖气质</t>
  </si>
  <si>
    <t>天赋</t>
  </si>
  <si>
    <t>直感</t>
  </si>
  <si>
    <t>最能代表角色的一句话:</t>
  </si>
  <si>
    <t>角色之核心人設</t>
  </si>
  <si>
    <t>(玩家对扮演角色的再解读，以英雄的事迹、史料作参考，构建出有血有肉独属于玩家自己的英灵。）</t>
  </si>
  <si>
    <t>耐力</t>
  </si>
  <si>
    <t>样貌特点</t>
  </si>
  <si>
    <t>身高</t>
  </si>
  <si>
    <t>体重</t>
  </si>
  <si>
    <t>玩家</t>
  </si>
  <si>
    <t>喜好事物</t>
  </si>
  <si>
    <t>厌恶事物</t>
  </si>
  <si>
    <t>秩序-善</t>
  </si>
  <si>
    <t>图片</t>
  </si>
  <si>
    <t>圣遗物评级</t>
  </si>
  <si>
    <t>Euclid</t>
  </si>
  <si>
    <t>地域</t>
  </si>
  <si>
    <t>年代</t>
  </si>
  <si>
    <t>外观</t>
  </si>
  <si>
    <t>出产地点</t>
  </si>
  <si>
    <t>真名</t>
  </si>
  <si>
    <t>英灵愿望</t>
  </si>
  <si>
    <t>你希望拥有怎样的御主？在什么情况下你可能会违背御主的命令？</t>
  </si>
  <si>
    <t>职业</t>
  </si>
  <si>
    <t>（你扮演的角色为了什么回应圣杯？这个愿望可以被放弃吗？在绝对无法做到的情况下你的角色会做什么？）</t>
  </si>
  <si>
    <t>女</t>
  </si>
  <si>
    <t>国家</t>
  </si>
  <si>
    <t>信仰</t>
  </si>
  <si>
    <t>你在战斗中会以怎样的姿态面对你的对手？</t>
  </si>
  <si>
    <t>典出</t>
  </si>
  <si>
    <t>角色资料</t>
  </si>
  <si>
    <t>（此处可以书写百科中对你扮演的角色的介绍，请优先截取侧重点进行复制）</t>
  </si>
  <si>
    <t>你认为友谊是什么？你愿意把后背托付给怎么样的战友？</t>
  </si>
  <si>
    <t>此空白留给GM为了更好理解你扮演的角色而给出询问</t>
  </si>
  <si>
    <t>职阶适性</t>
  </si>
  <si>
    <t>（为什么你扮演的角色作为这个职介现界？）</t>
  </si>
  <si>
    <t>英灵原则</t>
  </si>
  <si>
    <t>（在圣杯战争中，你扮演的角色会遵循哪些世俗的道德原则？又或者他存在自己的原则？）</t>
  </si>
  <si>
    <t>下方的效果将严重影响角色方针，请自行填写描述，由GM决定具体效果</t>
  </si>
  <si>
    <t>特性:</t>
  </si>
  <si>
    <t>（例：无尽的强制）</t>
  </si>
  <si>
    <t>效果︰</t>
  </si>
  <si>
    <t>（例：执行[机动]的回合内作为袭击方参与战斗时将额外获得[+5%]的胜率补正）</t>
  </si>
  <si>
    <t>描述︰</t>
  </si>
  <si>
    <t>（例：你的角色无论如何都不会放弃圣杯，将会用尽一切手段攻击其他可能的阻碍者或在战斗中胜出）</t>
  </si>
  <si>
    <t>职阶名称</t>
  </si>
  <si>
    <t>技能等级</t>
  </si>
  <si>
    <r>
      <rPr>
        <charset val="134"/>
        <sz val="12"/>
        <color rgb="FF000000"/>
        <rFont val="宋体"/>
      </rPr>
      <t>对应</t>
    </r>
    <r>
      <rPr>
        <b/>
        <charset val="134"/>
        <sz val="12"/>
        <color rgb="FF000000"/>
        <rFont val="宋体"/>
      </rPr>
      <t>RP</t>
    </r>
  </si>
  <si>
    <t>宝具等级</t>
  </si>
  <si>
    <t>E</t>
  </si>
  <si>
    <t>Saber(骑乘)</t>
  </si>
  <si>
    <t>D</t>
  </si>
  <si>
    <t>Lancer</t>
  </si>
  <si>
    <t>Rider</t>
  </si>
  <si>
    <t>B</t>
  </si>
  <si>
    <t>Archer</t>
  </si>
  <si>
    <t>Caster</t>
  </si>
  <si>
    <t>EX</t>
  </si>
  <si>
    <t>Assassin</t>
  </si>
  <si>
    <t>-(E)</t>
  </si>
  <si>
    <t>Berserker</t>
  </si>
  <si>
    <t>-(D)</t>
  </si>
  <si>
    <t>-(C)</t>
  </si>
  <si>
    <t>-(B)</t>
  </si>
  <si>
    <t>-(A)</t>
  </si>
  <si>
    <t>-(EX)</t>
  </si>
  <si>
    <t>E+</t>
  </si>
  <si>
    <t>D+</t>
  </si>
  <si>
    <t>C+</t>
  </si>
  <si>
    <t>B+</t>
  </si>
  <si>
    <t>A+</t>
  </si>
  <si>
    <t>E++</t>
  </si>
  <si>
    <t>D++</t>
  </si>
  <si>
    <t>C++</t>
  </si>
  <si>
    <t>B++</t>
  </si>
  <si>
    <t>A++</t>
  </si>
  <si>
    <t>E+++</t>
  </si>
  <si>
    <t>D+++</t>
  </si>
  <si>
    <t>C+++</t>
  </si>
  <si>
    <t>B+++</t>
  </si>
  <si>
    <t>A+++</t>
  </si>
  <si>
    <t>*仅包含常用资源</t>
  </si>
  <si>
    <t>基础属性</t>
  </si>
  <si>
    <t>职阶奖励与特性</t>
  </si>
  <si>
    <t>属性</t>
  </si>
  <si>
    <t>[对魔力]上升一级。</t>
  </si>
  <si>
    <t>点数</t>
  </si>
  <si>
    <t>需要主动释放且[类型：对人宝具]的宝具所消耗的魔力降低10点。</t>
  </si>
  <si>
    <t>从[对魔力]或[单独行动]中，择一项上升一级。</t>
  </si>
  <si>
    <t>从[对魔力]或[骑乘]中，择一项上升一级。</t>
  </si>
  <si>
    <t>从[阵地制作]或[道具制作]中，择一项上升一级。</t>
  </si>
  <si>
    <t>[气息遮蔽]上升一级。</t>
  </si>
  <si>
    <t>[狂化]可选择是否上升或下降一级。</t>
  </si>
  <si>
    <t>除了 EX 级别的狂化外，B 等级以上的狂化解放宝具时，</t>
  </si>
  <si>
    <t>需额外消耗一枚令咒才能解放。(该枚令咒将视为胜率补正消耗)。</t>
  </si>
  <si>
    <t>技能资源库</t>
  </si>
  <si>
    <t>基础技能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</si>
  <si>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</si>
  <si>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</si>
  <si>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</si>
  <si>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</si>
  <si>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</si>
  <si>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</si>
  <si>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</si>
  <si>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</si>
  <si>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</si>
  <si>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</si>
  <si>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</si>
  <si>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</si>
  <si>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</si>
  <si>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</si>
  <si>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</si>
  <si>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</si>
  <si>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</si>
  <si>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</si>
  <si>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</si>
  <si>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主要工序</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</si>
  <si>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</si>
  <si>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</si>
  <si>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</si>
  <si>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</si>
  <si>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</si>
  <si>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</si>
  <si>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</si>
  <si>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</si>
  <si>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</si>
  <si>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</si>
  <si>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</si>
  <si>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</si>
  <si>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</si>
  <si>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</si>
  <si>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</si>
  <si>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</si>
  <si>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</si>
  <si>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</si>
  <si>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</si>
  <si>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</si>
  <si>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</si>
  <si>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</si>
  <si>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</si>
  <si>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</si>
  <si>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</si>
  <si>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</si>
  <si>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</si>
  <si>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</si>
  <si>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</si>
  <si>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</si>
  <si>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</si>
  <si>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</si>
  <si>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本次圣杯战争仅能使用一次，令与自身有关且是自身所签订的一项[契约]失效，且对方将无法察觉[契约]的失效。</t>
  </si>
  <si>
    <t>特化技能</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</si>
  <si>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</si>
  <si>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</si>
  <si>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</si>
  <si>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</si>
  <si>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</si>
  <si>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</si>
  <si>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</si>
  <si>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</si>
  <si>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</si>
  <si>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</si>
  <si>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</si>
  <si>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</si>
  <si>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</si>
  <si>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</si>
  <si>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</si>
  <si>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</si>
  <si>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</si>
  <si>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</si>
  <si>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</si>
  <si>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</si>
  <si>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</si>
  <si>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</si>
  <si>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</si>
  <si>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</si>
  <si>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</si>
  <si>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</si>
  <si>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</si>
  <si>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</si>
  <si>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</si>
  <si>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</si>
  <si>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</si>
  <si>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</si>
  <si>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</si>
  <si>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</si>
  <si>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</si>
  <si>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</si>
  <si>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技能资源列表</t>
  </si>
  <si>
    <t>宝具资源列表</t>
  </si>
  <si>
    <t>时机</t>
  </si>
  <si>
    <t>魔耗</t>
  </si>
  <si>
    <t>技能发动时</t>
  </si>
  <si>
    <t>[反击][支援]
当自身成为此技能等级相同或以下的[类型：魔术]技能的效果对象，或受到其效果影响时可以发动，令那个技能对自身可能生效的效果无效，且不会返还发动消耗。</t>
  </si>
  <si>
    <t>骑乘</t>
  </si>
  <si>
    <t>自身具有[骑乘]的技能或宝具生效时，给予自身[+10%]的胜率补正。</t>
  </si>
  <si>
    <t>自身具有[骑乘]的技能或宝具生效时，给予自身[+20%]的胜率补正。</t>
  </si>
  <si>
    <t>自身具有[骑乘]的技能或宝具生效时，给予自身[+30%]的胜率补正。</t>
  </si>
  <si>
    <t>自身具有[骑乘]的技能或宝具生效时，给予自身[+40%]的胜率补正。</t>
  </si>
  <si>
    <t>自身具有[骑乘]的技能或宝具生效时，给予自身[+50%]的胜率补正。</t>
  </si>
  <si>
    <t>单独行动</t>
  </si>
  <si>
    <t>自身进行广泛侦查时，额外获得[+10%]的最终成功率补正。
自身魔力下限改为[-200]，魔力不足惩罚改为每达到[-20]，全属性将受到[-5]的惩罚。
御主死亡或与御主解除[圣杯契约]后仍可以存活[1]天，在此期间将不结算待机耗魔，但亦无法获得来自[灵脉]或[圣杯]的供魔。
魔力不足达到下限或剩余回合数不足时将会消灭。</t>
  </si>
  <si>
    <t>自身进行广泛侦查时，额外获得[+20%]的最终成功率补正。
自身魔力下限改为[-200]，魔力不足惩罚改为每达到[-20]，全属性将受到[-5]的惩罚。
御主死亡或与御主解除[圣杯契约]后仍可以存活[2]天，在此期间将不结算待机耗魔，但亦无法获得来自[灵脉]或[圣杯]的供魔。
魔力不足达到下限或剩余回合数不足时将会消灭。</t>
  </si>
  <si>
    <t>自身进行广泛侦查时，额外获得[+30%]的最终成功率补正。
自身魔力下限改为[-200]，魔力不足惩罚改为每达到[-20]，全属性将受到[-5]的惩罚。
御主死亡或与御主解除[圣杯契约]后仍可以存活[3]天，在此期间将不结算待机耗魔，但亦无法获得来自[灵脉]或[圣杯]的供魔。
魔力不足达到下限或剩余回合数不足时将会消灭。</t>
  </si>
  <si>
    <t>自身进行广泛侦查时，额外获得[+40%]的最终成功率补正。
自身魔力下限改为[-200]，魔力不足惩罚改为每达到[-20]，全属性将受到[-5]的惩罚。
御主死亡或与御主解除[圣杯契约]后仍可以存活[4]天，在此期间将不结算待机耗魔，但亦无法获得来自[灵脉]或[圣杯]的供魔。
魔力不足达到下限或剩余回合数不足时将会消灭。</t>
  </si>
  <si>
    <t>自身进行广泛侦查时，额外获得[+50%]的最终成功率补正。
自身魔力下限改为[-200]，魔力不足惩罚改为每达到[-20]，全属性将受到[-5]的惩罚。
御主死亡或与御主解除[圣杯契约]后仍可以存活[5]天，在此期间将不结算待机耗魔，但亦无法获得来自[灵脉]或[圣杯]的供魔。
魔力不足达到下限或剩余回合数不足时将会消灭。</t>
  </si>
  <si>
    <t>阵地制作</t>
  </si>
  <si>
    <t>职介/魔术</t>
  </si>
  <si>
    <t>消耗一回合行动后发动，付与当前灵脉[阵地]。赋予灵脉[+10]的魔力量提升。
在该[阵地]上进行战斗时，将会自动触发，给予对方[-10%]的[胜率惩罚]。[阵地]不可叠加。</t>
  </si>
  <si>
    <t>消耗一回合行动后发动，付与当前灵脉[阵地]。赋予灵脉[+10]的魔力量提升。
在该[阵地]上进行战斗时，将会自动触发，给予对方[-20%]的[胜率惩罚]。[阵地]不可叠加。</t>
  </si>
  <si>
    <t>允许持有者进行[魔术工房]的建设，可以20的魔力消耗代替建造所消耗的次数。自阵营持有存在[魔术工房]的灵脉上，构造容量获得[2]的扩充。</t>
  </si>
  <si>
    <t>允许持有者进行[魔术工房]的建设，可以20的魔力消耗代替建造所消耗的次数。自阵营持有存在[魔术工房]的灵脉上，构造容量获得[4]的扩充。</t>
  </si>
  <si>
    <t>允许进行[神殿]的建设。可以消耗魔力与行动阶段，将当前灵脉上全部工房的基本构件更换为一个神殿的基本构件。</t>
  </si>
  <si>
    <t>道具制作</t>
  </si>
  <si>
    <t>允许持有者进行礼装制作。
在自身[制作礼装]时，可将成功率改为自身[基础魔力*2%]。
一场战斗中自身可以使用的礼装上限额外[+1]。</t>
  </si>
  <si>
    <t>允许持有者进行礼装制作。
在自身[制作礼装]时，可将成功率改为自身[基础魔力*2%]。
一场战斗中自身可以使用的礼装上限额外[+2]。</t>
  </si>
  <si>
    <t>允许持有者进行礼装制作。
在自身[制作礼装]时，可将成功率改为自身[基础魔力*2%]。
一场战斗中自身可以使用的礼装上限额外[+3]。</t>
  </si>
  <si>
    <t>允许持有者进行礼装制作。
在自身[制作礼装]时，可将成功率改为自身[基础魔力*2%]。
一场战斗中自身可以使用的礼装上限额外[+4]。</t>
  </si>
  <si>
    <t>允许持有者进行礼装制作。
在自身[制作礼装]时，可将成功率改为自身[基础魔力*2%]。
一场战斗中自身可以使用的礼装上限额外[+5]。</t>
  </si>
  <si>
    <t>气息遮蔽</t>
  </si>
  <si>
    <t>任意阵营进行广泛侦查时，若侦查判定结果在[25]以上，那么自身不会因此暴露所在位置。自身不会因开局获得情报的能力暴露所在位置。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若敌方主力位单位初次与自身进行战斗，且未对自身进行成功的真名猜测时，则给予己方[+10%]的胜率补正。</t>
  </si>
  <si>
    <t>任意阵营进行广泛侦查时，若侦查判定结果在[20]以上，那么自身不会因此暴露所在位置。自身不会因开局获得情报的能力暴露所在位置。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若敌方主力位单位初次与自身进行战斗，且未对自身进行成功的真名猜测时，则给予己方[+20%]的胜率补正。</t>
  </si>
  <si>
    <t>任意阵营进行广泛侦查时，若侦查判定结果在[15]以上，那么自身不会因此暴露所在位置。自身不会因开局获得情报的能力暴露所在位置。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若敌方主力位单位初次与自身进行战斗，且未对自身进行成功的真名猜测时，则给予己方[+30%]的胜率补正。</t>
  </si>
  <si>
    <t>任意阵营进行广泛侦查时，若侦查判定结果在[10]以上，那么自身不会因此暴露所在位置。自身不会因开局获得情报的能力暴露所在位置。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若敌方主力位单位初次与自身进行战斗，且未对自身进行成功的真名猜测时，则给予己方[+40%]的胜率补正。</t>
  </si>
  <si>
    <t>任意阵营进行广泛侦查时，若侦查判定结果在[5]以上，那么自身不会因此暴露所在位置。自身不会因开局获得情报的能力暴露所在位置。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若敌方主力位单位初次与自身进行战斗，且未对自身进行成功的真名猜测时，则给予己方[+50%]的胜率补正。</t>
  </si>
  <si>
    <t>狂化</t>
  </si>
  <si>
    <t>自身拥有除[宝具]以外全属性[+10]的常驻补正。
自身每次主动解放宝具时，如御主不宣言消耗一枚令咒则无法进行解放。
自身契约御主每消耗一枚令咒时，此技能带来的常驻补正[+5]，且消耗魔力[+10]。</t>
  </si>
  <si>
    <t>自身拥有除[宝具]以外全属性[+15]的常驻补正。
自身每次主动解放宝具时，如御主不宣言消耗一枚令咒则无法进行解放。
自身契约御主每消耗一枚令咒时，此技能带来的常驻补正[+5]，且消耗魔力[+10]。</t>
  </si>
  <si>
    <t>自身拥有除[宝具]以外全属性[+20]的常驻补正。
自身每次主动解放宝具时，如御主不宣言消耗一枚令咒则无法进行解放。
自身契约御主每消耗一枚令咒时，此技能带来的常驻补正[+5]，且消耗魔力[+10]。</t>
  </si>
  <si>
    <t>自身拥有除[宝具]以外全属性[+25]的常驻补正。
自身每次主动解放宝具时，如御主不宣言消耗一枚令咒则无法进行解放。
自身契约御主每消耗一枚令咒时，此技能带来的常驻补正[+5]，且消耗魔力[+10]。</t>
  </si>
  <si>
    <t>自身拥有除[宝具]以外全属性[+30]的常驻补正。
自身每次主动解放宝具时，如御主不宣言消耗一枚令咒则无法进行解放。
自身契约御主每消耗一枚令咒时，此技能带来的常驻补正[+5]，且消耗魔力[+10]。</t>
  </si>
  <si>
    <t>自身拥有除[宝具]以外全属性[+20]的常驻补正。
建卡时必须从以下效果中选择1项：
1、在战斗中，自身无法撤退；
2、自身无法与任意其他单位共处一方战斗位上；
3、自身无法交流，无法进行语言类和心理类的角色扮演（原则上禁止脑交）；
4、自身无法经由任何办法发起袭击；
5、每天必须参与一次战斗、否则额外产生20魔耗。</t>
  </si>
  <si>
    <t>己方战斗位上存在每一体单位，将会给予自身[+10%]的胜率补正。
这个技能带来的胜率补正上限为[10%]。</t>
  </si>
  <si>
    <t>己方战斗位上存在每一体单位，将会给予自身[+10%]的胜率补正。
这个技能带来的胜率补正上限为[20%]。</t>
  </si>
  <si>
    <t>己方战斗位上存在每一体单位，将会给予自身[+10%]的胜率补正。
这个技能带来的胜率补正上限为[30%]。</t>
  </si>
  <si>
    <t>己方战斗位上存在每一体单位，将会给予自身[+10%]的胜率补正。
这个技能带来的胜率补正上限为[40%]。</t>
  </si>
  <si>
    <t>己方战斗位上存在每一体单位，将会给予自身[+10%]的胜率补正。
这个技能带来的胜率补正上限为[50%]。</t>
  </si>
  <si>
    <t>[反击][支援]
当自身成为任一与不大于此技能等级的技能或宝具目标时才可以解放，指定那个技能或宝具的发动者。
给予自身[抗性上升：15%]。
以自身为目标的每个负面判定失败时，给予自身[+5%]的胜率补正。</t>
  </si>
  <si>
    <t>心眼（伪）</t>
  </si>
  <si>
    <t>每有一项在[战斗属性表]中处于劣势的属性，都会给予自身[+15%]的胜率补正。
这个技能带来的胜率补正上限为[15%]。</t>
  </si>
  <si>
    <t>每有一项在[战斗属性表]中处于劣势的属性，都会给予自身[+15%]的胜率补正。
这个技能带来的胜率补正上限为[30%]。</t>
  </si>
  <si>
    <t>每有一项在[战斗属性表]中处于劣势的属性，都会给予自身[+15%]的胜率补正。
这个技能带来的胜率补正上限为[45%]。</t>
  </si>
  <si>
    <t>勇猛</t>
  </si>
  <si>
    <t>战术为[强击]或[破袭]，且未失效的场合，给予自身[+15%]的胜率补正。</t>
  </si>
  <si>
    <t>战术为[强击]或[破袭]，且未失效的场合，给予自身[+20%]的胜率补正。</t>
  </si>
  <si>
    <t>战术为[强击]或[破袭]，且未失效的场合，给予自身[+25%]的胜率补正。</t>
  </si>
  <si>
    <t>战术为[强击]或[破袭]，且未失效的场合，给予自身[+30%]的胜率补正。</t>
  </si>
  <si>
    <t>战术为[强击]或[破袭]，且未失效的场合，给予自身[+35%]的胜率补正。</t>
  </si>
  <si>
    <t>怪力</t>
  </si>
  <si>
    <t>自身的[筋力]获得[+20]的基础补正。</t>
  </si>
  <si>
    <t>自身的[筋力]获得[+25]的基础补正。</t>
  </si>
  <si>
    <t>自身的[筋力]获得[+30]的基础补正。</t>
  </si>
  <si>
    <t>千里眼</t>
  </si>
  <si>
    <t>自身不必处于战斗发生灵脉上，也能知悉未被隐藏的战斗之[战斗计算表]上的内容。
当自身在进行[侦查]相关的行动指令时，将会获得[+10%]的基础成功率补正。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</si>
  <si>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当自身在进行[侦查]相关的行动指令时，将会获得[+20%]的基础成功率补正。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</si>
  <si>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当自身在进行[侦查]相关的行动指令时，将会获得[+30%]的基础成功率补正。
当自身保有的[类型：魔术]技能发动时，若需进行发动判定，则判定出目默认为[1]。</t>
  </si>
  <si>
    <t>石化之魔眼</t>
  </si>
  <si>
    <t>回合开始或发生干涉时，对当前灵脉上除自身以外所有单位进行一次成功率为[10%]的[石化]判定。成功的场合下，给予目标[石化]。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</si>
  <si>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回合开始或发生干涉时，对当前灵脉上除自身以外所有单位进行一次成功率为[25%]的[石化]判定。成功的场合下，给予目标[石化]。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</si>
  <si>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回合开始或发生干涉时，对当前灵脉上除自身以外所有单位进行一次成功率为[40%]的[石化]判定。成功的场合下，给予目标[石化]。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</si>
  <si>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藏知的司书</t>
  </si>
  <si>
    <t>进行一次成功率=[20%]的判定，成功的场合下，获得除自身与同阵营单位外随机单位的位置信息；若已知其位置信息，且对方为御主，则获得其详细侦查信息。</t>
  </si>
  <si>
    <t>进行一次成功率=[40%]的判定，成功的场合下，获得除自身与同阵营单位外随机单位的位置信息；若已知其位置信息，且对方为御主，则获得其详细侦查信息。</t>
  </si>
  <si>
    <t>进行一次成功率=[60%]的判定，成功的场合下，获得除自身与同阵营单位外随机单位的位置信息；若已知其位置信息，且对方为御主，则获得其详细侦查信息。</t>
  </si>
  <si>
    <t>进行一次成功率=[80%]的判定，成功的场合下，获得除自身与同阵营单位外随机单位的位置信息；若已知其位置信息，且对方为御主，则获得其详细侦查信息。</t>
  </si>
  <si>
    <t>给予自身的[筋力][耐久][敏捷]当中的任一项属性[+5]的常驻补正与[+10%]的胜率补正。
这个技能带来的常驻补正将会在回合结束时失去。</t>
  </si>
  <si>
    <t>给予自身的[筋力][耐久][敏捷]当中的任一项属性[+10]的常驻补正与[+10%]的胜率补正。
这个技能带来的常驻补正将会在回合结束时失去。</t>
  </si>
  <si>
    <t>给予自身的[筋力][耐久][敏捷]当中的任一项属性[+15]的常驻补正与[+10%]的胜率补正。
这个技能带来的常驻补正将会在回合结束时失去。</t>
  </si>
  <si>
    <t>军略</t>
  </si>
  <si>
    <t>[主力位]
自身[战术]未被克制时才能生效。
我方发动[对军宝具]时，给予自身[+5%]的胜率补正。
自身[战术]克制敌方，且在敌方发动[对军宝具]时，给予自身[+5%]的胜率补正。</t>
  </si>
  <si>
    <t>[主力位]
自身[战术]未被克制时才能生效。
我方发动[对军宝具]时，给予自身[+10%]的胜率补正。
自身[战术]克制敌方，且在敌方发动[对军宝具]时，给予自身[+10%]的胜率补正。</t>
  </si>
  <si>
    <t>[主力位]
自身[战术]未被克制时才能生效。
我方发动[对军宝具]时，给予自身[+15%]的胜率补正。
自身[战术]克制敌方，且在敌方发动[对军宝具]时，给予自身[+15%]的胜率补正。</t>
  </si>
  <si>
    <t>[主力位]
自身[战术]未被克制时才能生效。
我方发动[对军宝具]时，给予自身[+20%]的胜率补正。
自身[战术]克制敌方，且在敌方发动[对军宝具]时，给予自身[+20%]的胜率补正。</t>
  </si>
  <si>
    <t>[主力位]
自身[战术]未被克制时才能生效。
我方发动[对军宝具]时，给予自身[+25%]的胜率补正。
自身[战术]克制敌方，且在敌方发动[对军宝具]时，给予自身[+25%]的胜率补正。</t>
  </si>
  <si>
    <t>从者等级</t>
  </si>
  <si>
    <t>分配点数</t>
  </si>
  <si>
    <t>筋力：</t>
  </si>
  <si>
    <t>耐力：</t>
  </si>
  <si>
    <t>敏捷：</t>
  </si>
  <si>
    <t>魔力：</t>
  </si>
  <si>
    <t>幸运：</t>
  </si>
  <si>
    <t>宝具：</t>
  </si>
  <si>
    <t>职阶特性</t>
  </si>
  <si>
    <t>秩序·善</t>
  </si>
  <si>
    <t>宝具栏数量最大为2，建卡时可以通过放弃【骑乘】来额外获得2的RP用于资源兑换。</t>
  </si>
  <si>
    <t>中立·善</t>
  </si>
  <si>
    <t>自身的其中一项等级最高宝具的魔耗【-20】（最低为0），允许宣言指令【冲锋】。</t>
  </si>
  <si>
    <t>混沌·善</t>
  </si>
  <si>
    <t>自身的其中一项等级最高宝具获得【爆发】特性，且建卡时额外拥有2的RP用于在宝具资源上的兑换。</t>
  </si>
  <si>
    <t>秩序·中立</t>
  </si>
  <si>
    <t>初始宝具栏数量为2，且自身其中一项宝具获得【骑乘】特性。</t>
  </si>
  <si>
    <t>空</t>
  </si>
  <si>
    <t>中立·中庸</t>
  </si>
  <si>
    <t>自身的【魔力】属性视为等值的【回路】属性，魔力池额外获得50上限，且自身持有的魔术技能获得【双发】特性。</t>
  </si>
  <si>
    <t>混沌·中立</t>
  </si>
  <si>
    <t>自身发起的负面判定成功率[+20%]调整值。</t>
  </si>
  <si>
    <t>秩序·恶</t>
  </si>
  <si>
    <t>【筋力】【耐久】【敏捷】的分配属性上限修改为80，【魔力】【幸运】的分配属性上限修改为40。</t>
  </si>
  <si>
    <t>中立·恶</t>
  </si>
  <si>
    <t>混沌·恶</t>
  </si>
  <si>
    <t>Ruler</t>
  </si>
  <si>
    <t>秩序·狂</t>
  </si>
  <si>
    <t>Shielder</t>
  </si>
  <si>
    <t>中立·狂</t>
  </si>
  <si>
    <t>Foreigner</t>
  </si>
  <si>
    <t>混沌·狂</t>
  </si>
  <si>
    <t>Alterego</t>
  </si>
  <si>
    <t>Moon Cancer</t>
  </si>
  <si>
    <t>Beast</t>
  </si>
  <si>
    <t>Avenger</t>
  </si>
  <si>
    <t>技能等级转化资源</t>
  </si>
  <si>
    <t>宝具等级转化资源</t>
  </si>
  <si>
    <t>职阶技能等级转化资源</t>
  </si>
  <si>
    <t>A+(本职)</t>
  </si>
  <si>
    <t>A++++</t>
  </si>
  <si>
    <t>- [视为A级]</t>
  </si>
  <si>
    <t>B(本职)</t>
  </si>
  <si>
    <t>- [视为B级]</t>
  </si>
  <si>
    <t>C(本职)</t>
  </si>
  <si>
    <t>- [视为C级]</t>
  </si>
  <si>
    <t>D(本职)</t>
  </si>
  <si>
    <t>E(本职)</t>
  </si>
  <si>
    <t>Foreigner（降临）</t>
  </si>
  <si>
    <t>Foreigner（远航）</t>
  </si>
  <si>
    <t>E级</t>
  </si>
  <si>
    <t>D级</t>
  </si>
  <si>
    <t>C级</t>
  </si>
  <si>
    <t>B级</t>
  </si>
  <si>
    <t>A级</t>
  </si>
  <si>
    <t>EX级</t>
  </si>
  <si>
    <t>- [视为E级]</t>
  </si>
  <si>
    <t>- [视为D级]</t>
  </si>
  <si>
    <t>- [视为EX级]</t>
  </si>
  <si>
    <t>E+级</t>
  </si>
  <si>
    <t>D+级</t>
  </si>
  <si>
    <t>C+级</t>
  </si>
  <si>
    <t>B+级</t>
  </si>
  <si>
    <t>A+级</t>
  </si>
  <si>
    <t>E++级</t>
  </si>
  <si>
    <t>D++级</t>
  </si>
  <si>
    <t>C++级</t>
  </si>
  <si>
    <t>B++纵</t>
  </si>
  <si>
    <t>B++级</t>
  </si>
  <si>
    <t>人</t>
  </si>
  <si>
    <t>虚造</t>
  </si>
  <si>
    <t>人属性</t>
  </si>
  <si>
    <t>守护者</t>
  </si>
  <si>
    <t>A++级</t>
  </si>
  <si>
    <t>E+++级</t>
  </si>
  <si>
    <t>D+++级</t>
  </si>
  <si>
    <t>B+++级</t>
  </si>
  <si>
    <t>C+++级</t>
  </si>
  <si>
    <t>A+++级</t>
  </si>
  <si>
    <t>职阶技能等级</t>
  </si>
  <si>
    <t>A+级(本职)</t>
  </si>
  <si>
    <t>A级(本职)</t>
  </si>
  <si>
    <t>B级(本职)</t>
  </si>
  <si>
    <t>C级(本职)</t>
  </si>
  <si>
    <t>D级(本职)</t>
  </si>
  <si>
    <t>E级(本职)</t>
  </si>
  <si>
    <t>鞍马奇才</t>
  </si>
  <si>
    <t>荣冠</t>
  </si>
  <si>
    <t>0点</t>
  </si>
  <si>
    <t>20点</t>
  </si>
  <si>
    <t>15点</t>
  </si>
  <si>
    <t>1点</t>
  </si>
  <si>
    <t>对人宝具</t>
  </si>
  <si>
    <t>精神污染</t>
  </si>
  <si>
    <t>常驻/战斗开始时</t>
  </si>
  <si>
    <t>60点</t>
  </si>
  <si>
    <t>12点</t>
  </si>
  <si>
    <t>对人~对军宝具</t>
  </si>
  <si>
    <t>紧握其剑，银之臂</t>
  </si>
  <si>
    <t>一闪而逝吧，银之臂</t>
  </si>
  <si>
    <t>紧握其剑吓，银之臂</t>
  </si>
  <si>
    <t>紧握其剑吧，银之臂</t>
  </si>
  <si>
    <t>一闪而逝，银之臂</t>
  </si>
  <si>
    <t>战斗中，常驻赋予自身[筋力][耐力][敏捷]此3项属性[+5*耀阳层数]点的属性补正与[+10*耀阳层数%]的胜率补正，此胜率补正总值至多=[60%]，在战斗开始时可消耗[60]点魔力解放此宝具，并令记述的效果持续生效：
常驻赋予自身[-20%]的底限穿透，自身赋予[战斗属性]补正时记录[耀阳 2]；
同时赋予自身属性值最低的[战斗属性][+自身具有的底限穿透总值]点的属性补正；
在战斗结束时，此宝具记录的[耀阳]层数减半。
注.当自身存在[魅惑/恐惧/混乱]或解放其他保有宝具或此宝具未处于回转中时清除此宝具的全部记录，并使本次解放的效果失效，当因记述的情况导致效果失效时回转值立刻获得至[6]点。
注.此宝具不会因技能或宝具的效果无法获得回转。</t>
  </si>
  <si>
    <t>[主力位]
此宝具仅可在[耀阳啊，请为我领首吧]的解放效果生效时进行解放
此宝具共具有2种解放方式
视作[类型：对人]：赋予敌方主力位[-15*[耀阳]层数%]的胜率惩罚，己方的[战斗属性]在对抗中每存在1项处于[劣势]则额外赋予其[-5*[耀阳]层数%]的胜率惩罚，此胜率惩罚总值至多=[90%]。
视作[类型：对军]：赋予敌方战斗位中全部非[支援位]单位[-(30+5*[耀阳]层数)%]的胜率惩罚，此胜率惩罚总值至多=[60%]，且对非[主力位]的单位惩罚值减半。
解放此宝具的战斗结束时，赋予自身[疲惫 2]
注.此宝具在判定中，同样视作宝具[耀阳啊，请为我领首吧]。</t>
  </si>
  <si>
    <t>在战斗中，自身受到属性补正时，若此属性补正未来源于此技能则赋予自身除[宝具]外1项非补正属性[+20]点的属性补正，若此效果同时赋予自身的多项属性则改作赋予自身[+20%]的胜率补正；
因此技能赋予自身属性补正时额外赋予自身[+属性补正值*50%]的胜率补正，因此技能赋予自身胜率补正时额外赋予自身补正属性[+胜率补正值*50%]点的属性补正。
注.此技能效果每场战斗中至多生效[3]次。</t>
  </si>
  <si>
    <t>赋予自身的[筋力][耐力][敏捷]中任意1项[+15]点的常驻补正与[+5%]的胜率补正。
注.因此效果获得的常驻补正将会在回合结束时失去。</t>
  </si>
  <si>
    <t>自身常驻获得[抗性无效：魅惑&amp;恐惧&amp;混乱]，不保有未低于[D]级[对魔力]的单位对自身进行的[真名猜测]必定失败，并令自身发起的[魅惑/恐惧/混乱]判定获得[+20%]的成功率补正。</t>
  </si>
  <si>
    <t>[反击]
自身获得[抗性上升：+5%]
若受到此技能影响的[类型：魔术]技能未对自身造成效果则赋予自身[+10%]的胜率补正；
当自身成为[类型：魔术]技能的效果对象时允许宣言产生效果：仅在此次判定中其对自身的效果下降[-]级，而后此技能失去1点回转，在获得全部回转前此效果无法再次生效。
注.若因此技能令其效果等级降低，但其效果不存在相应等级时以其效果最低等级生效，若其效果等级低于[E]级则此技能无效化(不会返还发动消耗)。</t>
  </si>
  <si>
    <t>[反击]
自身获得[抗性上升：+5%]
若受到此技能影响的[类型：魔术]技能未对自身产生效果则获得[+10%]的胜率补正；
当自身成为[类型：魔术]技能的效果对象时允许宣言产生效果：仅在此次判定中其对自身的效果下降[-]级，且此技能失去1点回转，在获得全部回转前此效果无法再次生效。
注.若因此技能令其效果等级降低，但其效果不存在相应等级时以其效果最低等级生效，若其效果等级低于[E]级则此技能无效化(不会返还发动消耗)。</t>
  </si>
  <si>
    <t>玛嘉烈·临光</t>
  </si>
  <si>
    <t>骑士</t>
  </si>
  <si>
    <t>卡西米尔</t>
  </si>
  <si>
    <t>骑士精神</t>
  </si>
  <si>
    <t>《明日方舟》</t>
  </si>
  <si>
    <t>玛嘉烈·临光，卡西米尔耀骑士，在掩护己方队员、机动作战、歼灭战与开阔地带作战中体现出极高的战斗技巧和个人军事素养，在重返卡西米尔并夺得第二十四届骑士特别锦标赛决斗赛冠军之后，留在卡西米尔处理后续事务，作为合作干员为罗德岛驻卡瓦莱利亚基办事处提供战术支援，必要时也会去往其他地区协助本舰展开各项行动。</t>
  </si>
  <si>
    <t>181㎝</t>
  </si>
  <si>
    <t>65㎏</t>
  </si>
  <si>
    <t>安岩</t>
  </si>
  <si>
    <t>幻兽</t>
  </si>
  <si>
    <t>耀阳啊，请为我颔首吧</t>
  </si>
  <si>
    <t>逐夜的烁光</t>
  </si>
  <si>
    <t>不畏苦暗</t>
  </si>
  <si>
    <t>灿焰</t>
  </si>
  <si>
    <t>破悬</t>
  </si>
  <si>
    <t>破晓</t>
  </si>
  <si>
    <t>[主力位]
此宝具仅可在[耀阳啊，请为我领首吧]的解放效果生效时进行解放
此宝具共具有2种解放方式
视作[类型：对人]：赋予敌方主力位[-15*[耀阳]层数%]的胜率惩罚，己方的[战斗属性]在对抗中每存在1项[劣势]则额外赋予其[-5*[耀阳]层数%]的胜率惩罚，此胜率惩罚总值至多=[90%]。
视作[类型：对军]：赋予敌方战斗位中全部非[支援位]单位[-(30+5*[耀阳]层数)%]的胜率惩罚，此胜率惩罚总值至多=[60%]，且对非[主力位]的单位惩罚值减半。
解放此宝具的战斗结束时，赋予自身[疲惫 2]
注.此宝具在判定中，同样视作宝具[耀阳啊，请为我领首吧]。</t>
  </si>
  <si>
    <t>战斗中，常驻赋予自身的[筋力][耐力][敏捷]此3项属性[+5*耀阳层数]点的属性补正与[+10*耀阳层数%]的胜率补正，此胜率补正总值至多=[60%]，在战斗开始时可消耗[60]点魔力解放此宝具，并令记述的效果持续生效：
常驻赋予自身[-20%]的底限穿透，自身赋予[战斗属性]补正时记录[耀阳 2]；
同时赋予自身属性值最低的[战斗属性][+自身具有的底限穿透总值]点的属性补正；
在战斗结束时，此宝具记录的[耀阳]层数减半。
注.当自身存在[魅惑/恐惧/混乱]或解放其他保有宝具或此宝具未处于回转中时清除此宝具的全部记录，并使本次解放的效果失效，当因记述的情况导致效果失效时回转值立刻获得至[6]点。
注.此宝具不会因技能或宝具的效果无法获得回转。</t>
  </si>
  <si>
    <t>战斗中，常驻赋予自身的[筋力][耐力][敏捷]3项属性[+5*耀阳层数]点的属性补正与[+10*耀阳层数%]的胜率补正，此胜率补正总值至多=[60%]，在战斗开始时可消耗[60]点魔力解放此宝具，并令记述的效果持续生效：
常驻赋予自身[-20%]的底限穿透，自身赋予[战斗属性]补正时记录[耀阳 2]；
同时赋予自身属性值最低的[战斗属性][+自身具有的底限穿透总值]点的属性补正；
在战斗结束时，此宝具记录的[耀阳]层数减半。
注.当自身存在[魅惑/恐惧/混乱]或解放其他保有宝具或此宝具未处于回转中时清除此宝具的全部记录，并使本次解放的效果失效，当因记述的情况导致效果失效时回转值立刻获得至[6]点。
注.此宝具不会因技能或宝具的效果无法获得回转。</t>
  </si>
  <si>
    <t>卡西米尔的骑士勋章</t>
  </si>
  <si>
    <t>卡西米尔的骑士纹章</t>
  </si>
  <si>
    <t>现代</t>
  </si>
  <si>
    <t>重现光彩的启示文章</t>
  </si>
  <si>
    <t>重现光彩的骑士纹章</t>
  </si>
  <si>
    <t>获得治愈源石病的方法，并驱除这片大地上的苦厄。</t>
  </si>
  <si>
    <t>“家训是，不畏苦暗！”</t>
  </si>
  <si>
    <t>时间与岁月淬炼出对枪剑的娴熟技艺，曾刺破无数次在骑士竞赛中的明枪暗箭。</t>
  </si>
  <si>
    <t>时间与岁月淬炼出对枪剑的娴熟技艺，曾斩落无数次在骑士竞赛中的明枪暗箭。</t>
  </si>
  <si>
    <t>一场被资本首肯的胜利并不荣耀，但因此，我结识了那些心怀信仰的人，才能点燃那团火，我希望火能照亮前路，能让匍匐而行者起身奔跑，让黑暗褪去，让希望显形，博士，我始终如此坚信着，我曾被他人照耀，博士，所以我深知，美好的愿景和坚定的信念，足以改变大地，所谓骑士，就是照耀整片大地的，崇高者！
耀骑士.玛嘉烈.临光，归列！</t>
  </si>
  <si>
    <t>商业联合会</t>
  </si>
  <si>
    <t>商业联合会，</t>
  </si>
  <si>
    <t>商业联合会，虚伪，欺骗，暴虐，大地上的灾厄。</t>
  </si>
  <si>
    <t>朋友，</t>
  </si>
  <si>
    <t>朋友，与一切美好之物。</t>
  </si>
  <si>
    <t>商业联合会，虚伪，欺骗，暴虐，等等无数的灾厄。</t>
  </si>
  <si>
    <t>一场被资本首肯的胜利并不荣耀，但因此，我结识了那些心怀信仰的人，才能点燃那团火，我希望火能照亮前路，能让匍匐而行者起身奔跑，让黑暗褪去，让希望显形，博士，我始终如此坚信着，我曾被他人照耀，博士，所以我深知，美好的愿景和坚定的信念，足以改变大地，所谓骑士，就是照耀整片大地的，崇高者！</t>
  </si>
  <si>
    <t>我曾有着美好的童年与亲人的陪伴，那时牵着爷爷的手走在卡西米尔的街道上，感受阳光的温暖，是我年幼时美好记忆的缩影，有着爱我的父母，有着可爱的妹妹玛丽亚，有着关心我的叔叔玛恩纳与佐菲娅姑妈，这样美好的时光本该持续下去，但身为高尚的征战骑士的临光家族，触碰了商业联合会的利益，于是，商业联合会的高层让我的父母永远的消失在我十岁那年，那时的我虽然并不知道父母离开的原因，但身后年幼的玛丽亚与关心我的亲人们依然陪伴着我。
我背负起家族的荣耀，踏上骑士竞技的道路，我闯入赛事，一路披荆斩棘，成为卡西米尔骑士竞技史上，唯一的无团体，无赞助出道即夺冠，最年轻的冠军骑士，成功赢得“耀骑士”的名号，但作为赛事场上唯一一位仅代表自我意志夺冠的独立骑士，已然触碰商业联合会的利益蛋糕，而那些高层显然并不会容许异类大放光彩，我的名字很快便出现在无咒盟的追杀名单中，夺冠后的某一天，那是个平静的晚上，我被护送出卡西米尔，与此同时，在卡西米尔也同时传出一份耀骑土感染源石病的模糊报告，最终我的离开被媒体报道为因感染矿石病被放逐出境。
十六岁的我游走在这片广阔的大地上，寻找着自己生活的意义，但好在我遇上了闪灵与夜莺，我们结伴而行，成立了援助团体“使徒”，行走各地，我们见到并经历了许多的苦难，他们两人的高尚，也让我明白这个世界并非没有高尚者的存在，正在四处医治感染者的我们意外碰到了与整合运动对抗的罗德岛，我们成功的加入罗德岛，而我在接下来的数年就职于“重装干员”，而罗德岛这座充满理想主义的聚集地，也帮我坚定了自己的理想，找到自己的意义，要成为人们的灯塔。
在罗德岛的生活，一晃便是五年，同样也离开了卡西米尔五年，在血骑士获得胜利后，商业联合会尝到了感染者的流量甜头，他被宣称为反抗的英雄，最终我思考良久，我终于是返回了，已然离开六年的卡西米尔，家族早已不像之前那样金碧辉煌，昏暗的大厅里，几乎看不见多少家具，杂草丛生的后院也无人打理，当我再次选择参加骑士竞赛时，叔叔玛恩纳将我叫到了后院，开展了骑士对决，在那场对决中，我成功击落了他的剑，同时妹妹也将她原本的参赛名额让给了我，那时的我才明白他们和我都没变，在商业联合会的百般阻挠下，我终究是取得了骑士竞赛的冠军，我曾在身份揭露时遭受到无数的质疑，遭受到数不尽的谩骂，玛恩纳的失望，失望我依然没有从长辈们的经历中吸取教训，血骑士的质疑，质疑我理想主义，灯塔的狭隘，我知道我的理想不会被所有人认可，我的理想会在大多数人的质疑不理解与谩骂中寸步难行，但哪怕这片大地上仅剩下最后一位需要正义的人，我也会成为那代表正义的灯塔。</t>
  </si>
  <si>
    <t>我希望他会是一位同样坚守理想的人，当他选择将我的力量用于恶行时我亦会同他对立。</t>
  </si>
  <si>
    <t>我会以最好的姿态面对我的对手。</t>
  </si>
  <si>
    <t>友谊是志同道合，互相理解，我会将我的后辈托付给我的朋友。</t>
  </si>
  <si>
    <t>因回应本次召唤获得的相应职阶能力</t>
  </si>
  <si>
    <t>在那一日的夜晚后，我曾无数次的向现实妥协，</t>
  </si>
  <si>
    <t>在我初露锋芒时，现实将恶意化作刀兵刺向我的胸膛，我被迫离开我的故乡，现实告诉我，不要随意的挥洒光芒，而自我离开卡西米尔后，我被迫学会妥协，但时间会改变许多，我在流浪的岁月中学会如何收敛锋芒，我亦明白何为高尚？
当我再次回到故乡时，我面对着叔叔的对决，我面对着他的失望，但我同样回以坚决的答案，我斩落他的剑，回应着他的考验，在那过去的时光中，我早已找到理想与信念的意义，我不会退缩，我不会褪去，哪怕这世上仅剩下一人需要正义，我亦会化作代表正义的耀阳，现在的我已学会心无旁骛的盛放！
“耀骑士 玛嘉烈·临光，归烈！”</t>
  </si>
  <si>
    <t>在我初露锋芒时，现实将恶意化作刀兵刺向我的胸膛，我被迫离开我的故乡，现实告诉我，不要随意的挥洒光芒，而自我离开卡西米尔后，我被迫学会妥协，但时间会改变许多，我在流浪的岁月中学会如何收敛锋芒，我亦明白何为高尚？
当我再次回到故乡时，我面对着叔叔的对决，我面对着他的失望，但我同样回以坚决的答案，我斩落他的剑，回应着他的考验，在那过去的时光中，我早已找到理想与信念的意义，我不会退缩，我不会褪去，哪怕这世上仅剩下一人需要正义，我亦会化作代表正义的耀阳，现在的我已学会心无旁骛地盛放！
“耀骑士 玛嘉烈·临光，归烈！”</t>
  </si>
  <si>
    <t>在我初露锋芒时，现实将恶意化作刀兵刺向我的胸膛，我被迫离开我的故乡，现实告诉我，不要随意的挥洒光芒，而自我离开卡西米尔后，我被迫学会妥协，但时间会改变许多，我在流浪的岁月中学会如何收敛锋芒，我亦明白何为高尚？
当我再次回到故乡时，我面对着叔叔的对决，我面对着他的失望，但我同样回以坚决的答案，我斩落他的剑，回应着他的考验，在那过去的时光中，我早已找到理想与信念的意义，我不会退缩，我不会褪去，哪怕这世上仅剩下一人需要正义，我亦会化作代表正义的耀阳，而现在的我已学会心无旁骛地盛放！
“耀骑士 玛嘉烈·临光，归烈！”</t>
  </si>
  <si>
    <t>“一场被资本首肯的胜利并不荣耀，但因此，我结识了那些心怀信仰的人，才能点燃那团火，我希望火能照亮前路，能让匍匐而行者起身奔跑，让黑暗褪去，让希望显形。”</t>
  </si>
  <si>
    <t>“一场被资本首肯的胜利并不荣耀，但因此，我结识了那些心怀信仰的人，才能点燃那团火，我希望火能照亮前路，能让匍匐而行者起身奔跑，让黑暗褪去，让希望显形，我始终如此坚信着。”</t>
  </si>
  <si>
    <t>“一场被资本首肯的胜利并不荣耀，但因此，我结识了那些心怀信仰的人，才能点燃那团火，我希望火能照亮前路，能让匍匐而行者起身奔跑，让黑暗褪去，让希望显形，我始终如此坚信。”</t>
  </si>
  <si>
    <t>由黄金铸造的骑士纹章，代表着夺得骑士竞赛冠军的荣誉</t>
  </si>
  <si>
    <t>由黄金铸造的骑士纹章，代表着夺得骑士竞赛冠军的荣誉，</t>
  </si>
  <si>
    <t>由黄金铸造的骑士纹章，代表着夺得骑士竞赛冠军的荣誉，同时也是最初展露锋芒的证明</t>
  </si>
  <si>
    <t>由黄金铸造的骑士纹章，代表夺得骑士竞赛冠军的荣誉，同时也是最初展露锋芒的证明</t>
  </si>
  <si>
    <t>由黄金铸造的骑士纹章，代表夺得骑士竞赛冠军的荣誉，同时亦是初次展露锋芒的证明</t>
  </si>
  <si>
    <t>由黄金铸造的骑士纹章，代表夺得骑士竞赛冠军的荣誉，同时亦是初次展露锋芒的证明，天马的金羽闪烁着凛然的辉光</t>
  </si>
  <si>
    <t>由黄金铸造的骑士纹章，代表夺得骑士竞赛冠军的荣誉，同时亦是初次展露锋芒的证明，其上天马的金羽闪烁着凛然的辉光</t>
  </si>
  <si>
    <t>由黄金铸造的骑士纹章，代表夺得骑士竞赛冠军的荣誉，同时亦是初次展露锋芒的证明，虽然曾经因现实而黯淡，但此时此刻其上天马的金羽闪烁着凛然的辉光，</t>
  </si>
  <si>
    <t>由黄金铸造的骑士纹章，代表夺得骑士竞赛冠军的荣誉，同时亦是初次展露锋芒的证明，虽然曾经因现实而黯淡，但此时此刻其上天马的金羽闪烁着凛然的辉光，已然褪去往日的暗淡，重显耀阳的辉光。</t>
  </si>
  <si>
    <t>由黄金铸造的骑士纹章，代表夺得骑士竞赛冠军的荣誉，同时亦是初次展露锋芒的证明，虽然曾经因现实而黯淡，但此时此刻其上天马的金羽闪烁着凛然的辉光，已然褪去往日的暗淡，重显耀阳的辉光，代表着其主人的蜕变。</t>
  </si>
  <si>
    <t>由黄金铸造的骑士纹章，代表夺得骑士竞赛冠军的荣誉，同时亦是初次展露锋芒的证明，虽然曾经因现实而黯淡，但此时此刻其上天马的金羽闪烁着凛然的辉光，已然褪去往日的暗淡，重显耀阳的辉光，凶代表着其主人的蜕变。</t>
  </si>
  <si>
    <t>由黄金铸造的骑士纹章，代表夺得骑士竞赛冠军的荣誉，同时亦是初次展露锋芒的证明，虽然曾经因现实而黯淡，但此时此刻其上天马的金羽闪烁着凛然的辉光，已然褪去往日的暗淡，重显耀阳的辉光，也代表着其主人的蜕变。</t>
  </si>
  <si>
    <t>这是一句流传过无数岁月的家训，无数的族人践行着这句传承已久的家训</t>
  </si>
  <si>
    <t>这是一句流传过无数岁月的家训，无数的族人践行着这句传承已久的家训，用着属于自己的光辉照耀着这片大地上的人们，</t>
  </si>
  <si>
    <t>这是一句流传过无数岁月的家训，无数的族人践行着这句传承已久的家训，用着属于自己的光辉照耀着这片大地上的人们，在那国家初建的时刻，在那国家危难的时刻</t>
  </si>
  <si>
    <t>这是一句流传过无数岁月的家训，无数的族人践行着这句传承已久的家训，用着属于自己的光辉照耀着这片大地上的人们，在那国家初建的时刻，在那国家危难的时刻，在这此时此刻</t>
  </si>
  <si>
    <t>这是一句流传过无数岁月的家训，无数的族人践行着这句传承已久的家训，用着属于自己的光辉照耀着这片大地上的人们，在那国家初建的时刻，在那国家危难的时刻，在这此时此刻，这句家训依然没有被人忘怀，依然有人去践行</t>
  </si>
  <si>
    <t>这是一句流传过无数岁月的家训，无数的族人践行着这句传承已久的家训，用着属于自己的光辉照耀着这片大地上的人们，在那国家初建的时刻，在那国家危难的时刻，在这此时此刻，这句家训依然没有被人忘怀，依然有人去践行，去传达</t>
  </si>
  <si>
    <t>这是一句流传过无数岁月的家训，无数的族人践行着这句传承已久的家训，用着属于自己的光辉照耀着这片大地上的人们，在那国家初建的时刻，在那国家危难的时刻，在此时此刻，这句家训依然没有被人忘怀，依然有人去践行，去传达</t>
  </si>
  <si>
    <t xml:space="preserve">这是一句流传过无数岁月的家训，无数的族人践行着这句传承已久的家训，用着属于自己的光辉照耀着这片大地上的人们，在那国家初建的时刻，在那国家危难的时刻，在此时此刻，这句家训依然没有被人忘怀，依然有人去践行，去传达，正如前仆后继的理想者那般。
</t>
  </si>
  <si>
    <t>这是一句流传过无数岁月的家训，无数的族人践行着这句传承已久的家训，用着属于自己的光辉照耀着这片大地上的人们，在那国家初建的时刻，在那国家危难的时刻，在此时此刻，这句家训依然没有被人忘怀，依然有人去践行，去传达，正如前仆后继的理想者那般。</t>
  </si>
  <si>
    <t>与过去仅将源石技艺用作治疗不同，放开拘泥</t>
  </si>
  <si>
    <t>与过去仅将源石技艺用作治疗不同，放开拘泥，将灿焰化作枪刃</t>
  </si>
  <si>
    <t>与过去仅将源石技艺用作治疗不同，放开拘泥，将那灿焰化作枪刃劈开黑暗。</t>
  </si>
  <si>
    <t>与过去不同，对源石技艺的运用不再拘泥于医疗，让这灿焰化作枪刃，照亮前路吧！</t>
  </si>
  <si>
    <t>在换下战锤，重新举起枪剑后，与过去不同，对源石技艺的运用不再拘泥于医疗，让这灿焰化作枪刃，照亮前路吧！</t>
  </si>
  <si>
    <t>在换下战锤，重新举起枪剑后，战斗方式也与过去不同，对源石技艺的运用不再拘泥于医疗，让这灿焰化作枪刃，照亮前路吧！</t>
  </si>
  <si>
    <t>在换下战锤，重新举起枪剑后，战斗方式也与过去不同，对源石技艺的运用不再拘泥于医疗，让这金辉单于枪剑上，让这灿焰化作枪刃，照亮前路吧！</t>
  </si>
  <si>
    <t>在换下战锤，重新举起枪剑后，战斗方式也与过去不同，对源石技艺的运用不再拘泥于医疗，让这金辉现于枪剑上，让这灿焰化作枪刃，照亮前路吧！</t>
  </si>
  <si>
    <t>在换下战锤，重新举起枪剑后，战斗方式也与过去不同，对源石技艺的运用不再拘泥于医疗，让这金辉现于枪剑上，让这灿焰化作枪刃，照亮前路吧！断剑已然重铸，英雄已然归来！</t>
  </si>
  <si>
    <t>在换下战锤，重新举起枪剑后，战斗方式也与过去不同，对源石技艺的运用不再拘泥于医疗，让这金辉现于枪剑上，让这灿焰化作枪刃，照亮前路吧！断剑已然重铸，英雄自当归来！</t>
  </si>
  <si>
    <t>在换下战锤，重新举起枪剑后，战斗方式也与过去不同，对源石技艺的运用不再拘泥于医疗，让这灿焰化作枪刃，照亮前路吧！断剑已然重铸，英雄自当归来！</t>
  </si>
  <si>
    <t>我将刺破这漫长的黑夜，我将化作耀阳</t>
  </si>
  <si>
    <t>我将刺破这漫长的黑夜，我将化作耀阳驱散这悲惨的苦厄！</t>
  </si>
  <si>
    <t>友谊是志同道合，互相理解，我会将我的后背托付给我的朋友。</t>
  </si>
  <si>
    <t>幻灵</t>
  </si>
  <si>
    <t>己阵防御</t>
  </si>
  <si>
    <t xml:space="preserve">赋予己方战斗位中除自身外的至多[1]名单位单位[保护]，记录通过[保护]的效果转移到自身的惩罚，根据记录的的惩罚值减少至多[10]点的自身受到的惩罚，此效果仅会影响受到记录的惩罚。 </t>
  </si>
  <si>
    <t>战斗开始时</t>
  </si>
  <si>
    <t>6点</t>
  </si>
  <si>
    <t>王途踏破</t>
  </si>
  <si>
    <t>建卡时选择[6]项特质记录：
1.无法进行[魂食]，在发生[魂食暴露]时必须[介入]并[袭击]魂食单位，且与[混沌恶]单位发生[交流]时会立刻知悉并对敌方宣言[袭击]；
2.全部战斗工序中必须解放符合时机且不处于回转的自身宝具，且无法在敌方解放宝具的工序内宣言撤退；
3.无法对[女性]单位宣言袭击，且无法介入袭击方参与到与敌方的战斗中；
4.无法破弃任何契约，进行语言类角色扮演时全部发言必须从在角色视角为真；
5.无法对未参战单位宣言[冲锋]，若敌方[主力位]首次与自身战斗，自身无法宣言[死斗]；
6.仅能宣言[破袭]或[强击]作为战术，且只要最终胜率未=[0%]则无法在最终工序内撤退；
自身处于主力位时获得[+记录特质数*15%]的胜率补正，若自身未违背任意特质则额外获得[+15%]的胜率补正。
注.自身违背生效特质时，移除对应记录。</t>
  </si>
  <si>
    <t>建卡时选择[6]项特质记录：
1.无法进行[魂食]，在发生[魂食暴露]时必须[介入]并[袭击]魂食单位，且与[混沌恶]单位发生[交流]时会立刻知悉并对敌方宣言[袭击]；
2.全部战斗工序中必须解放符合时机且不处于回转的自身宝具，且无法在敌方解放宝具的工序内宣言撤退；
3.无法对[女性]单位宣言袭击，且无法介入袭击方参与到与敌方的战斗中；
4.无法破弃任何契约，进行语言类角色扮演时全部发言必须从在角色视角为真；
5.无法对未参战单位宣言[冲锋]，若敌方[主力位]首次与自身战斗则无法宣言[死斗]；
6.仅能宣言[破袭]或[强击]作为战术，且在最终胜率未=[0%]时无法在最终工序内撤退；
自身处于主力位时获得[+记录特质数*15%]的胜率补正，若自身未违背任意特质则额外获得[+15%]的胜率补正。
注.自身违背生效特质时，移除对应记录。</t>
  </si>
  <si>
    <t>圣火的引航</t>
  </si>
  <si>
    <t>「 我们用凡俗的铜与铁，丈量星辰的轨迹，但无尽的深渊有自己的算法，阴晴不定。
逐渐沉没的游轮里，克珀珊特吟诵起《领航员挽歌》
她早已知晓自己的命运，也早已选择自己的命运，因此对面死亡，她没有恐惧，只有平静
平静地燃烧，平静地完成最后一次的领航。
但焚烧的火光太过炽热，她看不见前路，发不出声音，也无法挥舞旗帜，这样残缺的指引下，船只是否能够正确航行?
她不知道，并因此产生出恐惧与忧虑。
这时《领航员挽歌》给出了指引:「年轻的领航员啊，你终将被咸水拥入怀中，化为引路的磷火。
引路的磷火?克珀珊特沉默。姚确实听闻过在水手间流传的圣艾尔摩之火的故事，然而区区凡人之躯，如何化为照亮人世的圣火?
但即便希望渺茫，克珀珊特也在内心中不断祈求:祈求自己能够履行职责，完成最后的指引工作。
除了克珀珊特自己，没有人能够听到这祈求，但这已经足够了
黑暗中，银芯以融蚀浆为养料，迸发出强烈的光芒，实现了她最后的心愿。
「潮汐黑册将记载你的名讳，令咆哮的怒涛为你奏响永恒的安魂曲。
她最终如《领航员挽歌》所言，死亡于大海
但她又超越了《领航员挽歌》。那是人类领航员面对大海时的狂妄与劝诚，而如今，她已成为圣艾尔摩之火，永恒指引船只。</t>
  </si>
  <si>
    <t>打开的是梦想之门</t>
  </si>
  <si>
    <t>阴阳交汇</t>
  </si>
  <si>
    <t>吾将远征，鹦鹉螺的大冲角</t>
  </si>
  <si>
    <t>恶龙之血铠</t>
  </si>
  <si>
    <t>恶龙之血锐</t>
  </si>
  <si>
    <t>恶龙之血凯</t>
  </si>
  <si>
    <t>25点</t>
  </si>
  <si>
    <t>[主力位]
发动时，自身获得[抗性无效：恐惧]与[筋力][耐久][敏捷]3项属性[+20]点的属性补正，本场战斗中若[敌方[主力位]等级&gt;自身等级]则赋予自身[双方[主力位]等级差值]的胜率补正，若因此效果获得的胜率补正基础值高于[+40%]则其补正值减半；
允许在发动时宣言，使此技能提供的属性补正翻倍并将其总值转化作等值的[幸运]属性补正，且在本场战斗中赋予自身[+当前[幸运]属性值/2%]的胜率补正。
注.额外宣言时自身[幸运]属性不计入[战斗属性]。</t>
  </si>
  <si>
    <t>照彻渊海的引航</t>
  </si>
  <si>
    <t>云层会告知气候的变化，波浪会诉说洋流的变迁，但当风暴真正来临时再庞大的巨轮，都只能无助地随波逐流。
此时，领航员的测算、指引，是所有幸存者最后的退路。
因此履行自己的职责吧，哪怕雷电劈身，也要于痛苦中，绽放出一丝光明，指引海岸的方向。
那是你必须完成的使命。</t>
  </si>
  <si>
    <t xml:space="preserve">[主力位]
常驻赋予自身[-战斗属性对抗为己方产生的基础胜率%]的胜率惩罚，并常驻赋予敌方主力位[-战斗属性对抗为敌方产生的基础胜率%]的胜率惩罚；
随时允许宣言将本场战斗中此技能赋予的胜率惩罚转化作等值的胜率补正。
注.此技能产生的胜率修正无法被移除或削减。	</t>
  </si>
  <si>
    <t>混沌旗帜</t>
  </si>
  <si>
    <t>旗帜是领航员的语言，也是领航员的墓志铭。当船只沉没，打捞者会从旗帜的残骸里，解读出我留下的最后讯息。旗语是通用的，同时，旗语也是私密的。
在意识跨越维度门扉，得见「袖」之时，克珀珊特就被赐予了特殊的旗语。
每一次亵渎地挥舞，都是在响应那伟大存在的呼唤。</t>
  </si>
  <si>
    <t>[主力位][骑乘]
自身获得[抗性无效：恐惧]，仅能对敌方[主力位]进行[冲锋]，此宝具根据自身在本场战斗中进行的最后1次[冲锋]结果产生效果：
1.自身[冲锋]失败时，移除双方[主力位]等级带来的胜率，并赋予敌方[主力位][-等同于其等级%]的胜率惩罚，此胜率惩罚至多=[-40%]。
2.自身[冲锋]成功时，若目标等级高于自身则赋予目标[-20%]的胜率惩罚，在主要工序开始时，[战斗属性]中每存在1项[劣势]则使此胜率惩罚的数值提升[20%]。
注.若[冲锋目标[筋力][耐久][敏捷]3项属性的总值≥270]或持有[巨大]特性，则本场战斗中自身额外获得[无敌贯通]。</t>
  </si>
  <si>
    <t>[主力位][骑乘]
自身获得[抗性无效：恐惧]，仅能对敌方[主力位]进行[冲锋]
此宝具根据自身在本场战斗中进行的最后1次[冲锋]结果产生效果：
1.自身[冲锋]失败时，移除双方[主力位]等级带来的胜率，并赋予敌方[主力位][-等同于其等级%]的胜率惩罚，此胜率惩罚至多=[-40%]。
2.自身[冲锋]成功时，若目标等级高于自身则赋予目标[-20%]的胜率惩罚，在主要工序开始时，[战斗属性]中每存在1项[劣势]则使此胜率惩罚的数值提升[20%]。
注.若[冲锋目标[筋力][耐久][敏捷]3项属性的总值≥270]或持有[巨大]特性，则本场战斗中自身额外获得[无敌贯通]。</t>
  </si>
  <si>
    <t>[主力位][骑乘]
自身获得[抗性无效：恐惧]，仅能对敌方[主力位]进行[冲锋]
此宝具根据自身在本场战斗中进行的最后1次[冲锋]结果产生效果：
1.自身[冲锋]失败时，移除双方[主力位]等级带来的胜率，并赋予敌方[主力位][-等同于其等级%]的胜率惩罚，此胜率惩罚至多=[-40%]。
2.自身[冲锋]成功时，若目标等级高于自身则赋予目标[-20%]的胜率惩罚，在主要工序开始时，[战斗属性]中每存在1项[劣势]则使此胜率惩罚的数值提升[20%]。
注.若[冲锋目标[筋力][耐久][敏捷]3项属性的总值≥270]或具有[巨大]特性则本场战斗中自身额外获得[无敌贯通]。</t>
  </si>
  <si>
    <t xml:space="preserve">沉默于远海，诺第留斯号的守望	</t>
  </si>
  <si>
    <t>沉默于远海，诺第留斯号的守望</t>
  </si>
  <si>
    <t>这是本该是一场充满欢笑的航行， 豪华的游轮横渡大西洋，载着战利品，载着人们征服海洋的野望。但海洋有自己的脾气，在远超理解的恐怖与未知面前，人类，终究渺小如蝼蚁！
诺第留斯号 ，她的第一艘船，也是最后一艘船
12岁上船，16岁开始学习引航知识，22岁正式接手诺第留斯号
在绝望的黑暗中 诺第留斯号最终会沉默，所有人都将葬身于无光的海底，这是结局
但，只要她还在这艘船上，他就还是领航员
哪怕诺第留斯号成为幽灵船，哪怕自身也早已沉没于海底，自身依旧守望着这艘船，直至永远</t>
  </si>
  <si>
    <t>建卡时，破除自身保有的[对魔力]，因此效果破除技能时自身额外获得[1]点RP，并获得[特性赋予：龙种]；
当自身被选作敌方单位的技能或宝具的效果目标或受到其效果影响时，令此技能或宝具的效果对自身下降[4]级，若因此宝具导致其效果等级降低，但其效果未存在相应模板时使用最低等级生效，若其效果等级降低至不足[E]级则令其无效化，且不会返还发动消耗。
注.若敌方战斗位中的单位知悉自身的[真名]或曾对自身发起成功的[资料分析]，则此宝具对其自阵营单位的技能和宝具产生的效果下降[1]级。
注.若敌方战斗位中的任意单位保有[屠龙]技能，则此宝具暂时失效。</t>
  </si>
  <si>
    <t>自身常驻获得[特性赋予：龙种]
建卡时，破除自身保有的[对魔力]，因此效果破除技能时自身额外获得[1]点RP；
当自身被选作敌方单位的技能或宝具的效果目标或受到其效果影响时，令此技能或宝具的效果对自身下降[4]级，若因此宝具导致其效果等级降低，但其效果未存在相应模板时使用最低等级生效，若其效果等级降低至不足[E]级则令其无效化，且不会返还发动消耗。
注.若敌方战斗位中的单位知悉自身的[真名]或曾对自身发起成功的[资料分析]，则此宝具对其自阵营单位的技能和宝具产生的效果下降[1]级。
注.若敌方战斗位中的任意单位保有[屠龙]技能，则此宝具暂时失效。</t>
  </si>
  <si>
    <t>钥令—不灭的雷光</t>
  </si>
  <si>
    <t>燃烧，燃烧，燃烧。
哪怕骨血已沸腾，哪怕皮肉已焦糊，也要榨干身体里的最后一滴血夜，绽放光明。
因为这黑暗中，我是唯一的指引。</t>
  </si>
  <si>
    <t>神奇的天海</t>
  </si>
  <si>
    <t>克珀珊特</t>
  </si>
  <si>
    <t>引航员</t>
  </si>
  <si>
    <t>英国</t>
  </si>
  <si>
    <t>图鲁</t>
  </si>
  <si>
    <t>《忘却前夜》</t>
  </si>
  <si>
    <t>诺第留斯号唯一幸存者/沉沦者
他生前将以自身之性命将整艘船运送归岸，但就此之后他与整艘诺地留斯号便成为幽灵船驻守在大西洋的海底。</t>
  </si>
  <si>
    <t>船长啊，虽然是引航员 但是一般玩家都叫船长，人设就是人机，外带职责所内我必须得干...
就有一种很人机的感觉，就是只要是自己的职责 无论权利与义务都会在自己的职责之内必须得完成
因此在角色上我选择了王途踏破，用以体现遵守规则这一点，然后本身是引航员，但是根据目前的剧情完全不知道他左手和胸前是怎么个回事儿
想解释也解释不了...
然后这个角色的船只设计是以海底两万里的鹦鹉螺号为原型，但是由于翻译问题翻译成了诺弟留斯号。</t>
  </si>
  <si>
    <t>对于御主只有尊重，并且会誓死完成所下达的所有命令，不会违背意愿。</t>
  </si>
  <si>
    <t>不会主动袭击，因为这不在自己的职责所在之内，但倘若对方主动袭击或伤害自己的“水手″那么自己也只能被迫应战	。</t>
  </si>
  <si>
    <t>175.26㎝</t>
  </si>
  <si>
    <t>65.77㎏</t>
  </si>
  <si>
    <t>“海员们，跟随我的指引，我们一定会安全到达海港！″</t>
  </si>
  <si>
    <t>防御型唤醒体，写角色背景为引航员，守护着整个船员的安全。</t>
  </si>
  <si>
    <t>防御型唤醒体，且角色背景为引航员，守护着整个船员的安全。</t>
  </si>
  <si>
    <t>她的责任，她的义务，她的生命都与船只绑定，除此之外，别无他物
因此，指引航向，就是它存在的意义</t>
  </si>
  <si>
    <t>她的眼中只有命令与职责，做好自己该做的事情</t>
  </si>
  <si>
    <t>只要神国降临，世间一切都将变为乐土</t>
  </si>
  <si>
    <t>混乱</t>
  </si>
  <si>
    <t>比起喜欢，更喜欢用皈依这个词，当直视那不可名状的神明时，大脑失去理智陷入狂喜，是的，该恐惧，但是无法控制自己。</t>
  </si>
  <si>
    <t>混乱与混乱</t>
  </si>
  <si>
    <t>蓝发，过膝长袜，左手化为雷光，胸前有一部分血肉被雷光所覆盖。头顶船长帽。</t>
  </si>
  <si>
    <t>蓝发，过膝长袜，左手化为雷光，胸前有一部分血肉被雷光所覆盖，头顶船长帽。</t>
  </si>
  <si>
    <t>职责所在</t>
  </si>
  <si>
    <t>不畏惧暴力，不畏惧霸权，自然也不会畏惧职责所在
是在职责所在之内的事情自己就会完成，不是职责所在之事自身便不会过多干涉。</t>
  </si>
  <si>
    <t>地属性</t>
  </si>
  <si>
    <t>当技能[王途踏破]记录的特质互相矛盾时，自身可消耗[50]点魔力令本场战斗中不会违背记录的特质。</t>
  </si>
  <si>
    <t>当技能[王途踏破]记录的特质互相矛盾时，自身可消耗[50]点魔力令本场战斗中不会违背记录的特质；</t>
  </si>
  <si>
    <t>当技能[王途踏破]记录的特质互相矛盾时，自身可消耗[50]点魔力令本场战斗中不会违背记录的特质；
当自身未违背特质时，额外获得[抗性上升：+15%]。</t>
  </si>
  <si>
    <t>当自身未违背特质时，额外获得[抗性上升：+15%]；
当技能[王途踏破]记录的特质互相矛盾时，自身可消耗[50]点魔力令本场战斗中不会违背记录的特质。</t>
  </si>
  <si>
    <t>当自身未违背特质时，额外获得[抗性上升：+15%]；
当技能[王途踏破]记录的特质产生矛盾时，自身可消耗[30]点魔力令本场战斗中不会违背记录的特质。</t>
  </si>
  <si>
    <t>溟海引航</t>
  </si>
  <si>
    <t>|海, 黑洞般幽邃，诺第留斯号正向更深处行驶着。-驶向深海、驶向绝望。
恐惧、谵妄、死......将被这片死寂吞没。
|领航旗帜残破鲜红， 她立于船头:「我必会将船只， 引领向正确的航向。」一驶向深海、 驶向希望。
崭新的航向!伟大神国绝非幻梦！</t>
  </si>
</sst>
</file>

<file path=xl/styles.xml><?xml version="1.0" encoding="utf-8"?>
<styleSheet xmlns="http://schemas.openxmlformats.org/spreadsheetml/2006/main">
  <numFmts count="4">
    <numFmt numFmtId="0" formatCode="General"/>
    <numFmt numFmtId="49" formatCode="@"/>
    <numFmt numFmtId="164" formatCode="[&gt;0]\ &quot;+&quot;?;[&lt;0]&quot;-&quot;?;General"/>
    <numFmt numFmtId="165" formatCode="&quot;/&quot;@"/>
  </numFmts>
  <fonts count="50">
    <font>
      <name val="宋体"/>
      <sz val="12"/>
    </font>
    <font>
      <name val="宋体"/>
      <b/>
      <charset val="134"/>
      <sz val="50"/>
      <color rgb="FFFF0000"/>
    </font>
    <font>
      <name val="新細明體"/>
      <sz val="11"/>
      <color rgb="FF000000"/>
    </font>
    <font>
      <name val="宋体"/>
      <charset val="134"/>
      <sz val="12"/>
      <color rgb="FF000000"/>
    </font>
    <font>
      <name val="宋体"/>
      <b/>
      <charset val="134"/>
      <sz val="12"/>
      <color rgb="FFFF0000"/>
    </font>
    <font>
      <name val="微軟正黑體"/>
      <sz val="12"/>
      <color rgb="FF000000"/>
    </font>
    <font>
      <name val="Microsoft JhengHei"/>
      <charset val="136"/>
      <sz val="12"/>
      <color rgb="FF000000"/>
    </font>
    <font>
      <name val="微软雅黑"/>
      <charset val="134"/>
      <sz val="12"/>
      <color rgb="FF000000"/>
    </font>
    <font>
      <name val="微软雅黑"/>
      <charset val="134"/>
      <sz val="12"/>
      <color rgb="FFF2F2F2"/>
    </font>
    <font>
      <name val="微軟正黑體"/>
      <sz val="10"/>
      <color rgb="FF000000"/>
    </font>
    <font>
      <name val="微軟正黑體"/>
      <sz val="10"/>
      <color rgb="FF000000"/>
    </font>
    <font>
      <name val="微軟正黑體"/>
      <sz val="11"/>
    </font>
    <font>
      <name val="微軟正黑體"/>
      <sz val="11"/>
      <color rgb="FFFFFFFF"/>
    </font>
    <font>
      <name val="微软雅黑"/>
      <charset val="134"/>
      <sz val="11"/>
    </font>
    <font>
      <name val="微軟正黑體"/>
      <charset val="134"/>
      <sz val="18"/>
      <color rgb="FF000000"/>
    </font>
    <font>
      <name val="微軟正黑體"/>
      <b/>
      <sz val="10"/>
      <color rgb="FF000000"/>
    </font>
    <font>
      <name val="微軟正黑體"/>
      <sz val="11"/>
      <color rgb="FF000000"/>
    </font>
    <font>
      <name val="微軟正黑體"/>
      <sz val="12"/>
      <color rgb="FF000000"/>
    </font>
    <font>
      <name val="微軟正黑體"/>
      <sz val="10"/>
    </font>
    <font>
      <name val="微软雅黑"/>
      <charset val="134"/>
      <sz val="11"/>
      <color rgb="FF000000"/>
    </font>
    <font>
      <name val="微软雅黑"/>
      <charset val="134"/>
      <sz val="11"/>
      <color rgb="FFFFFFFF"/>
    </font>
    <font>
      <name val="微軟正黑體"/>
      <b/>
      <sz val="10"/>
      <color rgb="FF000000"/>
    </font>
    <font>
      <name val="宋体"/>
      <charset val="134"/>
      <sz val="10"/>
    </font>
    <font>
      <name val="微軟正黑體"/>
      <b/>
      <sz val="11"/>
    </font>
    <font>
      <name val="微軟正黑體"/>
      <b/>
      <sz val="11"/>
      <color rgb="FF000000"/>
    </font>
    <font>
      <name val="微軟正黑體"/>
      <sz val="11"/>
      <color rgb="FF000000"/>
    </font>
    <font>
      <name val="Microsoft YaHei"/>
      <b/>
      <charset val="134"/>
      <sz val="11"/>
    </font>
    <font>
      <name val="Microsoft YaHei"/>
      <b/>
      <charset val="134"/>
      <sz val="11"/>
      <color rgb="FF000000"/>
    </font>
    <font>
      <name val="Microsoft YaHei"/>
      <charset val="134"/>
      <sz val="10"/>
      <color rgb="FF000000"/>
    </font>
    <font>
      <name val="Microsoft YaHei"/>
      <charset val="134"/>
      <sz val="10"/>
      <color rgb="FF000000"/>
    </font>
    <font>
      <name val="Microsoft YaHei"/>
      <charset val="134"/>
      <sz val="11"/>
      <color rgb="FF000000"/>
    </font>
    <font>
      <name val="Microsoft YaHei"/>
      <charset val="134"/>
      <sz val="11"/>
      <color rgb="FF000000"/>
    </font>
    <font>
      <name val="Microsoft YaHei"/>
      <charset val="134"/>
      <sz val="11"/>
      <color rgb="FF000000"/>
    </font>
    <font>
      <name val="汉仪青云简"/>
      <charset val="134"/>
      <sz val="18"/>
    </font>
    <font>
      <name val="微軟正黑體"/>
      <b/>
      <sz val="12"/>
      <color rgb="FF000000"/>
    </font>
    <font>
      <name val="宋体"/>
      <sz val="12"/>
      <color rgb="FF000000"/>
    </font>
    <font>
      <name val="汉仪青云简"/>
      <b/>
      <charset val="134"/>
      <sz val="18"/>
      <color rgb="FF000000"/>
    </font>
    <font>
      <name val="微軟正黑體"/>
      <sz val="12"/>
    </font>
    <font>
      <name val="微軟正黑體"/>
      <b/>
      <sz val="11"/>
      <color rgb="FFFF0000"/>
    </font>
    <font>
      <name val="宋体"/>
      <charset val="134"/>
      <sz val="12"/>
      <color rgb="FF000000"/>
    </font>
    <font>
      <name val="微軟正黑體"/>
      <sz val="11"/>
      <color rgb="FF000000"/>
    </font>
    <font>
      <name val="正黑宋体"/>
      <charset val="134"/>
      <sz val="12"/>
    </font>
    <font>
      <name val="正黑宋体"/>
      <charset val="136"/>
      <sz val="12"/>
      <color rgb="FF000000"/>
    </font>
    <font>
      <name val="正黑宋体"/>
      <charset val="136"/>
      <sz val="12"/>
    </font>
    <font>
      <name val="宋体"/>
      <sz val="12"/>
    </font>
    <font>
      <name val="宋体"/>
      <charset val="134"/>
      <sz val="12"/>
      <color rgb="FF000000"/>
    </font>
    <font>
      <name val="宋体"/>
      <b/>
      <charset val="134"/>
      <sz val="11"/>
      <color rgb="FF1F497D"/>
    </font>
    <font>
      <name val="宋体"/>
      <b/>
      <charset val="134"/>
      <sz val="11"/>
      <color rgb="FF1F497D"/>
    </font>
    <font>
      <name val="宋体"/>
      <charset val="134"/>
      <sz val="12"/>
      <color rgb="FF3F3F76"/>
    </font>
    <font>
      <name val="宋体"/>
      <b/>
      <charset val="134"/>
      <sz val="15"/>
      <color rgb="FF1F497D"/>
    </font>
  </fonts>
  <fills count="19">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FFC000"/>
        <bgColor indexed="64"/>
      </patternFill>
    </fill>
    <fill>
      <patternFill patternType="solid">
        <fgColor rgb="FFBFBFBF"/>
        <bgColor indexed="64"/>
      </patternFill>
    </fill>
    <fill>
      <patternFill patternType="solid">
        <fgColor rgb="FFC5D9F1"/>
        <bgColor indexed="64"/>
      </patternFill>
    </fill>
    <fill>
      <patternFill patternType="solid">
        <fgColor rgb="FFFFCC99"/>
        <bgColor indexed="64"/>
      </patternFill>
    </fill>
  </fills>
  <borders count="60">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BFBFBF"/>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medium">
        <color rgb="FF95B3D7"/>
      </bottom>
      <diagonal/>
    </border>
    <border>
      <left/>
      <right/>
      <top/>
      <bottom style="medium">
        <color rgb="FF4F81BD"/>
      </bottom>
      <diagonal/>
    </border>
  </borders>
  <cellStyleXfs count="7">
    <xf numFmtId="0" fontId="0" fillId="0" borderId="0">
      <alignment vertical="center"/>
    </xf>
    <xf numFmtId="0" fontId="45" fillId="0" borderId="0">
      <alignment vertical="bottom"/>
      <protection locked="0" hidden="0"/>
    </xf>
    <xf numFmtId="0" fontId="46" fillId="0" borderId="0">
      <alignment vertical="bottom"/>
      <protection locked="0" hidden="0"/>
    </xf>
    <xf numFmtId="0" fontId="47" fillId="0" borderId="0">
      <alignment vertical="bottom"/>
      <protection locked="0" hidden="0"/>
    </xf>
    <xf numFmtId="0" fontId="48" fillId="18" borderId="57">
      <alignment vertical="bottom"/>
      <protection locked="0" hidden="0"/>
    </xf>
    <xf numFmtId="0" fontId="47" fillId="0" borderId="58">
      <alignment vertical="bottom"/>
      <protection locked="0" hidden="0"/>
    </xf>
    <xf numFmtId="0" fontId="49" fillId="0" borderId="59">
      <alignment vertical="bottom"/>
      <protection locked="0" hidden="0"/>
    </xf>
  </cellStyleXfs>
  <cellXfs count="405">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Font="1" applyAlignment="1">
      <alignment horizontal="right" vertical="center"/>
    </xf>
    <xf numFmtId="0" fontId="3" fillId="0" borderId="0" xfId="0" applyFont="1" applyAlignment="1">
      <alignment horizontal="right" vertical="center"/>
    </xf>
    <xf numFmtId="0" fontId="4" fillId="0" borderId="0" xfId="0" applyFont="1">
      <alignment vertical="center"/>
    </xf>
    <xf numFmtId="49" fontId="5" fillId="0" borderId="0" xfId="0" applyNumberFormat="1" applyFont="1" applyAlignment="1">
      <alignment horizontal="right" vertical="center"/>
    </xf>
    <xf numFmtId="0" fontId="5" fillId="0" borderId="0" xfId="0" applyFont="1">
      <alignment vertical="center"/>
    </xf>
    <xf numFmtId="49" fontId="3" fillId="0" borderId="0" xfId="0" applyNumberFormat="1" applyFont="1" applyAlignment="1">
      <alignment horizontal="right" vertical="center"/>
    </xf>
    <xf numFmtId="0" fontId="3" fillId="0" borderId="0" xfId="0" applyFont="1">
      <alignment vertical="center"/>
    </xf>
    <xf numFmtId="0" fontId="6" fillId="0" borderId="0" xfId="0" applyFont="1">
      <alignment vertical="center"/>
    </xf>
    <xf numFmtId="0" fontId="2" fillId="0" borderId="0" xfId="0" applyFont="1" applyAlignment="1">
      <alignment horizontal="center" vertical="center"/>
    </xf>
    <xf numFmtId="0" fontId="7" fillId="0" borderId="0" xfId="1" applyFont="1">
      <alignment vertical="center"/>
    </xf>
    <xf numFmtId="0" fontId="8" fillId="0" borderId="0" xfId="1" applyFont="1" applyAlignment="1">
      <alignment horizontal="center"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5" xfId="1" applyFont="1" applyFill="1" applyBorder="1" applyAlignment="1">
      <alignment horizontal="center" vertical="center"/>
    </xf>
    <xf numFmtId="0" fontId="9" fillId="2" borderId="6" xfId="1" applyFont="1" applyFill="1" applyBorder="1" applyAlignment="1">
      <alignment horizontal="center" vertical="center"/>
    </xf>
    <xf numFmtId="0" fontId="10" fillId="2" borderId="1" xfId="0" applyFont="1" applyFill="1" applyBorder="1" applyAlignment="1">
      <alignment horizontal="center" vertical="center"/>
    </xf>
    <xf numFmtId="164" fontId="11" fillId="3" borderId="7" xfId="1" applyNumberFormat="1" applyFont="1" applyFill="1" applyBorder="1" applyAlignment="1">
      <alignment horizontal="center" vertical="center"/>
    </xf>
    <xf numFmtId="164" fontId="12" fillId="3" borderId="8" xfId="1" applyNumberFormat="1" applyFont="1" applyFill="1" applyBorder="1" applyAlignment="1">
      <alignment horizontal="center" vertical="center"/>
    </xf>
    <xf numFmtId="164" fontId="12" fillId="3" borderId="9" xfId="1" applyNumberFormat="1" applyFont="1" applyFill="1" applyBorder="1" applyAlignment="1">
      <alignment horizontal="center" vertical="center"/>
    </xf>
    <xf numFmtId="0" fontId="13" fillId="0" borderId="0" xfId="1" applyFont="1">
      <alignment vertical="center"/>
    </xf>
    <xf numFmtId="0" fontId="14" fillId="0" borderId="10" xfId="1" applyFont="1" applyBorder="1" applyAlignment="1">
      <alignment horizontal="center" vertical="center"/>
    </xf>
    <xf numFmtId="0" fontId="14" fillId="0" borderId="0" xfId="1" applyFont="1" applyAlignment="1">
      <alignment horizontal="center" vertical="center"/>
    </xf>
    <xf numFmtId="49" fontId="9" fillId="4" borderId="4" xfId="1" applyNumberFormat="1" applyFont="1" applyFill="1" applyBorder="1" applyAlignment="1">
      <alignment horizontal="center" vertical="center" wrapText="1"/>
      <protection locked="0" hidden="0"/>
    </xf>
    <xf numFmtId="49" fontId="9" fillId="4" borderId="5" xfId="1" applyNumberFormat="1" applyFont="1" applyFill="1" applyBorder="1" applyAlignment="1">
      <alignment horizontal="center" vertical="center" wrapText="1"/>
      <protection locked="0" hidden="0"/>
    </xf>
    <xf numFmtId="49" fontId="9" fillId="4" borderId="6" xfId="1" applyNumberFormat="1" applyFont="1" applyFill="1" applyBorder="1" applyAlignment="1">
      <alignment horizontal="center" vertical="center" wrapText="1"/>
      <protection locked="0" hidden="0"/>
    </xf>
    <xf numFmtId="0" fontId="9" fillId="0" borderId="0" xfId="1" applyFont="1" applyAlignment="1">
      <alignment horizontal="center" vertical="center" wrapText="1"/>
      <protection locked="0" hidden="0"/>
    </xf>
    <xf numFmtId="0" fontId="9" fillId="0" borderId="11" xfId="1" applyFont="1" applyBorder="1" applyAlignment="1">
      <alignment horizontal="center" vertical="center" wrapText="1"/>
      <protection locked="0" hidden="0"/>
    </xf>
    <xf numFmtId="0" fontId="15" fillId="2" borderId="12" xfId="0" applyFont="1" applyFill="1" applyBorder="1" applyAlignment="1">
      <alignment horizontal="center" vertical="center"/>
    </xf>
    <xf numFmtId="164" fontId="11" fillId="5" borderId="13" xfId="1" applyNumberFormat="1" applyFont="1" applyFill="1" applyBorder="1" applyAlignment="1">
      <alignment horizontal="center" vertical="center"/>
    </xf>
    <xf numFmtId="164" fontId="11" fillId="5" borderId="14" xfId="1" applyNumberFormat="1" applyFont="1" applyFill="1" applyBorder="1" applyAlignment="1">
      <alignment horizontal="center" vertical="center"/>
    </xf>
    <xf numFmtId="164" fontId="11" fillId="6" borderId="14" xfId="1" applyNumberFormat="1" applyFont="1" applyFill="1" applyBorder="1" applyAlignment="1">
      <alignment horizontal="center" vertical="center"/>
    </xf>
    <xf numFmtId="164" fontId="11" fillId="6" borderId="15" xfId="1" applyNumberFormat="1" applyFont="1" applyFill="1" applyBorder="1" applyAlignment="1">
      <alignment horizontal="center" vertical="center"/>
    </xf>
    <xf numFmtId="0" fontId="14" fillId="0" borderId="16" xfId="1" applyFont="1" applyBorder="1" applyAlignment="1">
      <alignment horizontal="center" vertical="center"/>
    </xf>
    <xf numFmtId="0" fontId="14" fillId="0" borderId="17" xfId="1" applyFont="1" applyBorder="1" applyAlignment="1">
      <alignment horizontal="center" vertical="center"/>
    </xf>
    <xf numFmtId="49" fontId="9" fillId="4" borderId="10" xfId="1" applyNumberFormat="1" applyFont="1" applyFill="1" applyBorder="1" applyAlignment="1">
      <alignment horizontal="center" vertical="center" wrapText="1"/>
      <protection locked="0" hidden="0"/>
    </xf>
    <xf numFmtId="49" fontId="9" fillId="4" borderId="0" xfId="1" applyNumberFormat="1" applyFont="1" applyFill="1" applyAlignment="1">
      <alignment horizontal="center" vertical="center" wrapText="1"/>
      <protection locked="0" hidden="0"/>
    </xf>
    <xf numFmtId="49" fontId="9" fillId="4" borderId="11" xfId="1" applyNumberFormat="1" applyFont="1" applyFill="1" applyBorder="1" applyAlignment="1">
      <alignment horizontal="center" vertical="center" wrapText="1"/>
      <protection locked="0" hidden="0"/>
    </xf>
    <xf numFmtId="0" fontId="15" fillId="0" borderId="0" xfId="0" applyFont="1" applyAlignment="1">
      <alignment horizontal="center" vertical="center"/>
    </xf>
    <xf numFmtId="0" fontId="16" fillId="5" borderId="13" xfId="1" applyFont="1" applyFill="1" applyBorder="1" applyAlignment="1">
      <alignment horizontal="center" vertical="center"/>
    </xf>
    <xf numFmtId="0" fontId="16" fillId="5" borderId="14" xfId="1" applyFont="1" applyFill="1" applyBorder="1" applyAlignment="1">
      <alignment horizontal="center" vertical="center"/>
    </xf>
    <xf numFmtId="0" fontId="16" fillId="6" borderId="14" xfId="1" applyFont="1" applyFill="1" applyBorder="1" applyAlignment="1">
      <alignment horizontal="center" vertical="center"/>
    </xf>
    <xf numFmtId="0" fontId="16" fillId="6" borderId="15" xfId="1" applyFont="1" applyFill="1" applyBorder="1" applyAlignment="1">
      <alignment horizontal="center" vertical="center"/>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2" borderId="18" xfId="1" applyFont="1" applyFill="1" applyBorder="1" applyAlignment="1">
      <alignment horizontal="center" vertical="center"/>
    </xf>
    <xf numFmtId="0" fontId="9" fillId="0" borderId="19" xfId="1" applyFont="1" applyBorder="1" applyAlignment="1">
      <alignment horizontal="center" vertical="center"/>
      <protection locked="0" hidden="0"/>
    </xf>
    <xf numFmtId="0" fontId="9" fillId="0" borderId="20" xfId="1" applyFont="1" applyBorder="1" applyAlignment="1">
      <alignment horizontal="center" vertical="center"/>
      <protection locked="0" hidden="0"/>
    </xf>
    <xf numFmtId="0" fontId="16" fillId="6" borderId="21" xfId="1" applyFont="1" applyFill="1" applyBorder="1" applyAlignment="1">
      <alignment horizontal="center" vertical="center"/>
    </xf>
    <xf numFmtId="0" fontId="16" fillId="6" borderId="15" xfId="1" applyFont="1" applyFill="1" applyBorder="1" applyAlignment="1">
      <alignment horizontal="center" vertical="center"/>
    </xf>
    <xf numFmtId="0" fontId="9" fillId="0" borderId="10" xfId="1" applyFont="1" applyBorder="1" applyAlignment="1">
      <alignment horizontal="center" vertical="center"/>
      <protection locked="0" hidden="0"/>
    </xf>
    <xf numFmtId="0" fontId="9" fillId="0" borderId="0" xfId="1" applyFont="1" applyAlignment="1">
      <alignment horizontal="center" vertical="center"/>
      <protection locked="0" hidden="0"/>
    </xf>
    <xf numFmtId="164" fontId="9" fillId="4" borderId="0" xfId="0" applyNumberFormat="1" applyFont="1" applyFill="1" applyAlignment="1">
      <alignment horizontal="center" vertical="center"/>
    </xf>
    <xf numFmtId="49" fontId="9" fillId="4" borderId="16" xfId="1" applyNumberFormat="1" applyFont="1" applyFill="1" applyBorder="1" applyAlignment="1">
      <alignment horizontal="center" vertical="center" wrapText="1"/>
      <protection locked="0" hidden="0"/>
    </xf>
    <xf numFmtId="49" fontId="9" fillId="4" borderId="17" xfId="1" applyNumberFormat="1" applyFont="1" applyFill="1" applyBorder="1" applyAlignment="1">
      <alignment horizontal="center" vertical="center" wrapText="1"/>
      <protection locked="0" hidden="0"/>
    </xf>
    <xf numFmtId="49" fontId="9" fillId="4" borderId="22" xfId="1" applyNumberFormat="1" applyFont="1" applyFill="1" applyBorder="1" applyAlignment="1">
      <alignment horizontal="center" vertical="center" wrapText="1"/>
      <protection locked="0" hidden="0"/>
    </xf>
    <xf numFmtId="0" fontId="16" fillId="4" borderId="14" xfId="1" applyFont="1" applyFill="1" applyBorder="1" applyAlignment="1">
      <alignment horizontal="center" vertical="center"/>
      <protection locked="0" hidden="0"/>
    </xf>
    <xf numFmtId="0" fontId="16" fillId="4" borderId="15" xfId="1" applyFont="1" applyFill="1" applyBorder="1" applyAlignment="1">
      <alignment horizontal="center" vertical="center"/>
      <protection locked="0" hidden="0"/>
    </xf>
    <xf numFmtId="0" fontId="9" fillId="2" borderId="7" xfId="1" applyFont="1" applyFill="1" applyBorder="1" applyAlignment="1">
      <alignment horizontal="center" vertical="center"/>
    </xf>
    <xf numFmtId="0" fontId="9" fillId="0" borderId="8" xfId="0" applyFont="1" applyBorder="1" applyAlignment="1">
      <alignment horizontal="center" vertical="center"/>
      <protection locked="0" hidden="0"/>
    </xf>
    <xf numFmtId="0" fontId="9" fillId="0" borderId="9" xfId="0" applyFont="1" applyBorder="1" applyAlignment="1">
      <alignment horizontal="center" vertical="center"/>
      <protection locked="0" hidden="0"/>
    </xf>
    <xf numFmtId="0" fontId="9" fillId="2" borderId="13" xfId="1" applyFont="1" applyFill="1" applyBorder="1" applyAlignment="1">
      <alignment horizontal="center" vertical="center"/>
    </xf>
    <xf numFmtId="0" fontId="9" fillId="4" borderId="14" xfId="1" applyFont="1" applyFill="1" applyBorder="1" applyAlignment="1">
      <alignment horizontal="center" vertical="center"/>
      <protection locked="0" hidden="0"/>
    </xf>
    <xf numFmtId="0" fontId="9" fillId="4" borderId="15" xfId="1" applyFont="1" applyFill="1" applyBorder="1" applyAlignment="1">
      <alignment horizontal="center" vertical="center"/>
      <protection locked="0" hidden="0"/>
    </xf>
    <xf numFmtId="0" fontId="9" fillId="2" borderId="13" xfId="1" applyFont="1" applyFill="1" applyBorder="1" applyAlignment="1">
      <alignment horizontal="center" vertical="center" wrapText="1"/>
    </xf>
    <xf numFmtId="0" fontId="9" fillId="4" borderId="14" xfId="1" applyFont="1" applyFill="1" applyBorder="1" applyAlignment="1">
      <alignment horizontal="center" vertical="center"/>
      <protection locked="0" hidden="0"/>
    </xf>
    <xf numFmtId="0" fontId="9" fillId="4" borderId="15" xfId="1" applyFont="1" applyFill="1" applyBorder="1" applyAlignment="1">
      <alignment horizontal="center" vertical="center"/>
      <protection locked="0" hidden="0"/>
    </xf>
    <xf numFmtId="164" fontId="11" fillId="5" borderId="23" xfId="1" applyNumberFormat="1" applyFont="1" applyFill="1" applyBorder="1" applyAlignment="1">
      <alignment horizontal="center" vertical="center"/>
    </xf>
    <xf numFmtId="164" fontId="11" fillId="5" borderId="24" xfId="1" applyNumberFormat="1" applyFont="1" applyFill="1" applyBorder="1" applyAlignment="1">
      <alignment horizontal="center" vertical="center"/>
    </xf>
    <xf numFmtId="164" fontId="11" fillId="6" borderId="24" xfId="1" applyNumberFormat="1" applyFont="1" applyFill="1" applyBorder="1" applyAlignment="1">
      <alignment horizontal="center" vertical="center"/>
    </xf>
    <xf numFmtId="164" fontId="11" fillId="6" borderId="25" xfId="1" applyNumberFormat="1" applyFont="1" applyFill="1" applyBorder="1" applyAlignment="1">
      <alignment horizontal="center" vertical="center"/>
    </xf>
    <xf numFmtId="0" fontId="9" fillId="2" borderId="13" xfId="1" applyFont="1" applyFill="1" applyBorder="1" applyAlignment="1">
      <alignment horizontal="center" vertical="center"/>
    </xf>
    <xf numFmtId="0" fontId="17" fillId="3" borderId="4" xfId="1" applyFont="1" applyFill="1" applyBorder="1" applyAlignment="1">
      <alignment horizontal="center" vertical="center"/>
    </xf>
    <xf numFmtId="0" fontId="17" fillId="3" borderId="5" xfId="1" applyFont="1" applyFill="1" applyBorder="1" applyAlignment="1">
      <alignment horizontal="center" vertical="center"/>
    </xf>
    <xf numFmtId="0" fontId="17" fillId="3" borderId="6" xfId="1" applyFont="1" applyFill="1" applyBorder="1" applyAlignment="1">
      <alignment horizontal="center" vertical="center"/>
    </xf>
    <xf numFmtId="0" fontId="9" fillId="2" borderId="23" xfId="1" applyFont="1" applyFill="1" applyBorder="1" applyAlignment="1">
      <alignment horizontal="center" vertical="center"/>
    </xf>
    <xf numFmtId="164" fontId="18" fillId="4" borderId="24" xfId="1" applyNumberFormat="1" applyFont="1" applyFill="1" applyBorder="1" applyAlignment="1">
      <alignment horizontal="center" vertical="center"/>
      <protection locked="0" hidden="0"/>
    </xf>
    <xf numFmtId="164" fontId="18" fillId="4" borderId="25" xfId="1" applyNumberFormat="1" applyFont="1" applyFill="1" applyBorder="1" applyAlignment="1">
      <alignment horizontal="center" vertical="center"/>
      <protection locked="0" hidden="0"/>
    </xf>
    <xf numFmtId="0" fontId="9" fillId="0" borderId="0" xfId="1" applyFont="1">
      <alignment vertical="center"/>
    </xf>
    <xf numFmtId="0" fontId="11" fillId="5" borderId="13" xfId="2" applyFont="1" applyFill="1" applyBorder="1" applyAlignment="1">
      <alignment horizontal="center" vertical="center"/>
    </xf>
    <xf numFmtId="164" fontId="11" fillId="5" borderId="14" xfId="2" applyNumberFormat="1" applyFont="1" applyFill="1" applyBorder="1" applyAlignment="1">
      <alignment horizontal="center" vertical="center"/>
    </xf>
    <xf numFmtId="0" fontId="11" fillId="5" borderId="14" xfId="2" applyFont="1" applyFill="1" applyBorder="1" applyAlignment="1">
      <alignment horizontal="center" vertical="center"/>
    </xf>
    <xf numFmtId="0" fontId="11" fillId="5" borderId="15" xfId="2" applyFont="1" applyFill="1" applyBorder="1" applyAlignment="1">
      <alignment horizontal="center" vertical="center"/>
    </xf>
    <xf numFmtId="0" fontId="9" fillId="2" borderId="8" xfId="2" applyFont="1" applyFill="1" applyBorder="1" applyAlignment="1">
      <alignment horizontal="center" vertical="center"/>
    </xf>
    <xf numFmtId="0" fontId="9" fillId="2" borderId="26" xfId="2" applyFont="1" applyFill="1" applyBorder="1" applyAlignment="1">
      <alignment horizontal="center" vertical="center"/>
    </xf>
    <xf numFmtId="0" fontId="9" fillId="2" borderId="9" xfId="1" applyFont="1" applyFill="1" applyBorder="1" applyAlignment="1">
      <alignment horizontal="center" vertical="center"/>
    </xf>
    <xf numFmtId="0" fontId="11" fillId="5" borderId="23" xfId="2" applyFont="1" applyFill="1" applyBorder="1" applyAlignment="1">
      <alignment horizontal="center" vertical="center"/>
    </xf>
    <xf numFmtId="164" fontId="11" fillId="5" borderId="24" xfId="2" applyNumberFormat="1" applyFont="1" applyFill="1" applyBorder="1" applyAlignment="1">
      <alignment horizontal="center" vertical="center"/>
    </xf>
    <xf numFmtId="0" fontId="11" fillId="5" borderId="24" xfId="2" applyFont="1" applyFill="1" applyBorder="1" applyAlignment="1">
      <alignment horizontal="center" vertical="center"/>
    </xf>
    <xf numFmtId="0" fontId="11" fillId="5" borderId="25" xfId="2" applyFont="1" applyFill="1" applyBorder="1" applyAlignment="1">
      <alignment horizontal="center" vertical="center"/>
    </xf>
    <xf numFmtId="0" fontId="19" fillId="0" borderId="0" xfId="1" applyFont="1" applyAlignment="1">
      <alignment horizontal="center" vertical="center"/>
    </xf>
    <xf numFmtId="164" fontId="20" fillId="4" borderId="0" xfId="1" applyNumberFormat="1" applyFont="1" applyFill="1" applyAlignment="1">
      <alignment horizontal="center" vertical="center"/>
    </xf>
    <xf numFmtId="0" fontId="9" fillId="2" borderId="13" xfId="1" applyFont="1" applyFill="1" applyBorder="1" applyAlignment="1">
      <alignment horizontal="center" vertical="center" wrapText="1"/>
    </xf>
    <xf numFmtId="0" fontId="21" fillId="2" borderId="14" xfId="1" applyFont="1" applyFill="1" applyBorder="1" applyAlignment="1">
      <alignment horizontal="center" vertical="center"/>
    </xf>
    <xf numFmtId="0" fontId="21" fillId="2" borderId="15" xfId="1" applyFont="1" applyFill="1" applyBorder="1" applyAlignment="1">
      <alignment horizontal="center" vertical="center"/>
    </xf>
    <xf numFmtId="0" fontId="15" fillId="2" borderId="27" xfId="0" applyFont="1" applyFill="1" applyBorder="1" applyAlignment="1">
      <alignment horizontal="center" vertical="center"/>
    </xf>
    <xf numFmtId="0" fontId="17" fillId="0" borderId="0" xfId="1" applyFont="1">
      <alignment vertical="center"/>
    </xf>
    <xf numFmtId="164" fontId="9" fillId="2" borderId="14" xfId="1" applyNumberFormat="1" applyFont="1" applyFill="1" applyBorder="1" applyAlignment="1">
      <alignment horizontal="center" vertical="center"/>
    </xf>
    <xf numFmtId="0" fontId="16" fillId="2" borderId="14" xfId="3" applyFont="1" applyFill="1" applyBorder="1" applyAlignment="1">
      <alignment horizontal="center" vertical="center"/>
    </xf>
    <xf numFmtId="0" fontId="9" fillId="2" borderId="14" xfId="1" applyFont="1" applyFill="1" applyBorder="1" applyAlignment="1">
      <alignment horizontal="center" vertical="center"/>
    </xf>
    <xf numFmtId="0" fontId="22" fillId="0" borderId="0" xfId="0" applyFont="1">
      <alignment vertical="center"/>
    </xf>
    <xf numFmtId="0" fontId="19" fillId="0" borderId="0" xfId="1" applyFont="1">
      <alignment vertical="center"/>
    </xf>
    <xf numFmtId="0" fontId="9" fillId="0" borderId="14" xfId="0" applyFont="1" applyBorder="1" applyAlignment="1">
      <alignment horizontal="center" vertical="center"/>
      <protection locked="0" hidden="0"/>
    </xf>
    <xf numFmtId="0" fontId="9" fillId="4" borderId="14" xfId="2" applyFont="1" applyFill="1" applyBorder="1" applyAlignment="1">
      <alignment horizontal="center" vertical="center"/>
      <protection locked="0" hidden="0"/>
    </xf>
    <xf numFmtId="0" fontId="9" fillId="2" borderId="28" xfId="1" applyFont="1" applyFill="1" applyBorder="1" applyAlignment="1">
      <alignment horizontal="center" vertical="center"/>
    </xf>
    <xf numFmtId="0" fontId="9" fillId="2" borderId="29" xfId="1" applyFont="1" applyFill="1" applyBorder="1" applyAlignment="1">
      <alignment horizontal="center" vertical="center"/>
    </xf>
    <xf numFmtId="0" fontId="9" fillId="2" borderId="23" xfId="1" applyFont="1" applyFill="1" applyBorder="1" applyAlignment="1">
      <alignment horizontal="center" vertical="center" wrapText="1"/>
    </xf>
    <xf numFmtId="164" fontId="9" fillId="4" borderId="24" xfId="2" applyNumberFormat="1" applyFont="1" applyFill="1" applyBorder="1" applyAlignment="1">
      <alignment horizontal="center" vertical="center"/>
      <protection locked="0" hidden="0"/>
    </xf>
    <xf numFmtId="164" fontId="9" fillId="4" borderId="24" xfId="1" applyNumberFormat="1" applyFont="1" applyFill="1" applyBorder="1" applyAlignment="1">
      <alignment horizontal="center" vertical="center"/>
      <protection locked="0" hidden="0"/>
    </xf>
    <xf numFmtId="0" fontId="21" fillId="2" borderId="30" xfId="1" applyFont="1" applyFill="1" applyBorder="1" applyAlignment="1">
      <alignment horizontal="center" vertical="center"/>
    </xf>
    <xf numFmtId="0" fontId="9" fillId="0" borderId="27" xfId="1" applyFont="1" applyBorder="1" applyAlignment="1">
      <alignment horizontal="center" vertical="center"/>
      <protection locked="0" hidden="0"/>
    </xf>
    <xf numFmtId="0" fontId="23" fillId="7" borderId="31" xfId="2" applyFont="1" applyFill="1" applyBorder="1" applyAlignment="1">
      <alignment horizontal="center" vertical="center"/>
    </xf>
    <xf numFmtId="0" fontId="23" fillId="7" borderId="32" xfId="2" applyFont="1" applyFill="1" applyBorder="1" applyAlignment="1">
      <alignment horizontal="center" vertical="center"/>
    </xf>
    <xf numFmtId="0" fontId="23" fillId="7" borderId="33" xfId="2" applyFont="1" applyFill="1" applyBorder="1" applyAlignment="1">
      <alignment horizontal="center" vertical="center"/>
    </xf>
    <xf numFmtId="0" fontId="23" fillId="8" borderId="34" xfId="3" applyFont="1" applyFill="1" applyBorder="1" applyAlignment="1">
      <alignment horizontal="center" vertical="center"/>
    </xf>
    <xf numFmtId="0" fontId="23" fillId="8" borderId="35" xfId="3" applyFont="1" applyFill="1" applyBorder="1" applyAlignment="1">
      <alignment horizontal="center" vertical="center"/>
    </xf>
    <xf numFmtId="0" fontId="23" fillId="8" borderId="36" xfId="3" applyFont="1" applyFill="1" applyBorder="1" applyAlignment="1">
      <alignment horizontal="center" vertical="center"/>
    </xf>
    <xf numFmtId="0" fontId="16" fillId="9" borderId="13" xfId="2" applyFont="1" applyFill="1" applyBorder="1" applyAlignment="1">
      <alignment horizontal="center" vertical="center" wrapText="1"/>
    </xf>
    <xf numFmtId="0" fontId="16" fillId="0" borderId="14" xfId="1" applyFont="1" applyBorder="1" applyAlignment="1">
      <alignment horizontal="center" vertical="center" wrapText="1"/>
      <protection locked="0" hidden="0"/>
    </xf>
    <xf numFmtId="0" fontId="16" fillId="9" borderId="14" xfId="2" applyFont="1" applyFill="1" applyBorder="1" applyAlignment="1">
      <alignment horizontal="center" vertical="center" wrapText="1"/>
    </xf>
    <xf numFmtId="0" fontId="16" fillId="4" borderId="14" xfId="2" applyFont="1" applyFill="1" applyBorder="1" applyAlignment="1">
      <alignment horizontal="center" vertical="center" wrapText="1"/>
      <protection locked="0" hidden="0"/>
    </xf>
    <xf numFmtId="0" fontId="16" fillId="9" borderId="14" xfId="2" applyFont="1" applyFill="1" applyBorder="1" applyAlignment="1">
      <alignment horizontal="center" vertical="center"/>
    </xf>
    <xf numFmtId="0" fontId="16" fillId="0" borderId="14" xfId="1" applyFont="1" applyBorder="1" applyAlignment="1">
      <alignment horizontal="center" vertical="center" wrapText="1"/>
      <protection locked="0" hidden="0"/>
    </xf>
    <xf numFmtId="0" fontId="16" fillId="4" borderId="15" xfId="2" applyFont="1" applyFill="1" applyBorder="1" applyAlignment="1">
      <alignment horizontal="center" vertical="center" wrapText="1"/>
    </xf>
    <xf numFmtId="0" fontId="16" fillId="10" borderId="13" xfId="2" applyFont="1" applyFill="1" applyBorder="1" applyAlignment="1">
      <alignment horizontal="center" vertical="center" wrapText="1"/>
    </xf>
    <xf numFmtId="0" fontId="16" fillId="0" borderId="14" xfId="1" applyFont="1" applyBorder="1" applyAlignment="1">
      <alignment horizontal="center" vertical="center"/>
      <protection locked="0" hidden="0"/>
    </xf>
    <xf numFmtId="0" fontId="16" fillId="10" borderId="14" xfId="2" applyFont="1" applyFill="1" applyBorder="1" applyAlignment="1">
      <alignment horizontal="center" vertical="center" wrapText="1"/>
    </xf>
    <xf numFmtId="0" fontId="16" fillId="10" borderId="14" xfId="2" applyFont="1" applyFill="1" applyBorder="1" applyAlignment="1">
      <alignment horizontal="center" vertical="center"/>
    </xf>
    <xf numFmtId="0" fontId="16" fillId="9" borderId="13" xfId="2" applyFont="1" applyFill="1" applyBorder="1" applyAlignment="1">
      <alignment horizontal="center" vertical="center" wrapText="1"/>
    </xf>
    <xf numFmtId="0" fontId="24" fillId="0" borderId="37" xfId="1" applyFont="1" applyBorder="1" applyAlignment="1">
      <alignment horizontal="center" vertical="center" wrapText="1"/>
      <protection locked="0" hidden="0"/>
    </xf>
    <xf numFmtId="0" fontId="24" fillId="0" borderId="38" xfId="1" applyFont="1" applyBorder="1" applyAlignment="1">
      <alignment horizontal="center" vertical="center" wrapText="1"/>
      <protection locked="0" hidden="0"/>
    </xf>
    <xf numFmtId="0" fontId="16" fillId="0" borderId="28" xfId="1" applyFont="1" applyBorder="1" applyAlignment="1">
      <alignment horizontal="center" vertical="center" wrapText="1"/>
      <protection locked="0" hidden="0"/>
    </xf>
    <xf numFmtId="165" fontId="16" fillId="0" borderId="39" xfId="1" applyNumberFormat="1" applyFont="1" applyBorder="1" applyAlignment="1">
      <alignment horizontal="center" vertical="center" wrapText="1"/>
      <protection locked="0" hidden="0"/>
    </xf>
    <xf numFmtId="0" fontId="16" fillId="10" borderId="13" xfId="2" applyFont="1" applyFill="1" applyBorder="1" applyAlignment="1">
      <alignment horizontal="center" vertical="center" wrapText="1"/>
    </xf>
    <xf numFmtId="0" fontId="25" fillId="0" borderId="37" xfId="1" applyFont="1" applyBorder="1" applyAlignment="1">
      <alignment horizontal="center" vertical="center" wrapText="1"/>
      <protection locked="0" hidden="0"/>
    </xf>
    <xf numFmtId="0" fontId="25" fillId="0" borderId="38" xfId="1" applyFont="1" applyBorder="1" applyAlignment="1">
      <alignment horizontal="center" vertical="center" wrapText="1"/>
      <protection locked="0" hidden="0"/>
    </xf>
    <xf numFmtId="0" fontId="24" fillId="0" borderId="40" xfId="1" applyFont="1" applyBorder="1" applyAlignment="1">
      <alignment horizontal="center" vertical="center" wrapText="1"/>
      <protection locked="0" hidden="0"/>
    </xf>
    <xf numFmtId="0" fontId="24" fillId="0" borderId="41" xfId="1" applyFont="1" applyBorder="1" applyAlignment="1">
      <alignment horizontal="center" vertical="center" wrapText="1"/>
      <protection locked="0" hidden="0"/>
    </xf>
    <xf numFmtId="0" fontId="16" fillId="0" borderId="39" xfId="1" applyFont="1" applyBorder="1" applyAlignment="1">
      <alignment horizontal="center" vertical="center" wrapText="1"/>
      <protection locked="0" hidden="0"/>
    </xf>
    <xf numFmtId="0" fontId="25" fillId="0" borderId="40" xfId="1" applyFont="1" applyBorder="1" applyAlignment="1">
      <alignment horizontal="center" vertical="center" wrapText="1"/>
      <protection locked="0" hidden="0"/>
    </xf>
    <xf numFmtId="0" fontId="25" fillId="0" borderId="41" xfId="1" applyFont="1" applyBorder="1" applyAlignment="1">
      <alignment horizontal="center" vertical="center" wrapText="1"/>
      <protection locked="0" hidden="0"/>
    </xf>
    <xf numFmtId="0" fontId="16" fillId="0" borderId="15" xfId="1" applyFont="1" applyBorder="1" applyAlignment="1">
      <alignment horizontal="center" vertical="center" wrapText="1"/>
      <protection locked="0" hidden="0"/>
    </xf>
    <xf numFmtId="0" fontId="7" fillId="0" borderId="0" xfId="1" applyFont="1" applyAlignment="1">
      <alignment horizontal="center" vertical="center"/>
    </xf>
    <xf numFmtId="0" fontId="16" fillId="0" borderId="37" xfId="1" applyFont="1" applyBorder="1" applyAlignment="1">
      <alignment horizontal="center" vertical="center" wrapText="1"/>
      <protection locked="0" hidden="0"/>
    </xf>
    <xf numFmtId="0" fontId="16" fillId="0" borderId="38" xfId="1" applyFont="1" applyBorder="1" applyAlignment="1">
      <alignment horizontal="center" vertical="center" wrapText="1"/>
      <protection locked="0" hidden="0"/>
    </xf>
    <xf numFmtId="0" fontId="16" fillId="0" borderId="40" xfId="1" applyFont="1" applyBorder="1" applyAlignment="1">
      <alignment horizontal="center" vertical="center" wrapText="1"/>
      <protection locked="0" hidden="0"/>
    </xf>
    <xf numFmtId="0" fontId="16" fillId="0" borderId="41" xfId="1" applyFont="1" applyBorder="1" applyAlignment="1">
      <alignment horizontal="center" vertical="center" wrapText="1"/>
      <protection locked="0" hidden="0"/>
    </xf>
    <xf numFmtId="0" fontId="16" fillId="0" borderId="28" xfId="1" applyFont="1" applyBorder="1" applyAlignment="1">
      <alignment horizontal="right" vertical="center" wrapText="1"/>
      <protection locked="0" hidden="0"/>
    </xf>
    <xf numFmtId="165" fontId="16" fillId="0" borderId="39" xfId="1" applyNumberFormat="1" applyFont="1" applyBorder="1" applyAlignment="1">
      <alignment horizontal="left" vertical="center" wrapText="1"/>
      <protection locked="0" hidden="0"/>
    </xf>
    <xf numFmtId="0" fontId="16" fillId="0" borderId="39" xfId="1" applyFont="1" applyBorder="1" applyAlignment="1">
      <alignment horizontal="left" vertical="center" wrapText="1"/>
      <protection locked="0" hidden="0"/>
    </xf>
    <xf numFmtId="0" fontId="16" fillId="9" borderId="42" xfId="2" applyFont="1" applyFill="1" applyBorder="1" applyAlignment="1">
      <alignment horizontal="center" vertical="center" wrapText="1"/>
    </xf>
    <xf numFmtId="0" fontId="16" fillId="0" borderId="43" xfId="1" applyFont="1" applyBorder="1" applyAlignment="1">
      <alignment horizontal="center" vertical="center" wrapText="1"/>
      <protection locked="0" hidden="0"/>
    </xf>
    <xf numFmtId="0" fontId="16" fillId="0" borderId="44" xfId="1" applyFont="1" applyBorder="1" applyAlignment="1">
      <alignment horizontal="center" vertical="center" wrapText="1"/>
      <protection locked="0" hidden="0"/>
    </xf>
    <xf numFmtId="0" fontId="16" fillId="10" borderId="42" xfId="2" applyFont="1" applyFill="1" applyBorder="1" applyAlignment="1">
      <alignment horizontal="center" vertical="center" wrapText="1"/>
    </xf>
    <xf numFmtId="0" fontId="26" fillId="11" borderId="34" xfId="2" applyFont="1" applyFill="1" applyBorder="1" applyAlignment="1">
      <alignment horizontal="center" vertical="center" wrapText="1"/>
    </xf>
    <xf numFmtId="0" fontId="26" fillId="11" borderId="35" xfId="2" applyFont="1" applyFill="1" applyBorder="1" applyAlignment="1">
      <alignment horizontal="center" vertical="center" wrapText="1"/>
    </xf>
    <xf numFmtId="0" fontId="26" fillId="11" borderId="36" xfId="2" applyFont="1" applyFill="1" applyBorder="1" applyAlignment="1">
      <alignment horizontal="center" vertical="center" wrapText="1"/>
    </xf>
    <xf numFmtId="0" fontId="27" fillId="0" borderId="0" xfId="1" applyFont="1" applyAlignment="1">
      <alignment horizontal="center" vertical="center" wrapText="1"/>
    </xf>
    <xf numFmtId="0" fontId="26" fillId="12" borderId="34" xfId="3" applyFont="1" applyFill="1" applyBorder="1" applyAlignment="1">
      <alignment horizontal="center" vertical="center" wrapText="1"/>
    </xf>
    <xf numFmtId="0" fontId="26" fillId="12" borderId="35" xfId="3" applyFont="1" applyFill="1" applyBorder="1" applyAlignment="1">
      <alignment horizontal="center" vertical="center" wrapText="1"/>
    </xf>
    <xf numFmtId="0" fontId="26" fillId="12" borderId="36" xfId="3" applyFont="1" applyFill="1" applyBorder="1" applyAlignment="1">
      <alignment horizontal="center" vertical="center" wrapText="1"/>
    </xf>
    <xf numFmtId="0" fontId="28" fillId="13" borderId="13" xfId="2" applyFont="1" applyFill="1" applyBorder="1" applyAlignment="1">
      <alignment horizontal="center" vertical="center" wrapText="1"/>
    </xf>
    <xf numFmtId="0" fontId="28" fillId="0" borderId="14" xfId="1" applyFont="1" applyBorder="1" applyAlignment="1">
      <alignment horizontal="center" vertical="center" wrapText="1"/>
      <protection locked="0" hidden="0"/>
    </xf>
    <xf numFmtId="0" fontId="28" fillId="13" borderId="14" xfId="2" applyFont="1" applyFill="1" applyBorder="1" applyAlignment="1">
      <alignment horizontal="center" vertical="center" wrapText="1"/>
    </xf>
    <xf numFmtId="0" fontId="28" fillId="4" borderId="14" xfId="2" applyFont="1" applyFill="1" applyBorder="1" applyAlignment="1">
      <alignment horizontal="center" vertical="center" wrapText="1"/>
      <protection locked="0" hidden="0"/>
    </xf>
    <xf numFmtId="0" fontId="28" fillId="0" borderId="14" xfId="1" applyFont="1" applyBorder="1" applyAlignment="1">
      <alignment horizontal="center" vertical="center" wrapText="1"/>
      <protection locked="0" hidden="0"/>
    </xf>
    <xf numFmtId="0" fontId="28" fillId="4" borderId="15" xfId="2" applyFont="1" applyFill="1" applyBorder="1" applyAlignment="1">
      <alignment horizontal="center" vertical="center" wrapText="1"/>
    </xf>
    <xf numFmtId="0" fontId="28" fillId="0" borderId="0" xfId="1" applyFont="1" applyAlignment="1">
      <alignment horizontal="center" vertical="center" wrapText="1"/>
    </xf>
    <xf numFmtId="0" fontId="28" fillId="6" borderId="13" xfId="2" applyFont="1" applyFill="1" applyBorder="1" applyAlignment="1">
      <alignment horizontal="center" vertical="center" wrapText="1"/>
    </xf>
    <xf numFmtId="0" fontId="28" fillId="6" borderId="14" xfId="2" applyFont="1" applyFill="1" applyBorder="1" applyAlignment="1">
      <alignment horizontal="center" vertical="center" wrapText="1"/>
    </xf>
    <xf numFmtId="0" fontId="28" fillId="13" borderId="13" xfId="2" applyFont="1" applyFill="1" applyBorder="1" applyAlignment="1">
      <alignment horizontal="center" vertical="center" wrapText="1"/>
    </xf>
    <xf numFmtId="0" fontId="29" fillId="0" borderId="37" xfId="1" applyFont="1" applyBorder="1" applyAlignment="1">
      <alignment horizontal="center" vertical="center" wrapText="1"/>
      <protection locked="0" hidden="0"/>
    </xf>
    <xf numFmtId="0" fontId="29" fillId="0" borderId="38" xfId="1" applyFont="1" applyBorder="1" applyAlignment="1">
      <alignment horizontal="center" vertical="center" wrapText="1"/>
      <protection locked="0" hidden="0"/>
    </xf>
    <xf numFmtId="0" fontId="28" fillId="0" borderId="28" xfId="1" applyFont="1" applyBorder="1" applyAlignment="1">
      <alignment horizontal="center" vertical="center" wrapText="1"/>
      <protection locked="0" hidden="0"/>
    </xf>
    <xf numFmtId="165" fontId="28" fillId="0" borderId="39" xfId="1" applyNumberFormat="1" applyFont="1" applyBorder="1" applyAlignment="1">
      <alignment horizontal="center" vertical="center" wrapText="1"/>
      <protection locked="0" hidden="0"/>
    </xf>
    <xf numFmtId="0" fontId="28" fillId="6" borderId="13" xfId="2" applyFont="1" applyFill="1" applyBorder="1" applyAlignment="1">
      <alignment horizontal="center" vertical="center" wrapText="1"/>
    </xf>
    <xf numFmtId="0" fontId="28" fillId="0" borderId="37" xfId="1" applyFont="1" applyBorder="1" applyAlignment="1">
      <alignment horizontal="center" vertical="center" wrapText="1"/>
      <protection locked="0" hidden="0"/>
    </xf>
    <xf numFmtId="0" fontId="28" fillId="0" borderId="38" xfId="1" applyFont="1" applyBorder="1" applyAlignment="1">
      <alignment horizontal="center" vertical="center" wrapText="1"/>
      <protection locked="0" hidden="0"/>
    </xf>
    <xf numFmtId="0" fontId="29" fillId="0" borderId="40" xfId="1" applyFont="1" applyBorder="1" applyAlignment="1">
      <alignment horizontal="center" vertical="center" wrapText="1"/>
      <protection locked="0" hidden="0"/>
    </xf>
    <xf numFmtId="0" fontId="29" fillId="0" borderId="41" xfId="1" applyFont="1" applyBorder="1" applyAlignment="1">
      <alignment horizontal="center" vertical="center" wrapText="1"/>
      <protection locked="0" hidden="0"/>
    </xf>
    <xf numFmtId="0" fontId="28" fillId="0" borderId="39" xfId="1" applyFont="1" applyBorder="1" applyAlignment="1">
      <alignment horizontal="center" vertical="center" wrapText="1"/>
      <protection locked="0" hidden="0"/>
    </xf>
    <xf numFmtId="0" fontId="28" fillId="0" borderId="40" xfId="1" applyFont="1" applyBorder="1" applyAlignment="1">
      <alignment horizontal="center" vertical="center" wrapText="1"/>
      <protection locked="0" hidden="0"/>
    </xf>
    <xf numFmtId="0" fontId="28" fillId="0" borderId="41" xfId="1" applyFont="1" applyBorder="1" applyAlignment="1">
      <alignment horizontal="center" vertical="center" wrapText="1"/>
      <protection locked="0" hidden="0"/>
    </xf>
    <xf numFmtId="0" fontId="28" fillId="0" borderId="15" xfId="1" applyFont="1" applyBorder="1" applyAlignment="1">
      <alignment horizontal="center" vertical="center" wrapText="1"/>
      <protection locked="0" hidden="0"/>
    </xf>
    <xf numFmtId="0" fontId="30" fillId="13" borderId="13" xfId="2" applyFont="1" applyFill="1" applyBorder="1" applyAlignment="1">
      <alignment horizontal="center" vertical="center" wrapText="1"/>
    </xf>
    <xf numFmtId="0" fontId="31" fillId="0" borderId="37" xfId="1" applyFont="1" applyBorder="1" applyAlignment="1">
      <alignment horizontal="center" vertical="center" wrapText="1"/>
      <protection locked="0" hidden="0"/>
    </xf>
    <xf numFmtId="0" fontId="31" fillId="0" borderId="38" xfId="1" applyFont="1" applyBorder="1" applyAlignment="1">
      <alignment horizontal="center" vertical="center" wrapText="1"/>
      <protection locked="0" hidden="0"/>
    </xf>
    <xf numFmtId="0" fontId="30" fillId="13" borderId="14" xfId="2" applyFont="1" applyFill="1" applyBorder="1" applyAlignment="1">
      <alignment horizontal="center" vertical="center" wrapText="1"/>
    </xf>
    <xf numFmtId="0" fontId="30" fillId="0" borderId="14" xfId="1" applyFont="1" applyBorder="1" applyAlignment="1">
      <alignment horizontal="center" vertical="center" wrapText="1"/>
      <protection locked="0" hidden="0"/>
    </xf>
    <xf numFmtId="0" fontId="30" fillId="0" borderId="28" xfId="1" applyFont="1" applyBorder="1" applyAlignment="1">
      <alignment horizontal="center" vertical="center" wrapText="1"/>
      <protection locked="0" hidden="0"/>
    </xf>
    <xf numFmtId="165" fontId="32" fillId="0" borderId="39" xfId="1" applyNumberFormat="1" applyFont="1" applyBorder="1" applyAlignment="1">
      <alignment horizontal="center" vertical="center" wrapText="1"/>
      <protection locked="0" hidden="0"/>
    </xf>
    <xf numFmtId="0" fontId="30" fillId="6" borderId="13" xfId="2" applyFont="1" applyFill="1" applyBorder="1" applyAlignment="1">
      <alignment horizontal="center" vertical="center" wrapText="1"/>
    </xf>
    <xf numFmtId="0" fontId="27" fillId="0" borderId="37" xfId="1" applyFont="1" applyBorder="1" applyAlignment="1">
      <alignment horizontal="center" vertical="center" wrapText="1"/>
      <protection locked="0" hidden="0"/>
    </xf>
    <xf numFmtId="0" fontId="27" fillId="0" borderId="38" xfId="1" applyFont="1" applyBorder="1" applyAlignment="1">
      <alignment horizontal="center" vertical="center" wrapText="1"/>
      <protection locked="0" hidden="0"/>
    </xf>
    <xf numFmtId="0" fontId="30" fillId="6" borderId="14" xfId="2" applyFont="1" applyFill="1" applyBorder="1" applyAlignment="1">
      <alignment horizontal="center" vertical="center" wrapText="1"/>
    </xf>
    <xf numFmtId="0" fontId="27" fillId="0" borderId="14" xfId="1" applyFont="1" applyBorder="1" applyAlignment="1">
      <alignment horizontal="center" vertical="center" wrapText="1"/>
      <protection locked="0" hidden="0"/>
    </xf>
    <xf numFmtId="0" fontId="27" fillId="0" borderId="28" xfId="1" applyFont="1" applyBorder="1" applyAlignment="1">
      <alignment horizontal="center" vertical="center" wrapText="1"/>
      <protection locked="0" hidden="0"/>
    </xf>
    <xf numFmtId="165" fontId="27" fillId="0" borderId="39" xfId="1" applyNumberFormat="1" applyFont="1" applyBorder="1" applyAlignment="1">
      <alignment horizontal="center" vertical="center" wrapText="1"/>
      <protection locked="0" hidden="0"/>
    </xf>
    <xf numFmtId="0" fontId="31" fillId="0" borderId="40" xfId="1" applyFont="1" applyBorder="1" applyAlignment="1">
      <alignment horizontal="center" vertical="center" wrapText="1"/>
      <protection locked="0" hidden="0"/>
    </xf>
    <xf numFmtId="0" fontId="31" fillId="0" borderId="41" xfId="1" applyFont="1" applyBorder="1" applyAlignment="1">
      <alignment horizontal="center" vertical="center" wrapText="1"/>
      <protection locked="0" hidden="0"/>
    </xf>
    <xf numFmtId="0" fontId="30" fillId="0" borderId="39" xfId="1" applyFont="1" applyBorder="1" applyAlignment="1">
      <alignment horizontal="center" vertical="center" wrapText="1"/>
      <protection locked="0" hidden="0"/>
    </xf>
    <xf numFmtId="0" fontId="27" fillId="0" borderId="40" xfId="1" applyFont="1" applyBorder="1" applyAlignment="1">
      <alignment horizontal="center" vertical="center" wrapText="1"/>
      <protection locked="0" hidden="0"/>
    </xf>
    <xf numFmtId="0" fontId="27" fillId="0" borderId="41" xfId="1" applyFont="1" applyBorder="1" applyAlignment="1">
      <alignment horizontal="center" vertical="center" wrapText="1"/>
      <protection locked="0" hidden="0"/>
    </xf>
    <xf numFmtId="0" fontId="27" fillId="0" borderId="39" xfId="1" applyFont="1" applyBorder="1" applyAlignment="1">
      <alignment horizontal="center" vertical="center" wrapText="1"/>
      <protection locked="0" hidden="0"/>
    </xf>
    <xf numFmtId="0" fontId="30" fillId="0" borderId="15" xfId="1" applyFont="1" applyBorder="1" applyAlignment="1">
      <alignment horizontal="center" vertical="center" wrapText="1"/>
      <protection locked="0" hidden="0"/>
    </xf>
    <xf numFmtId="0" fontId="27" fillId="0" borderId="15" xfId="1" applyFont="1" applyBorder="1" applyAlignment="1">
      <alignment horizontal="center" vertical="center" wrapText="1"/>
      <protection locked="0" hidden="0"/>
    </xf>
    <xf numFmtId="0" fontId="30" fillId="13" borderId="13" xfId="2" applyFont="1" applyFill="1" applyBorder="1" applyAlignment="1">
      <alignment horizontal="center" vertical="center" wrapText="1"/>
    </xf>
    <xf numFmtId="0" fontId="30" fillId="4" borderId="14" xfId="2" applyFont="1" applyFill="1" applyBorder="1" applyAlignment="1">
      <alignment horizontal="center" vertical="center" wrapText="1"/>
      <protection locked="0" hidden="0"/>
    </xf>
    <xf numFmtId="0" fontId="30" fillId="0" borderId="14" xfId="1" applyFont="1" applyBorder="1" applyAlignment="1">
      <alignment horizontal="center" vertical="center" wrapText="1"/>
      <protection locked="0" hidden="0"/>
    </xf>
    <xf numFmtId="0" fontId="30" fillId="4" borderId="15" xfId="2" applyFont="1" applyFill="1" applyBorder="1" applyAlignment="1">
      <alignment horizontal="center" vertical="center" wrapText="1"/>
    </xf>
    <xf numFmtId="0" fontId="30" fillId="6" borderId="13" xfId="2" applyFont="1" applyFill="1" applyBorder="1" applyAlignment="1">
      <alignment horizontal="center" vertical="center" wrapText="1"/>
    </xf>
    <xf numFmtId="0" fontId="27" fillId="4" borderId="14" xfId="2" applyFont="1" applyFill="1" applyBorder="1" applyAlignment="1">
      <alignment horizontal="center" vertical="center" wrapText="1"/>
      <protection locked="0" hidden="0"/>
    </xf>
    <xf numFmtId="0" fontId="27" fillId="0" borderId="14" xfId="1" applyFont="1" applyBorder="1" applyAlignment="1">
      <alignment horizontal="center" vertical="center" wrapText="1"/>
      <protection locked="0" hidden="0"/>
    </xf>
    <xf numFmtId="0" fontId="27" fillId="4" borderId="15" xfId="2" applyFont="1" applyFill="1" applyBorder="1" applyAlignment="1">
      <alignment horizontal="center" vertical="center" wrapText="1"/>
    </xf>
    <xf numFmtId="165" fontId="30" fillId="0" borderId="39" xfId="1" applyNumberFormat="1" applyFont="1" applyBorder="1" applyAlignment="1">
      <alignment horizontal="center" vertical="center" wrapText="1"/>
      <protection locked="0" hidden="0"/>
    </xf>
    <xf numFmtId="0" fontId="30" fillId="13" borderId="23" xfId="2" applyFont="1" applyFill="1" applyBorder="1" applyAlignment="1">
      <alignment horizontal="center" vertical="center" wrapText="1"/>
    </xf>
    <xf numFmtId="0" fontId="30" fillId="0" borderId="24" xfId="1" applyFont="1" applyBorder="1" applyAlignment="1">
      <alignment horizontal="center" vertical="center" wrapText="1"/>
      <protection locked="0" hidden="0"/>
    </xf>
    <xf numFmtId="0" fontId="30" fillId="0" borderId="25" xfId="1" applyFont="1" applyBorder="1" applyAlignment="1">
      <alignment horizontal="center" vertical="center" wrapText="1"/>
      <protection locked="0" hidden="0"/>
    </xf>
    <xf numFmtId="0" fontId="30" fillId="6" borderId="23" xfId="2" applyFont="1" applyFill="1" applyBorder="1" applyAlignment="1">
      <alignment horizontal="center" vertical="center" wrapText="1"/>
    </xf>
    <xf numFmtId="0" fontId="27" fillId="0" borderId="24" xfId="1" applyFont="1" applyBorder="1" applyAlignment="1">
      <alignment horizontal="center" vertical="center" wrapText="1"/>
      <protection locked="0" hidden="0"/>
    </xf>
    <xf numFmtId="0" fontId="27" fillId="0" borderId="25" xfId="1" applyFont="1" applyBorder="1" applyAlignment="1">
      <alignment horizontal="center" vertical="center" wrapText="1"/>
      <protection locked="0" hidden="0"/>
    </xf>
    <xf numFmtId="0" fontId="7" fillId="0" borderId="0" xfId="0" applyFont="1">
      <alignment vertical="center"/>
      <protection locked="0" hidden="0"/>
    </xf>
    <xf numFmtId="0" fontId="11" fillId="14" borderId="7" xfId="3" applyFont="1" applyFill="1" applyBorder="1" applyAlignment="1">
      <alignment horizontal="center" vertical="center"/>
    </xf>
    <xf numFmtId="0" fontId="11" fillId="14" borderId="8" xfId="3" applyFont="1" applyFill="1" applyBorder="1" applyAlignment="1">
      <alignment horizontal="center" vertical="center"/>
    </xf>
    <xf numFmtId="0" fontId="11" fillId="14" borderId="9" xfId="3" applyFont="1" applyFill="1" applyBorder="1" applyAlignment="1">
      <alignment horizontal="center" vertical="center"/>
    </xf>
    <xf numFmtId="0" fontId="5" fillId="0" borderId="5" xfId="0" applyFont="1" applyBorder="1">
      <alignment vertical="center"/>
    </xf>
    <xf numFmtId="0" fontId="5" fillId="13" borderId="7" xfId="0" applyFont="1" applyFill="1" applyBorder="1" applyAlignment="1">
      <alignment horizontal="center" vertical="center"/>
    </xf>
    <xf numFmtId="0" fontId="5" fillId="13" borderId="8" xfId="0" applyFont="1" applyFill="1" applyBorder="1" applyAlignment="1">
      <alignment horizontal="center" vertical="center"/>
    </xf>
    <xf numFmtId="0" fontId="5" fillId="13" borderId="9" xfId="0" applyFont="1" applyFill="1" applyBorder="1" applyAlignment="1">
      <alignment horizontal="center" vertical="center"/>
    </xf>
    <xf numFmtId="0" fontId="33" fillId="0" borderId="13" xfId="4" applyFont="1" applyFill="1" applyBorder="1" applyAlignment="1">
      <alignment horizontal="center" vertical="center" wrapText="1"/>
      <protection locked="0" hidden="0"/>
    </xf>
    <xf numFmtId="0" fontId="33" fillId="0" borderId="14" xfId="4" applyFont="1" applyFill="1" applyBorder="1" applyAlignment="1">
      <alignment horizontal="center" vertical="center" wrapText="1"/>
      <protection locked="0" hidden="0"/>
    </xf>
    <xf numFmtId="0" fontId="33" fillId="0" borderId="15" xfId="4" applyFont="1" applyFill="1" applyBorder="1" applyAlignment="1">
      <alignment horizontal="center" vertical="center" wrapText="1"/>
      <protection locked="0" hidden="0"/>
    </xf>
    <xf numFmtId="0" fontId="17" fillId="0" borderId="13" xfId="0" applyFont="1" applyBorder="1" applyAlignment="1">
      <alignment horizontal="center" vertical="center" wrapText="1"/>
      <protection locked="0" hidden="0"/>
    </xf>
    <xf numFmtId="0" fontId="17" fillId="0" borderId="14" xfId="0" applyFont="1" applyBorder="1" applyAlignment="1">
      <alignment horizontal="center" vertical="center"/>
      <protection locked="0" hidden="0"/>
    </xf>
    <xf numFmtId="0" fontId="17" fillId="0" borderId="15" xfId="0" applyFont="1" applyBorder="1" applyAlignment="1">
      <alignment horizontal="center" vertical="center"/>
      <protection locked="0" hidden="0"/>
    </xf>
    <xf numFmtId="0" fontId="17" fillId="0" borderId="13" xfId="0" applyFont="1" applyBorder="1" applyAlignment="1">
      <alignment horizontal="center" vertical="center"/>
      <protection locked="0" hidden="0"/>
    </xf>
    <xf numFmtId="0" fontId="33" fillId="0" borderId="42" xfId="4" applyFont="1" applyFill="1" applyBorder="1" applyAlignment="1">
      <alignment horizontal="center" vertical="center" wrapText="1"/>
      <protection locked="0" hidden="0"/>
    </xf>
    <xf numFmtId="0" fontId="33" fillId="0" borderId="43" xfId="4" applyFont="1" applyFill="1" applyBorder="1" applyAlignment="1">
      <alignment horizontal="center" vertical="center" wrapText="1"/>
      <protection locked="0" hidden="0"/>
    </xf>
    <xf numFmtId="0" fontId="33" fillId="0" borderId="44" xfId="4" applyFont="1" applyFill="1" applyBorder="1" applyAlignment="1">
      <alignment horizontal="center" vertical="center" wrapText="1"/>
      <protection locked="0" hidden="0"/>
    </xf>
    <xf numFmtId="0" fontId="17" fillId="14" borderId="13" xfId="2" applyFont="1" applyFill="1" applyBorder="1" applyAlignment="1">
      <alignment horizontal="center" vertical="center"/>
    </xf>
    <xf numFmtId="0" fontId="17" fillId="14" borderId="14" xfId="2" applyFont="1" applyFill="1" applyBorder="1" applyAlignment="1">
      <alignment horizontal="center" vertical="center"/>
    </xf>
    <xf numFmtId="0" fontId="17" fillId="14" borderId="15" xfId="2" applyFont="1" applyFill="1" applyBorder="1" applyAlignment="1">
      <alignment horizontal="center" vertical="center"/>
    </xf>
    <xf numFmtId="0" fontId="34" fillId="0" borderId="42" xfId="1" applyFont="1" applyBorder="1" applyAlignment="1">
      <alignment horizontal="center" vertical="center"/>
    </xf>
    <xf numFmtId="0" fontId="34" fillId="0" borderId="24" xfId="1" applyFont="1" applyBorder="1" applyAlignment="1">
      <alignment horizontal="center" vertical="center"/>
    </xf>
    <xf numFmtId="0" fontId="34" fillId="0" borderId="25" xfId="1" applyFont="1" applyBorder="1" applyAlignment="1">
      <alignment horizontal="center" vertical="center"/>
    </xf>
    <xf numFmtId="0" fontId="17" fillId="13" borderId="7" xfId="0" applyFont="1" applyFill="1" applyBorder="1" applyAlignment="1">
      <alignment horizontal="center" vertical="center"/>
    </xf>
    <xf numFmtId="0" fontId="17" fillId="0" borderId="8" xfId="0" applyFont="1" applyBorder="1" applyAlignment="1">
      <alignment horizontal="center" vertical="center"/>
      <protection locked="0" hidden="0"/>
    </xf>
    <xf numFmtId="0" fontId="17" fillId="13" borderId="8" xfId="0" applyFont="1" applyFill="1" applyBorder="1" applyAlignment="1">
      <alignment horizontal="center" vertical="center" wrapText="1"/>
    </xf>
    <xf numFmtId="0" fontId="17" fillId="13" borderId="8" xfId="0" applyFont="1" applyFill="1" applyBorder="1" applyAlignment="1">
      <alignment horizontal="center" vertical="center"/>
    </xf>
    <xf numFmtId="0" fontId="17" fillId="0" borderId="45" xfId="0" applyFont="1" applyBorder="1" applyAlignment="1">
      <alignment horizontal="right" vertical="center"/>
      <protection locked="0" hidden="0"/>
    </xf>
    <xf numFmtId="0" fontId="17" fillId="0" borderId="46" xfId="0" applyFont="1" applyBorder="1" applyAlignment="1">
      <alignment horizontal="right" vertical="center"/>
      <protection locked="0" hidden="0"/>
    </xf>
    <xf numFmtId="0" fontId="17" fillId="13" borderId="13" xfId="0" applyFont="1" applyFill="1" applyBorder="1" applyAlignment="1">
      <alignment horizontal="center" vertical="center"/>
    </xf>
    <xf numFmtId="0" fontId="5" fillId="0" borderId="14" xfId="0" applyFont="1" applyBorder="1" applyAlignment="1">
      <alignment horizontal="left" vertical="center" wrapText="1"/>
      <protection locked="0" hidden="0"/>
    </xf>
    <xf numFmtId="0" fontId="5" fillId="0" borderId="26" xfId="0" applyFont="1" applyBorder="1" applyAlignment="1">
      <alignment horizontal="left" vertical="center" wrapText="1"/>
      <protection locked="0" hidden="0"/>
    </xf>
    <xf numFmtId="0" fontId="5" fillId="0" borderId="47" xfId="0" applyFont="1" applyBorder="1" applyAlignment="1">
      <alignment horizontal="left" vertical="center" wrapText="1"/>
      <protection locked="0" hidden="0"/>
    </xf>
    <xf numFmtId="0" fontId="5" fillId="0" borderId="15" xfId="0" applyFont="1" applyBorder="1" applyAlignment="1">
      <alignment horizontal="left" vertical="center" wrapText="1"/>
      <protection locked="0" hidden="0"/>
    </xf>
    <xf numFmtId="0" fontId="16" fillId="13" borderId="13" xfId="0" applyFont="1" applyFill="1" applyBorder="1" applyAlignment="1">
      <alignment horizontal="center" vertical="center"/>
      <protection locked="0" hidden="0"/>
    </xf>
    <xf numFmtId="0" fontId="16" fillId="13" borderId="14" xfId="0" applyFont="1" applyFill="1" applyBorder="1" applyAlignment="1">
      <alignment horizontal="center" vertical="center"/>
      <protection locked="0" hidden="0"/>
    </xf>
    <xf numFmtId="0" fontId="17" fillId="13" borderId="14" xfId="0" applyFont="1" applyFill="1" applyBorder="1" applyAlignment="1">
      <alignment horizontal="center" vertical="center" wrapText="1"/>
    </xf>
    <xf numFmtId="0" fontId="17" fillId="13" borderId="14" xfId="0" applyFont="1" applyFill="1" applyBorder="1" applyAlignment="1">
      <alignment horizontal="center" vertical="center"/>
    </xf>
    <xf numFmtId="0" fontId="17" fillId="0" borderId="43" xfId="0" applyFont="1" applyBorder="1" applyAlignment="1">
      <alignment horizontal="right" vertical="center"/>
      <protection locked="0" hidden="0"/>
    </xf>
    <xf numFmtId="0" fontId="17" fillId="0" borderId="44" xfId="0" applyFont="1" applyBorder="1" applyAlignment="1">
      <alignment horizontal="right" vertical="center"/>
      <protection locked="0" hidden="0"/>
    </xf>
    <xf numFmtId="0" fontId="5" fillId="0" borderId="13" xfId="0" applyFont="1" applyBorder="1" applyAlignment="1">
      <alignment horizontal="center" vertical="center"/>
      <protection locked="0" hidden="0"/>
    </xf>
    <xf numFmtId="0" fontId="5" fillId="0" borderId="14" xfId="0" applyFont="1" applyBorder="1" applyAlignment="1">
      <alignment horizontal="center" vertical="center"/>
      <protection locked="0" hidden="0"/>
    </xf>
    <xf numFmtId="0" fontId="35" fillId="0" borderId="14" xfId="0" applyFont="1" applyBorder="1" applyAlignment="1">
      <alignment horizontal="left" vertical="center" wrapText="1"/>
      <protection locked="0" hidden="0"/>
    </xf>
    <xf numFmtId="0" fontId="35" fillId="0" borderId="26" xfId="0" applyFont="1" applyBorder="1" applyAlignment="1">
      <alignment horizontal="left" vertical="center" wrapText="1"/>
      <protection locked="0" hidden="0"/>
    </xf>
    <xf numFmtId="0" fontId="35" fillId="0" borderId="47" xfId="0" applyFont="1" applyBorder="1" applyAlignment="1">
      <alignment horizontal="left" vertical="center" wrapText="1"/>
      <protection locked="0" hidden="0"/>
    </xf>
    <xf numFmtId="0" fontId="35" fillId="0" borderId="15" xfId="0" applyFont="1" applyBorder="1" applyAlignment="1">
      <alignment horizontal="left" vertical="center" wrapText="1"/>
      <protection locked="0" hidden="0"/>
    </xf>
    <xf numFmtId="0" fontId="16" fillId="13" borderId="13" xfId="5" applyFont="1" applyFill="1" applyBorder="1" applyAlignment="1">
      <alignment horizontal="center" vertical="center"/>
    </xf>
    <xf numFmtId="0" fontId="16" fillId="13" borderId="14" xfId="5" applyFont="1" applyFill="1" applyBorder="1" applyAlignment="1">
      <alignment horizontal="center" vertical="center"/>
    </xf>
    <xf numFmtId="0" fontId="36" fillId="0" borderId="13" xfId="0" applyFont="1" applyBorder="1" applyAlignment="1">
      <alignment horizontal="center" vertical="center"/>
      <protection locked="0" hidden="0"/>
    </xf>
    <xf numFmtId="0" fontId="36" fillId="0" borderId="14" xfId="0" applyFont="1" applyBorder="1" applyAlignment="1">
      <alignment horizontal="center" vertical="center"/>
      <protection locked="0" hidden="0"/>
    </xf>
    <xf numFmtId="0" fontId="35" fillId="0" borderId="14" xfId="0" applyFont="1" applyBorder="1" applyAlignment="1">
      <alignment horizontal="left" vertical="center"/>
      <protection locked="0" hidden="0"/>
    </xf>
    <xf numFmtId="0" fontId="35" fillId="0" borderId="26" xfId="0" applyFont="1" applyBorder="1" applyAlignment="1">
      <alignment horizontal="left" vertical="center"/>
      <protection locked="0" hidden="0"/>
    </xf>
    <xf numFmtId="0" fontId="35" fillId="0" borderId="47" xfId="0" applyFont="1" applyBorder="1" applyAlignment="1">
      <alignment horizontal="left" vertical="center"/>
      <protection locked="0" hidden="0"/>
    </xf>
    <xf numFmtId="0" fontId="36" fillId="0" borderId="23" xfId="0" applyFont="1" applyBorder="1" applyAlignment="1">
      <alignment horizontal="center" vertical="center"/>
      <protection locked="0" hidden="0"/>
    </xf>
    <xf numFmtId="0" fontId="36" fillId="0" borderId="24" xfId="0" applyFont="1" applyBorder="1" applyAlignment="1">
      <alignment horizontal="center" vertical="center"/>
      <protection locked="0" hidden="0"/>
    </xf>
    <xf numFmtId="0" fontId="35" fillId="0" borderId="24" xfId="0" applyFont="1" applyBorder="1" applyAlignment="1">
      <alignment horizontal="left" vertical="center"/>
      <protection locked="0" hidden="0"/>
    </xf>
    <xf numFmtId="0" fontId="35" fillId="0" borderId="25" xfId="0" applyFont="1" applyBorder="1" applyAlignment="1">
      <alignment horizontal="left" vertical="center"/>
      <protection locked="0" hidden="0"/>
    </xf>
    <xf numFmtId="164" fontId="37" fillId="4" borderId="10" xfId="0" applyNumberFormat="1" applyFont="1" applyFill="1" applyBorder="1" applyAlignment="1">
      <alignment horizontal="center" vertical="center"/>
      <protection locked="0" hidden="0"/>
    </xf>
    <xf numFmtId="164" fontId="37" fillId="4" borderId="0" xfId="0" applyNumberFormat="1" applyFont="1" applyFill="1" applyAlignment="1">
      <alignment horizontal="center" vertical="center"/>
      <protection locked="0" hidden="0"/>
    </xf>
    <xf numFmtId="0" fontId="17" fillId="9" borderId="26" xfId="0" applyFont="1" applyFill="1" applyBorder="1" applyAlignment="1">
      <alignment horizontal="center" vertical="center"/>
      <protection locked="0" hidden="0"/>
    </xf>
    <xf numFmtId="164" fontId="37" fillId="4" borderId="48" xfId="0" applyNumberFormat="1" applyFont="1" applyFill="1" applyBorder="1" applyAlignment="1">
      <alignment horizontal="center" vertical="center" wrapText="1"/>
      <protection locked="0" hidden="0"/>
    </xf>
    <xf numFmtId="164" fontId="37" fillId="4" borderId="0" xfId="0" applyNumberFormat="1" applyFont="1" applyFill="1" applyAlignment="1">
      <alignment horizontal="center" vertical="center" wrapText="1"/>
      <protection locked="0" hidden="0"/>
    </xf>
    <xf numFmtId="164" fontId="37" fillId="4" borderId="11" xfId="0" applyNumberFormat="1" applyFont="1" applyFill="1" applyBorder="1" applyAlignment="1">
      <alignment horizontal="center" vertical="center" wrapText="1"/>
      <protection locked="0" hidden="0"/>
    </xf>
    <xf numFmtId="0" fontId="17" fillId="9" borderId="14" xfId="0" applyFont="1" applyFill="1" applyBorder="1" applyAlignment="1">
      <alignment horizontal="center" vertical="center"/>
    </xf>
    <xf numFmtId="0" fontId="17" fillId="9" borderId="14" xfId="0" applyFont="1" applyFill="1" applyBorder="1">
      <alignment vertical="center"/>
    </xf>
    <xf numFmtId="164" fontId="37" fillId="4" borderId="16" xfId="0" applyNumberFormat="1" applyFont="1" applyFill="1" applyBorder="1" applyAlignment="1">
      <alignment horizontal="center" vertical="center"/>
      <protection locked="0" hidden="0"/>
    </xf>
    <xf numFmtId="164" fontId="37" fillId="4" borderId="17" xfId="0" applyNumberFormat="1" applyFont="1" applyFill="1" applyBorder="1" applyAlignment="1">
      <alignment horizontal="center" vertical="center"/>
      <protection locked="0" hidden="0"/>
    </xf>
    <xf numFmtId="0" fontId="17" fillId="9" borderId="24" xfId="0" applyFont="1" applyFill="1" applyBorder="1">
      <alignment vertical="center"/>
    </xf>
    <xf numFmtId="0" fontId="17" fillId="0" borderId="24" xfId="0" applyFont="1" applyBorder="1" applyAlignment="1">
      <alignment horizontal="center" vertical="center"/>
      <protection locked="0" hidden="0"/>
    </xf>
    <xf numFmtId="164" fontId="37" fillId="4" borderId="49" xfId="0" applyNumberFormat="1" applyFont="1" applyFill="1" applyBorder="1" applyAlignment="1">
      <alignment horizontal="center" vertical="center" wrapText="1"/>
      <protection locked="0" hidden="0"/>
    </xf>
    <xf numFmtId="164" fontId="37" fillId="4" borderId="17" xfId="0" applyNumberFormat="1" applyFont="1" applyFill="1" applyBorder="1" applyAlignment="1">
      <alignment horizontal="center" vertical="center" wrapText="1"/>
      <protection locked="0" hidden="0"/>
    </xf>
    <xf numFmtId="164" fontId="37" fillId="4" borderId="22" xfId="0" applyNumberFormat="1" applyFont="1" applyFill="1" applyBorder="1" applyAlignment="1">
      <alignment horizontal="center" vertical="center" wrapText="1"/>
      <protection locked="0" hidden="0"/>
    </xf>
    <xf numFmtId="0" fontId="17" fillId="5" borderId="50" xfId="5" applyFont="1" applyFill="1" applyBorder="1" applyAlignment="1">
      <alignment horizontal="center" vertical="center"/>
    </xf>
    <xf numFmtId="0" fontId="17" fillId="4" borderId="40" xfId="0" applyFont="1" applyFill="1" applyBorder="1" applyAlignment="1">
      <alignment horizontal="center" vertical="center"/>
      <protection locked="0" hidden="0"/>
    </xf>
    <xf numFmtId="0" fontId="17" fillId="4" borderId="41" xfId="0" applyFont="1" applyFill="1" applyBorder="1" applyAlignment="1">
      <alignment horizontal="center" vertical="center"/>
      <protection locked="0" hidden="0"/>
    </xf>
    <xf numFmtId="0" fontId="17" fillId="5" borderId="26" xfId="0" applyFont="1" applyFill="1" applyBorder="1" applyAlignment="1">
      <alignment horizontal="center" vertical="center"/>
      <protection locked="0" hidden="0"/>
    </xf>
    <xf numFmtId="0" fontId="17" fillId="5" borderId="47" xfId="0" applyFont="1" applyFill="1" applyBorder="1" applyAlignment="1">
      <alignment horizontal="center" vertical="center"/>
      <protection locked="0" hidden="0"/>
    </xf>
    <xf numFmtId="0" fontId="5" fillId="13" borderId="13" xfId="0" applyFont="1" applyFill="1" applyBorder="1" applyAlignment="1">
      <alignment horizontal="center" vertical="center"/>
    </xf>
    <xf numFmtId="0" fontId="5" fillId="13" borderId="14" xfId="0" applyFont="1" applyFill="1" applyBorder="1" applyAlignment="1">
      <alignment horizontal="center" vertical="center"/>
    </xf>
    <xf numFmtId="0" fontId="5" fillId="13" borderId="15" xfId="0" applyFont="1" applyFill="1" applyBorder="1" applyAlignment="1">
      <alignment horizontal="center" vertical="center"/>
    </xf>
    <xf numFmtId="0" fontId="17" fillId="5" borderId="13" xfId="5" applyFont="1" applyFill="1" applyBorder="1" applyAlignment="1">
      <alignment horizontal="center" vertical="center"/>
    </xf>
    <xf numFmtId="0" fontId="17" fillId="4" borderId="28" xfId="0" applyFont="1" applyFill="1" applyBorder="1" applyAlignment="1">
      <alignment horizontal="center" vertical="center"/>
      <protection locked="0" hidden="0"/>
    </xf>
    <xf numFmtId="0" fontId="17" fillId="4" borderId="21" xfId="0" applyFont="1" applyFill="1" applyBorder="1" applyAlignment="1">
      <alignment horizontal="center" vertical="center"/>
      <protection locked="0" hidden="0"/>
    </xf>
    <xf numFmtId="0" fontId="17" fillId="4" borderId="14" xfId="0" applyFont="1" applyFill="1" applyBorder="1" applyAlignment="1">
      <alignment horizontal="center" vertical="center" wrapText="1"/>
      <protection locked="0" hidden="0"/>
    </xf>
    <xf numFmtId="0" fontId="17" fillId="4" borderId="15" xfId="0" applyFont="1" applyFill="1" applyBorder="1" applyAlignment="1">
      <alignment horizontal="center" vertical="center" wrapText="1"/>
      <protection locked="0" hidden="0"/>
    </xf>
    <xf numFmtId="0" fontId="17" fillId="5" borderId="13" xfId="0" applyFont="1" applyFill="1" applyBorder="1" applyAlignment="1">
      <alignment horizontal="center" vertical="center"/>
    </xf>
    <xf numFmtId="0" fontId="17" fillId="5" borderId="42" xfId="3" applyFont="1" applyFill="1" applyBorder="1" applyAlignment="1">
      <alignment horizontal="center" vertical="center"/>
    </xf>
    <xf numFmtId="0" fontId="5" fillId="0" borderId="37" xfId="0" applyFont="1" applyBorder="1" applyAlignment="1">
      <alignment horizontal="center" vertical="center"/>
      <protection locked="0" hidden="0"/>
    </xf>
    <xf numFmtId="0" fontId="5" fillId="0" borderId="38" xfId="0" applyFont="1" applyBorder="1" applyAlignment="1">
      <alignment horizontal="center" vertical="center"/>
      <protection locked="0" hidden="0"/>
    </xf>
    <xf numFmtId="0" fontId="17" fillId="4" borderId="43" xfId="0" applyFont="1" applyFill="1" applyBorder="1" applyAlignment="1">
      <alignment horizontal="center" vertical="center" wrapText="1"/>
      <protection locked="0" hidden="0"/>
    </xf>
    <xf numFmtId="0" fontId="17" fillId="4" borderId="44" xfId="0" applyFont="1" applyFill="1" applyBorder="1" applyAlignment="1">
      <alignment horizontal="center" vertical="center" wrapText="1"/>
      <protection locked="0" hidden="0"/>
    </xf>
    <xf numFmtId="0" fontId="5" fillId="5" borderId="13"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15" xfId="0" applyFont="1" applyFill="1" applyBorder="1" applyAlignment="1">
      <alignment horizontal="center" vertical="center"/>
    </xf>
    <xf numFmtId="0" fontId="5" fillId="0" borderId="13" xfId="3" applyFont="1" applyBorder="1" applyAlignment="1">
      <alignment horizontal="center" vertical="center" wrapText="1"/>
      <protection locked="0" hidden="0"/>
    </xf>
    <xf numFmtId="0" fontId="5" fillId="13" borderId="14" xfId="3" applyFont="1" applyFill="1" applyBorder="1" applyAlignment="1">
      <alignment horizontal="center" vertical="center" wrapText="1"/>
      <protection locked="0" hidden="0"/>
    </xf>
    <xf numFmtId="0" fontId="5" fillId="0" borderId="14" xfId="3" applyFont="1" applyBorder="1" applyAlignment="1">
      <alignment horizontal="center" vertical="center" wrapText="1"/>
      <protection locked="0" hidden="0"/>
    </xf>
    <xf numFmtId="0" fontId="5" fillId="0" borderId="15" xfId="3" applyFont="1" applyBorder="1" applyAlignment="1">
      <alignment horizontal="center" vertical="center" wrapText="1"/>
      <protection locked="0" hidden="0"/>
    </xf>
    <xf numFmtId="0" fontId="5" fillId="4" borderId="14" xfId="3" applyFont="1" applyFill="1" applyBorder="1" applyAlignment="1">
      <alignment horizontal="center" vertical="center" wrapText="1"/>
      <protection locked="0" hidden="0"/>
    </xf>
    <xf numFmtId="0" fontId="5" fillId="13" borderId="13" xfId="3" applyFont="1" applyFill="1" applyBorder="1" applyAlignment="1">
      <alignment horizontal="center" vertical="center" wrapText="1"/>
      <protection locked="0" hidden="0"/>
    </xf>
    <xf numFmtId="0" fontId="17" fillId="5" borderId="13" xfId="4" applyFont="1" applyFill="1" applyBorder="1" applyAlignment="1">
      <alignment horizontal="center" vertical="center" wrapText="1"/>
      <protection locked="0" hidden="0"/>
    </xf>
    <xf numFmtId="0" fontId="17" fillId="5" borderId="14" xfId="4" applyFont="1" applyFill="1" applyBorder="1" applyAlignment="1">
      <alignment horizontal="center" vertical="center" wrapText="1"/>
      <protection locked="0" hidden="0"/>
    </xf>
    <xf numFmtId="0" fontId="17" fillId="5" borderId="15" xfId="4" applyFont="1" applyFill="1" applyBorder="1" applyAlignment="1">
      <alignment horizontal="center" vertical="center" wrapText="1"/>
      <protection locked="0" hidden="0"/>
    </xf>
    <xf numFmtId="0" fontId="17" fillId="0" borderId="23" xfId="0" applyFont="1" applyBorder="1" applyAlignment="1">
      <alignment horizontal="center" vertical="center"/>
      <protection locked="0" hidden="0"/>
    </xf>
    <xf numFmtId="0" fontId="17" fillId="0" borderId="25" xfId="0" applyFont="1" applyBorder="1" applyAlignment="1">
      <alignment horizontal="center" vertical="center"/>
      <protection locked="0" hidden="0"/>
    </xf>
    <xf numFmtId="0" fontId="17" fillId="0" borderId="19" xfId="0" applyFont="1" applyBorder="1" applyAlignment="1">
      <alignment horizontal="center" vertical="center"/>
      <protection locked="0" hidden="0"/>
    </xf>
    <xf numFmtId="0" fontId="17" fillId="0" borderId="20" xfId="0" applyFont="1" applyBorder="1" applyAlignment="1">
      <alignment horizontal="center" vertical="center"/>
      <protection locked="0" hidden="0"/>
    </xf>
    <xf numFmtId="0" fontId="17" fillId="0" borderId="51" xfId="0" applyFont="1" applyBorder="1" applyAlignment="1">
      <alignment horizontal="center" vertical="center"/>
      <protection locked="0" hidden="0"/>
    </xf>
    <xf numFmtId="0" fontId="17" fillId="13" borderId="52" xfId="3" applyFont="1" applyFill="1" applyBorder="1" applyAlignment="1">
      <alignment horizontal="center" vertical="center"/>
    </xf>
    <xf numFmtId="0" fontId="17" fillId="13" borderId="53" xfId="3" applyFont="1" applyFill="1" applyBorder="1" applyAlignment="1">
      <alignment horizontal="center" vertical="center"/>
    </xf>
    <xf numFmtId="0" fontId="17" fillId="13" borderId="54" xfId="3" applyFont="1" applyFill="1" applyBorder="1" applyAlignment="1">
      <alignment horizontal="center" vertical="center"/>
    </xf>
    <xf numFmtId="0" fontId="17" fillId="0" borderId="10" xfId="0" applyFont="1" applyBorder="1" applyAlignment="1">
      <alignment horizontal="center" vertical="center"/>
      <protection locked="0" hidden="0"/>
    </xf>
    <xf numFmtId="0" fontId="17" fillId="0" borderId="0" xfId="0" applyFont="1" applyAlignment="1">
      <alignment horizontal="center" vertical="center"/>
      <protection locked="0" hidden="0"/>
    </xf>
    <xf numFmtId="0" fontId="17" fillId="0" borderId="11" xfId="0" applyFont="1" applyBorder="1" applyAlignment="1">
      <alignment horizontal="center" vertical="center"/>
      <protection locked="0" hidden="0"/>
    </xf>
    <xf numFmtId="0" fontId="17" fillId="4" borderId="52" xfId="3" applyFont="1" applyFill="1" applyBorder="1" applyAlignment="1">
      <alignment horizontal="center" vertical="center"/>
    </xf>
    <xf numFmtId="0" fontId="17" fillId="4" borderId="53" xfId="3" applyFont="1" applyFill="1" applyBorder="1" applyAlignment="1">
      <alignment horizontal="center" vertical="center"/>
    </xf>
    <xf numFmtId="0" fontId="17" fillId="4" borderId="54" xfId="3" applyFont="1" applyFill="1" applyBorder="1" applyAlignment="1">
      <alignment horizontal="center" vertical="center"/>
    </xf>
    <xf numFmtId="0" fontId="17" fillId="0" borderId="52" xfId="0" applyFont="1" applyBorder="1" applyAlignment="1">
      <alignment horizontal="center" vertical="center"/>
      <protection locked="0" hidden="0"/>
    </xf>
    <xf numFmtId="0" fontId="17" fillId="0" borderId="53" xfId="0" applyFont="1" applyBorder="1" applyAlignment="1">
      <alignment horizontal="center" vertical="center"/>
      <protection locked="0" hidden="0"/>
    </xf>
    <xf numFmtId="0" fontId="17" fillId="0" borderId="54" xfId="0" applyFont="1" applyBorder="1" applyAlignment="1">
      <alignment horizontal="center" vertical="center"/>
      <protection locked="0" hidden="0"/>
    </xf>
    <xf numFmtId="0" fontId="5" fillId="0" borderId="13" xfId="0" applyFont="1" applyBorder="1" applyAlignment="1">
      <alignment horizontal="center" vertical="center" wrapText="1"/>
      <protection locked="0" hidden="0"/>
    </xf>
    <xf numFmtId="0" fontId="5" fillId="0" borderId="14" xfId="0" applyFont="1" applyBorder="1" applyAlignment="1">
      <alignment horizontal="center" vertical="center" wrapText="1"/>
      <protection locked="0" hidden="0"/>
    </xf>
    <xf numFmtId="0" fontId="5" fillId="0" borderId="15" xfId="0" applyFont="1" applyBorder="1" applyAlignment="1">
      <alignment horizontal="center" vertical="center" wrapText="1"/>
      <protection locked="0" hidden="0"/>
    </xf>
    <xf numFmtId="0" fontId="17" fillId="0" borderId="52" xfId="3" applyFont="1" applyBorder="1" applyAlignment="1">
      <alignment horizontal="center" vertical="center"/>
    </xf>
    <xf numFmtId="0" fontId="17" fillId="0" borderId="53" xfId="3" applyFont="1" applyBorder="1" applyAlignment="1">
      <alignment horizontal="center" vertical="center"/>
    </xf>
    <xf numFmtId="0" fontId="17" fillId="0" borderId="54" xfId="3" applyFont="1" applyBorder="1" applyAlignment="1">
      <alignment horizontal="center" vertical="center"/>
    </xf>
    <xf numFmtId="0" fontId="5" fillId="0" borderId="42" xfId="0" applyFont="1" applyBorder="1" applyAlignment="1">
      <alignment horizontal="center" vertical="center" wrapText="1"/>
      <protection locked="0" hidden="0"/>
    </xf>
    <xf numFmtId="0" fontId="5" fillId="0" borderId="43" xfId="0" applyFont="1" applyBorder="1" applyAlignment="1">
      <alignment horizontal="center" vertical="center" wrapText="1"/>
      <protection locked="0" hidden="0"/>
    </xf>
    <xf numFmtId="0" fontId="5" fillId="0" borderId="44" xfId="0" applyFont="1" applyBorder="1" applyAlignment="1">
      <alignment horizontal="center" vertical="center" wrapText="1"/>
      <protection locked="0" hidden="0"/>
    </xf>
    <xf numFmtId="0" fontId="38" fillId="15" borderId="1" xfId="1" applyFont="1" applyFill="1" applyBorder="1" applyAlignment="1">
      <alignment horizontal="center" vertical="center"/>
    </xf>
    <xf numFmtId="0" fontId="38" fillId="15" borderId="2" xfId="1" applyFont="1" applyFill="1" applyBorder="1" applyAlignment="1">
      <alignment horizontal="center" vertical="center"/>
    </xf>
    <xf numFmtId="0" fontId="38" fillId="15" borderId="3" xfId="1" applyFont="1" applyFill="1" applyBorder="1" applyAlignment="1">
      <alignment horizontal="center" vertical="center"/>
    </xf>
    <xf numFmtId="0" fontId="16" fillId="15" borderId="13" xfId="6" applyFont="1" applyFill="1" applyBorder="1" applyAlignment="1">
      <alignment horizontal="center" vertical="center"/>
    </xf>
    <xf numFmtId="0" fontId="16" fillId="0" borderId="14" xfId="2" applyFont="1" applyBorder="1" applyAlignment="1">
      <alignment horizontal="center" vertical="center"/>
      <protection locked="0" hidden="0"/>
    </xf>
    <xf numFmtId="0" fontId="16" fillId="0" borderId="15" xfId="2" applyFont="1" applyBorder="1" applyAlignment="1">
      <alignment horizontal="center" vertical="center"/>
      <protection locked="0" hidden="0"/>
    </xf>
    <xf numFmtId="0" fontId="16" fillId="15" borderId="13" xfId="2" applyFont="1" applyFill="1" applyBorder="1" applyAlignment="1">
      <alignment horizontal="center" vertical="center" wrapText="1"/>
    </xf>
    <xf numFmtId="0" fontId="16" fillId="0" borderId="28" xfId="1" applyFont="1" applyBorder="1" applyAlignment="1">
      <alignment horizontal="center" vertical="center" wrapText="1"/>
      <protection locked="0" hidden="0"/>
    </xf>
    <xf numFmtId="0" fontId="16" fillId="0" borderId="55" xfId="1" applyFont="1" applyBorder="1" applyAlignment="1">
      <alignment horizontal="center" vertical="center" wrapText="1"/>
      <protection locked="0" hidden="0"/>
    </xf>
    <xf numFmtId="0" fontId="16" fillId="0" borderId="56" xfId="1" applyFont="1" applyBorder="1" applyAlignment="1">
      <alignment horizontal="center" vertical="center" wrapText="1"/>
      <protection locked="0" hidden="0"/>
    </xf>
    <xf numFmtId="0" fontId="16" fillId="15" borderId="13" xfId="2" applyFont="1" applyFill="1" applyBorder="1" applyAlignment="1">
      <alignment horizontal="center" vertical="center"/>
    </xf>
    <xf numFmtId="0" fontId="16" fillId="0" borderId="20" xfId="1" applyFont="1" applyBorder="1" applyAlignment="1">
      <alignment horizontal="center" vertical="center" wrapText="1"/>
      <protection locked="0" hidden="0"/>
    </xf>
    <xf numFmtId="0" fontId="16" fillId="0" borderId="51" xfId="1" applyFont="1" applyBorder="1" applyAlignment="1">
      <alignment horizontal="center" vertical="center" wrapText="1"/>
      <protection locked="0" hidden="0"/>
    </xf>
    <xf numFmtId="0" fontId="16" fillId="0" borderId="48" xfId="1" applyFont="1" applyBorder="1" applyAlignment="1">
      <alignment horizontal="center" vertical="center" wrapText="1"/>
      <protection locked="0" hidden="0"/>
    </xf>
    <xf numFmtId="0" fontId="16" fillId="0" borderId="0" xfId="1" applyFont="1" applyAlignment="1">
      <alignment horizontal="center" vertical="center" wrapText="1"/>
      <protection locked="0" hidden="0"/>
    </xf>
    <xf numFmtId="0" fontId="16" fillId="0" borderId="11" xfId="1" applyFont="1" applyBorder="1" applyAlignment="1">
      <alignment horizontal="center" vertical="center" wrapText="1"/>
      <protection locked="0" hidden="0"/>
    </xf>
    <xf numFmtId="0" fontId="17" fillId="16" borderId="52" xfId="3" applyFont="1" applyFill="1" applyBorder="1" applyAlignment="1">
      <alignment horizontal="center" vertical="center"/>
    </xf>
    <xf numFmtId="0" fontId="17" fillId="16" borderId="53" xfId="3" applyFont="1" applyFill="1" applyBorder="1" applyAlignment="1">
      <alignment horizontal="center" vertical="center"/>
    </xf>
    <xf numFmtId="0" fontId="17" fillId="16" borderId="54" xfId="3" applyFont="1" applyFill="1" applyBorder="1" applyAlignment="1">
      <alignment horizontal="center" vertical="center"/>
    </xf>
    <xf numFmtId="0" fontId="16" fillId="15" borderId="23" xfId="2" applyFont="1" applyFill="1" applyBorder="1" applyAlignment="1">
      <alignment horizontal="center" vertical="center"/>
    </xf>
    <xf numFmtId="0" fontId="16" fillId="0" borderId="49" xfId="1" applyFont="1" applyBorder="1" applyAlignment="1">
      <alignment horizontal="center" vertical="center" wrapText="1"/>
      <protection locked="0" hidden="0"/>
    </xf>
    <xf numFmtId="0" fontId="16" fillId="0" borderId="17" xfId="1" applyFont="1" applyBorder="1" applyAlignment="1">
      <alignment horizontal="center" vertical="center" wrapText="1"/>
      <protection locked="0" hidden="0"/>
    </xf>
    <xf numFmtId="0" fontId="16" fillId="0" borderId="22" xfId="1" applyFont="1" applyBorder="1" applyAlignment="1">
      <alignment horizontal="center" vertical="center" wrapText="1"/>
      <protection locked="0" hidden="0"/>
    </xf>
    <xf numFmtId="0" fontId="5" fillId="0" borderId="17" xfId="0" applyFont="1" applyBorder="1">
      <alignment vertical="center"/>
    </xf>
    <xf numFmtId="0" fontId="39" fillId="17" borderId="14" xfId="0" applyFont="1" applyFill="1" applyBorder="1">
      <alignment vertical="center"/>
    </xf>
    <xf numFmtId="0" fontId="40" fillId="17" borderId="14" xfId="3" applyFont="1" applyFill="1" applyBorder="1" applyAlignment="1">
      <alignment horizontal="center" vertical="center"/>
    </xf>
    <xf numFmtId="0" fontId="40" fillId="17" borderId="14" xfId="0" applyFont="1" applyFill="1" applyBorder="1" applyAlignment="1">
      <alignment horizontal="center" vertical="center"/>
    </xf>
    <xf numFmtId="49" fontId="40" fillId="17" borderId="14" xfId="0" applyNumberFormat="1" applyFont="1" applyFill="1" applyBorder="1" applyAlignment="1">
      <alignment horizontal="center" vertical="center"/>
    </xf>
    <xf numFmtId="49" fontId="40" fillId="17" borderId="14" xfId="3" applyNumberFormat="1" applyFont="1" applyFill="1" applyBorder="1" applyAlignment="1">
      <alignment horizontal="center" vertical="center"/>
    </xf>
    <xf numFmtId="0" fontId="39" fillId="17" borderId="14" xfId="0" applyFont="1" applyFill="1" applyBorder="1" applyAlignment="1">
      <alignment horizontal="center" vertical="center"/>
    </xf>
    <xf numFmtId="0" fontId="41" fillId="0" borderId="4" xfId="0" applyFont="1" applyBorder="1">
      <alignment vertical="center"/>
    </xf>
    <xf numFmtId="0" fontId="42" fillId="0" borderId="6" xfId="0" applyFont="1" applyBorder="1">
      <alignment vertical="center"/>
    </xf>
    <xf numFmtId="0" fontId="42" fillId="0" borderId="4" xfId="0" applyFont="1" applyBorder="1" applyAlignment="1">
      <alignment horizontal="center" vertical="center"/>
    </xf>
    <xf numFmtId="0" fontId="42" fillId="0" borderId="6" xfId="0" applyFont="1" applyBorder="1" applyAlignment="1">
      <alignment horizontal="center" vertical="center"/>
    </xf>
    <xf numFmtId="0" fontId="42" fillId="0" borderId="10" xfId="0" applyFont="1" applyBorder="1">
      <alignment vertical="center"/>
    </xf>
    <xf numFmtId="0" fontId="41" fillId="0" borderId="11" xfId="0" applyFont="1" applyBorder="1">
      <alignment vertical="center"/>
    </xf>
    <xf numFmtId="0" fontId="43" fillId="0" borderId="10" xfId="0" applyFont="1" applyBorder="1">
      <alignment vertical="center"/>
      <protection locked="0" hidden="0"/>
    </xf>
    <xf numFmtId="0" fontId="43" fillId="0" borderId="11" xfId="0" applyFont="1" applyBorder="1">
      <alignment vertical="center"/>
      <protection locked="0" hidden="0"/>
    </xf>
    <xf numFmtId="0" fontId="42" fillId="0" borderId="10" xfId="0" applyFont="1" applyBorder="1">
      <alignment vertical="center"/>
      <protection locked="0" hidden="0"/>
    </xf>
    <xf numFmtId="0" fontId="42" fillId="0" borderId="11" xfId="0" applyFont="1" applyBorder="1">
      <alignment vertical="center"/>
      <protection locked="0" hidden="0"/>
    </xf>
    <xf numFmtId="0" fontId="42" fillId="0" borderId="16" xfId="0" applyFont="1" applyBorder="1">
      <alignment vertical="center"/>
      <protection locked="0" hidden="0"/>
    </xf>
    <xf numFmtId="0" fontId="42" fillId="0" borderId="22" xfId="0" applyFont="1" applyBorder="1">
      <alignment vertical="center"/>
      <protection locked="0" hidden="0"/>
    </xf>
    <xf numFmtId="0" fontId="41" fillId="0" borderId="10" xfId="0" applyFont="1" applyBorder="1">
      <alignment vertical="center"/>
      <protection locked="0" hidden="0"/>
    </xf>
    <xf numFmtId="0" fontId="41" fillId="0" borderId="11" xfId="0" applyFont="1" applyBorder="1">
      <alignment vertical="center"/>
      <protection locked="0" hidden="0"/>
    </xf>
    <xf numFmtId="0" fontId="3" fillId="0" borderId="0" xfId="0" applyFont="1">
      <alignment vertical="center"/>
      <protection locked="0" hidden="0"/>
    </xf>
    <xf numFmtId="0" fontId="44" fillId="0" borderId="0" xfId="0" applyAlignment="1">
      <alignment horizontal="center" vertical="center"/>
    </xf>
    <xf numFmtId="0" fontId="42" fillId="0" borderId="10" xfId="0" applyFont="1" applyBorder="1">
      <alignment vertical="center"/>
      <protection locked="0" hidden="0"/>
    </xf>
    <xf numFmtId="0" fontId="42" fillId="0" borderId="11" xfId="0" applyFont="1" applyBorder="1">
      <alignment vertical="center"/>
      <protection locked="0" hidden="0"/>
    </xf>
    <xf numFmtId="0" fontId="42" fillId="0" borderId="16" xfId="0" applyFont="1" applyBorder="1">
      <alignment vertical="center"/>
      <protection locked="0" hidden="0"/>
    </xf>
    <xf numFmtId="0" fontId="42" fillId="0" borderId="22" xfId="0" applyFont="1" applyBorder="1">
      <alignment vertical="center"/>
      <protection locked="0" hidden="0"/>
    </xf>
  </cellXfs>
  <cellStyles count="7">
    <cellStyle name="常规" xfId="0" builtinId="0"/>
    <cellStyle name="一般 2" xfId="1"/>
    <cellStyle name="標題 4 2" xfId="2"/>
    <cellStyle name="标题 4" xfId="3"/>
    <cellStyle name="输入" xfId="4"/>
    <cellStyle name="标题 3" xfId="5"/>
    <cellStyle name="標題 1 2" xfId="6"/>
  </cellStyles>
  <dxfs count="14">
    <dxf>
      <fill>
        <patternFill patternType="solid">
          <bgColor rgb="FFC5D9F1"/>
        </patternFill>
      </fill>
    </dxf>
    <dxf>
      <font>
        <color rgb="FFFFFFFF"/>
      </font>
    </dxf>
    <dxf>
      <font>
        <color rgb="FFF2F2F2"/>
      </font>
    </dxf>
    <dxf>
      <fill>
        <patternFill patternType="solid">
          <bgColor rgb="FFDCE6F1"/>
        </patternFill>
      </fill>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4"/>
      <tableStyleElement type="totalRow" dxfId="5"/>
      <tableStyleElement type="firstRowStripe" dxfId="6"/>
      <tableStyleElement type="firstColumnStripe" dxfId="7"/>
      <tableStyleElement type="firstSubtotalRow" dxfId="8"/>
      <tableStyleElement type="secondSubtotalRow" dxfId="9"/>
      <tableStyleElement type="firstRowSubheading" dxfId="10"/>
      <tableStyleElement type="secondRowSubheading" dxfId="11"/>
      <tableStyleElement type="pageFieldLabels" dxfId="12"/>
      <tableStyleElement type="pageFieldValues" dxfId="13"/>
    </tableStyle>
  </tableStyles>
</styleSheet>
</file>

<file path=xl/_rels/cellimages.xml.rels><?xml version="1.0" encoding="UTF-8" standalone="yes"?>
<Relationships xmlns="http://schemas.openxmlformats.org/package/2006/relationships"><Relationship Id="rId1" Type="http://schemas.openxmlformats.org/officeDocument/2006/relationships/image" Target="media/image0.jpeg"/></Relationships>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www.wps.cn/officeDocument/2020/cellImage" Target="cellimages.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 Id="rId11" Type="http://schemas.openxmlformats.org/officeDocument/2006/relationships/customXml" Target="../customXml/item1.xml"/><Relationship Id="rId1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0</xdr:rowOff>
    </xdr:from>
    <xdr:to>
      <xdr:col>12</xdr:col>
      <xdr:colOff>301339</xdr:colOff>
      <xdr:row>42</xdr:row>
      <xdr:rowOff>0</xdr:rowOff>
    </xdr:to>
    <xdr:pic>
      <xdr:nvPicPr>
        <xdr:cNvPr id="2" name="图片 2" descr=" "/>
        <xdr:cNvPicPr/>
      </xdr:nvPicPr>
      <xdr:blipFill>
        <a:blip xmlns:r="http://schemas.openxmlformats.org/officeDocument/2006/relationships" r:embed="rId1"/>
        <a:srcRect/>
        <a:stretch>
          <a:fillRect/>
        </a:stretch>
      </xdr:blipFill>
      <xdr:spPr>
        <a:xfrm>
          <a:off x="0" y="6737985"/>
          <a:ext cx="9457690" cy="1584960"/>
        </a:xfrm>
        <a:prstGeom prst="rect">
          <a:avLst/>
        </a:prstGeom>
        <a:noFill/>
        <a:ln w="9525" cap="flat" cmpd="sng">
          <a:noFill/>
          <a:prstDash val="solid"/>
          <a:miter/>
        </a:ln>
        <a:effectLst/>
      </xdr:spPr>
    </xdr:pic>
    <xdr:clientData/>
  </xdr:twoCellAnchor>
  <xdr:twoCellAnchor>
    <xdr:from>
      <xdr:col>0</xdr:col>
      <xdr:colOff>5022</xdr:colOff>
      <xdr:row>30</xdr:row>
      <xdr:rowOff>0</xdr:rowOff>
    </xdr:from>
    <xdr:to>
      <xdr:col>1</xdr:col>
      <xdr:colOff>492187</xdr:colOff>
      <xdr:row>32</xdr:row>
      <xdr:rowOff>0</xdr:rowOff>
    </xdr:to>
    <xdr:pic>
      <xdr:nvPicPr>
        <xdr:cNvPr id="3" name="图片 3" descr=" "/>
        <xdr:cNvPicPr/>
      </xdr:nvPicPr>
      <xdr:blipFill>
        <a:blip xmlns:r="http://schemas.openxmlformats.org/officeDocument/2006/relationships" r:embed="rId2"/>
        <a:srcRect/>
        <a:stretch>
          <a:fillRect/>
        </a:stretch>
      </xdr:blipFill>
      <xdr:spPr>
        <a:xfrm>
          <a:off x="19685" y="5945505"/>
          <a:ext cx="1247140" cy="39624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1354;&#24819;SP1.153&#24481;&#20027;&#35282;&#33394;&#213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說明"/>
      <sheetName val="角色卡"/>
      <sheetName val="角色經歷"/>
      <sheetName val="（调卡用表）"/>
      <sheetName val="建卡用参考资源"/>
      <sheetName val="数值参考"/>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dimension ref="A1:AC71"/>
  <sheetViews>
    <sheetView workbookViewId="0" topLeftCell="A2">
      <selection activeCell="A1" sqref="A1:K5"/>
    </sheetView>
  </sheetViews>
  <sheetFormatPr defaultRowHeight="15.0" defaultColWidth="10"/>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6" spans="8:8" ht="15.75" customHeight="1">
      <c r="A6" s="2" t="s">
        <v>1</v>
      </c>
    </row>
    <row r="7" spans="8:8">
      <c r="A7" s="3">
        <v>5.0</v>
      </c>
      <c r="B7" t="s">
        <v>2</v>
      </c>
    </row>
    <row r="8" spans="8:8">
      <c r="A8" s="3"/>
      <c r="B8" t="s">
        <v>3</v>
      </c>
    </row>
    <row r="9" spans="8:8">
      <c r="A9" s="3"/>
      <c r="B9" t="s">
        <v>4</v>
      </c>
    </row>
    <row r="10" spans="8:8">
      <c r="A10" s="3">
        <v>5.1</v>
      </c>
      <c r="B10" t="s">
        <v>5</v>
      </c>
    </row>
    <row r="11" spans="8:8">
      <c r="A11" s="3">
        <v>5.11</v>
      </c>
      <c r="B11" t="s">
        <v>6</v>
      </c>
    </row>
    <row r="12" spans="8:8">
      <c r="A12" s="4">
        <v>5.2</v>
      </c>
      <c r="B12" t="s">
        <v>7</v>
      </c>
    </row>
    <row r="13" spans="8:8">
      <c r="A13" s="4"/>
      <c r="B13" t="s">
        <v>8</v>
      </c>
    </row>
    <row r="14" spans="8:8">
      <c r="A14" s="3">
        <v>5.22</v>
      </c>
      <c r="B14" s="5" t="s">
        <v>9</v>
      </c>
    </row>
    <row r="15" spans="8:8">
      <c r="A15" s="4">
        <v>5.31</v>
      </c>
      <c r="B15" t="s">
        <v>10</v>
      </c>
    </row>
    <row r="16" spans="8:8">
      <c r="A16" s="4"/>
      <c r="B16" t="s">
        <v>11</v>
      </c>
    </row>
    <row r="17" spans="8:8">
      <c r="A17" s="3">
        <v>5.4</v>
      </c>
      <c r="B17" t="s">
        <v>12</v>
      </c>
    </row>
    <row r="18" spans="8:8">
      <c r="A18" s="3">
        <v>5.5</v>
      </c>
      <c r="B18" t="s">
        <v>13</v>
      </c>
    </row>
    <row r="19" spans="8:8">
      <c r="A19" s="3"/>
      <c r="B19" t="s">
        <v>14</v>
      </c>
    </row>
    <row r="20" spans="8:8">
      <c r="A20" s="3"/>
      <c r="B20" t="s">
        <v>15</v>
      </c>
    </row>
    <row r="21" spans="8:8">
      <c r="A21" s="3"/>
      <c r="B21" s="5" t="s">
        <v>16</v>
      </c>
    </row>
    <row r="22" spans="8:8">
      <c r="A22" s="3"/>
      <c r="B22" t="s">
        <v>17</v>
      </c>
    </row>
    <row r="23" spans="8:8">
      <c r="A23" s="3"/>
      <c r="B23" s="5" t="s">
        <v>18</v>
      </c>
    </row>
    <row r="24" spans="8:8" ht="15.5">
      <c r="A24" s="6" t="s">
        <v>19</v>
      </c>
      <c r="B24" s="7" t="s">
        <v>20</v>
      </c>
    </row>
    <row r="25" spans="8:8" ht="15.5">
      <c r="A25" s="8"/>
      <c r="B25" s="7" t="s">
        <v>21</v>
      </c>
    </row>
    <row r="26" spans="8:8" ht="15.5">
      <c r="A26" s="8"/>
      <c r="B26" s="7" t="s">
        <v>22</v>
      </c>
    </row>
    <row r="27" spans="8:8" ht="15.5">
      <c r="A27" s="8"/>
      <c r="B27" s="7" t="s">
        <v>23</v>
      </c>
    </row>
    <row r="28" spans="8:8" ht="15.5">
      <c r="A28" s="9">
        <v>6.01</v>
      </c>
      <c r="B28" s="10" t="s">
        <v>24</v>
      </c>
    </row>
    <row r="29" spans="8:8">
      <c r="A29" s="11" t="s">
        <v>25</v>
      </c>
      <c r="B29" s="11"/>
      <c r="C29" s="11"/>
      <c r="D29" s="11"/>
      <c r="E29" s="11"/>
      <c r="F29" s="11"/>
      <c r="G29" s="11"/>
    </row>
    <row r="30" spans="8:8">
      <c r="A30" s="11"/>
      <c r="B30" s="11"/>
      <c r="C30" s="11"/>
      <c r="D30" s="11"/>
      <c r="E30" s="11"/>
      <c r="F30" s="11"/>
      <c r="G30" s="11"/>
    </row>
    <row r="34" spans="8:8">
      <c r="A34" t="s">
        <v>26</v>
      </c>
    </row>
    <row r="35" spans="8:8">
      <c r="A35" s="2"/>
      <c r="B35" s="2"/>
    </row>
    <row r="36" spans="8:8">
      <c r="A36" s="2"/>
      <c r="B36" s="2"/>
    </row>
    <row r="37" spans="8:8">
      <c r="A37" s="2"/>
      <c r="B37" s="2"/>
    </row>
    <row r="38" spans="8:8">
      <c r="A38" s="2"/>
      <c r="B38" s="2"/>
    </row>
    <row r="48" spans="8:8">
      <c r="A48" s="2" t="s">
        <v>27</v>
      </c>
    </row>
    <row r="49" spans="8:8">
      <c r="A49" s="2" t="s">
        <v>28</v>
      </c>
    </row>
    <row r="50" spans="8:8">
      <c r="A50" s="2"/>
    </row>
    <row r="51" spans="8:8">
      <c r="A51" s="2" t="s">
        <v>29</v>
      </c>
    </row>
    <row r="68" spans="8:8">
      <c r="C68" s="2"/>
      <c r="D68" s="2"/>
    </row>
    <row r="69" spans="8:8">
      <c r="C69" s="2"/>
      <c r="D69" s="2"/>
    </row>
    <row r="70" spans="8:8">
      <c r="C70" s="2"/>
      <c r="D70" s="2"/>
    </row>
    <row r="71" spans="8:8">
      <c r="C71" s="2"/>
      <c r="D71" s="2"/>
    </row>
  </sheetData>
  <sheetProtection sheet="1" objects="1" scenarios="1"/>
  <mergeCells count="4">
    <mergeCell ref="A12:A13"/>
    <mergeCell ref="A15:A16"/>
    <mergeCell ref="A29:G30"/>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AL102"/>
  <sheetViews>
    <sheetView tabSelected="1" workbookViewId="0" showGridLines="0" zoomScale="52">
      <selection activeCell="F9" sqref="F9:G9"/>
    </sheetView>
  </sheetViews>
  <sheetFormatPr defaultRowHeight="16.5" defaultColWidth="9"/>
  <cols>
    <col min="1" max="1" customWidth="1" width="9.1640625" style="12"/>
    <col min="2" max="2" customWidth="1" width="8.5234375" style="12"/>
    <col min="3" max="3" customWidth="1" width="7.1640625" style="12"/>
    <col min="4" max="4" customWidth="1" width="7.1640625" style="12"/>
    <col min="5" max="5" customWidth="1" width="7.1640625" style="12"/>
    <col min="6" max="6" customWidth="1" width="7.1640625" style="12"/>
    <col min="7" max="7" customWidth="1" width="7.1640625" style="12"/>
    <col min="8" max="8" customWidth="1" width="7.1640625" style="12"/>
    <col min="9" max="9" customWidth="1" width="7.1640625" style="12"/>
    <col min="10" max="10" customWidth="1" width="7.1640625" style="12"/>
    <col min="11" max="11" customWidth="1" width="7.9140625" style="12"/>
    <col min="12" max="12" customWidth="1" width="8.5234375" style="12"/>
    <col min="13" max="13" customWidth="1" width="3.4609375" style="12"/>
    <col min="14" max="14" customWidth="1" width="8.332031" style="12"/>
    <col min="15" max="15" customWidth="1" width="8.332031" style="12"/>
    <col min="16" max="16" customWidth="1" width="9.59375" style="12"/>
    <col min="17" max="17" customWidth="1" width="8.5234375" style="12"/>
    <col min="18" max="18" customWidth="1" width="8.453125" style="12"/>
    <col min="19" max="19" customWidth="1" width="7.7421875" style="12"/>
    <col min="20" max="20" customWidth="1" width="7.7148438" style="12"/>
    <col min="21" max="21" customWidth="1" width="9.1640625" style="12"/>
    <col min="22" max="16384" customWidth="0" width="9.0" style="12"/>
  </cols>
  <sheetData>
    <row r="1" spans="8:8">
      <c r="C1" s="13">
        <f t="shared" si="0" ref="C1:I1">C16+C17</f>
        <v>40.0</v>
      </c>
      <c r="D1" s="13">
        <f t="shared" si="0"/>
        <v>30.0</v>
      </c>
      <c r="E1" s="13">
        <f t="shared" si="0"/>
        <v>30.0</v>
      </c>
      <c r="F1" s="13">
        <f t="shared" si="0"/>
        <v>20.0</v>
      </c>
      <c r="G1" s="13">
        <f t="shared" si="0"/>
        <v>30.0</v>
      </c>
      <c r="H1" s="13">
        <f t="shared" si="0"/>
        <v>80.0</v>
      </c>
      <c r="I1" s="13">
        <f t="shared" si="0"/>
        <v>50.0</v>
      </c>
    </row>
    <row r="2" spans="8:8">
      <c r="B2" s="14" t="s">
        <v>30</v>
      </c>
      <c r="C2" s="15"/>
      <c r="D2" s="16"/>
      <c r="E2" s="17" t="s">
        <v>31</v>
      </c>
      <c r="F2" s="18"/>
      <c r="G2" s="19"/>
      <c r="H2" s="14" t="s">
        <v>32</v>
      </c>
      <c r="I2" s="15"/>
      <c r="J2" s="16"/>
      <c r="K2" s="20" t="s">
        <v>33</v>
      </c>
      <c r="L2" s="21" t="s">
        <v>34</v>
      </c>
      <c r="M2" s="22"/>
      <c r="N2" s="22"/>
      <c r="O2" s="23"/>
      <c r="P2"/>
      <c r="T2" s="24"/>
    </row>
    <row r="3" spans="8:8" ht="16.5" customHeight="1">
      <c r="B3" s="25" t="str">
        <f>角色经历!B15</f>
        <v>秩序-善</v>
      </c>
      <c r="C3" s="26"/>
      <c r="D3" s="26"/>
      <c r="E3" s="27"/>
      <c r="F3" s="28"/>
      <c r="G3" s="29"/>
      <c r="H3" s="30" t="str">
        <f>_xlfn.DISPIMG("ID_BC849194706D4E2C8A2F9EFFA2DC9407",1)</f>
        <v>=DISPIMG("ID_BC849194706D4E2C8A2F9EFFA2DC9407",1)</v>
      </c>
      <c r="I3" s="30"/>
      <c r="J3" s="31"/>
      <c r="K3" s="32">
        <f>24+K15</f>
        <v>29.0</v>
      </c>
      <c r="L3" s="33" t="s">
        <v>35</v>
      </c>
      <c r="M3" s="34"/>
      <c r="N3" s="35" t="str">
        <f>F9</f>
        <v>Shielder</v>
      </c>
      <c r="O3" s="36"/>
    </row>
    <row r="4" spans="8:8">
      <c r="B4" s="37"/>
      <c r="C4" s="38"/>
      <c r="D4" s="38"/>
      <c r="E4" s="39"/>
      <c r="F4" s="40"/>
      <c r="G4" s="41"/>
      <c r="H4" s="30"/>
      <c r="I4" s="30"/>
      <c r="J4" s="31"/>
      <c r="K4" s="42"/>
      <c r="L4" s="43" t="s">
        <v>36</v>
      </c>
      <c r="M4" s="44"/>
      <c r="N4" s="45" t="str">
        <f>F10</f>
        <v>幻灵</v>
      </c>
      <c r="O4" s="46"/>
    </row>
    <row r="5" spans="8:8">
      <c r="B5" s="47" t="s">
        <v>37</v>
      </c>
      <c r="C5" s="48"/>
      <c r="D5" s="49"/>
      <c r="E5" s="39"/>
      <c r="F5" s="40"/>
      <c r="G5" s="41"/>
      <c r="H5" s="30"/>
      <c r="I5" s="30"/>
      <c r="J5" s="31"/>
      <c r="K5" s="20" t="s">
        <v>38</v>
      </c>
      <c r="L5" s="33" t="s">
        <v>30</v>
      </c>
      <c r="M5" s="34"/>
      <c r="N5" s="35" t="str">
        <f>角色经历!B15</f>
        <v>秩序-善</v>
      </c>
      <c r="O5" s="36"/>
    </row>
    <row r="6" spans="8:8">
      <c r="B6" s="50"/>
      <c r="C6" s="51"/>
      <c r="D6" s="51"/>
      <c r="E6" s="39"/>
      <c r="F6" s="40"/>
      <c r="G6" s="41"/>
      <c r="H6" s="30"/>
      <c r="I6" s="30"/>
      <c r="J6" s="31"/>
      <c r="K6" s="32">
        <f>K3-IF(J18&gt;0,K9,K9-J18/20)</f>
        <v>0.0</v>
      </c>
      <c r="L6" s="43" t="s">
        <v>39</v>
      </c>
      <c r="M6" s="44"/>
      <c r="N6" s="52" t="str">
        <f>F11</f>
        <v>人型</v>
      </c>
      <c r="O6" s="53">
        <f>G11</f>
        <v>0.0</v>
      </c>
    </row>
    <row r="7" spans="8:8">
      <c r="B7" s="54"/>
      <c r="C7" s="55"/>
      <c r="D7" s="55"/>
      <c r="E7" s="39"/>
      <c r="F7" s="40"/>
      <c r="G7" s="41"/>
      <c r="H7" s="30"/>
      <c r="I7" s="30"/>
      <c r="J7" s="31"/>
      <c r="K7" s="56"/>
      <c r="L7" s="43"/>
      <c r="M7" s="44"/>
      <c r="N7" s="52">
        <f>F12</f>
        <v>0.0</v>
      </c>
      <c r="O7" s="53">
        <f>G12</f>
        <v>0.0</v>
      </c>
    </row>
    <row r="8" spans="8:8">
      <c r="B8" s="54"/>
      <c r="C8" s="55"/>
      <c r="D8" s="55"/>
      <c r="E8" s="57"/>
      <c r="F8" s="58"/>
      <c r="G8" s="59"/>
      <c r="H8" s="30"/>
      <c r="I8" s="30"/>
      <c r="J8" s="31"/>
      <c r="K8" s="20" t="s">
        <v>40</v>
      </c>
      <c r="L8" s="43" t="s">
        <v>41</v>
      </c>
      <c r="M8" s="44"/>
      <c r="N8" s="60" t="s">
        <v>42</v>
      </c>
      <c r="O8" s="61"/>
    </row>
    <row r="9" spans="8:8" ht="16.5" customHeight="1">
      <c r="B9" s="54"/>
      <c r="C9" s="55"/>
      <c r="D9" s="55"/>
      <c r="E9" s="62" t="s">
        <v>35</v>
      </c>
      <c r="F9" s="63" t="s">
        <v>399</v>
      </c>
      <c r="G9" s="64"/>
      <c r="H9" s="30"/>
      <c r="I9" s="30"/>
      <c r="J9" s="31"/>
      <c r="K9" s="32">
        <f>J20+J29+J38+J48+J57+J66+T20+T29+T38+T48+T57+T66+K12</f>
        <v>29.0</v>
      </c>
      <c r="L9" s="43" t="s">
        <v>44</v>
      </c>
      <c r="M9" s="44"/>
      <c r="N9" s="60" t="s">
        <v>622</v>
      </c>
      <c r="O9" s="61"/>
    </row>
    <row r="10" spans="8:8">
      <c r="B10" s="54"/>
      <c r="C10" s="55"/>
      <c r="D10" s="55"/>
      <c r="E10" s="65" t="s">
        <v>36</v>
      </c>
      <c r="F10" s="66" t="s">
        <v>564</v>
      </c>
      <c r="G10" s="67"/>
      <c r="H10" s="30"/>
      <c r="I10" s="30"/>
      <c r="J10" s="31"/>
      <c r="K10" s="42"/>
      <c r="L10" s="33" t="s">
        <v>47</v>
      </c>
      <c r="M10" s="34"/>
      <c r="N10" s="35" t="str">
        <f>角色经历!C27</f>
        <v>女</v>
      </c>
      <c r="O10" s="36"/>
    </row>
    <row r="11" spans="8:8">
      <c r="B11" s="54"/>
      <c r="C11" s="55"/>
      <c r="D11" s="55"/>
      <c r="E11" s="68" t="s">
        <v>39</v>
      </c>
      <c r="F11" s="69" t="s">
        <v>48</v>
      </c>
      <c r="G11" s="70"/>
      <c r="H11" s="30"/>
      <c r="I11" s="30"/>
      <c r="J11" s="31"/>
      <c r="K11" s="20" t="s">
        <v>49</v>
      </c>
      <c r="L11" s="71" t="s">
        <v>50</v>
      </c>
      <c r="M11" s="72"/>
      <c r="N11" s="73" t="str">
        <f>F13</f>
        <v>通常</v>
      </c>
      <c r="O11" s="74"/>
    </row>
    <row r="12" spans="8:8">
      <c r="B12" s="54"/>
      <c r="C12" s="55"/>
      <c r="D12" s="55"/>
      <c r="E12" s="75"/>
      <c r="F12" s="69"/>
      <c r="G12" s="70"/>
      <c r="H12" s="30"/>
      <c r="I12" s="30"/>
      <c r="J12" s="31"/>
      <c r="K12" s="32">
        <f>H20+H29+H38+H48+H57+H66+R20+R29+R38+R48+R57+R66</f>
        <v>2.0</v>
      </c>
      <c r="L12" s="76" t="s">
        <v>51</v>
      </c>
      <c r="M12" s="77"/>
      <c r="N12" s="77"/>
      <c r="O12" s="78"/>
    </row>
    <row r="13" spans="8:8">
      <c r="B13" s="54"/>
      <c r="C13" s="55"/>
      <c r="D13" s="55"/>
      <c r="E13" s="79" t="s">
        <v>50</v>
      </c>
      <c r="F13" s="80" t="s">
        <v>52</v>
      </c>
      <c r="G13" s="81"/>
      <c r="H13" s="30"/>
      <c r="I13" s="30"/>
      <c r="J13" s="31"/>
      <c r="K13" s="82"/>
      <c r="L13" s="83" t="s">
        <v>53</v>
      </c>
      <c r="M13" s="84"/>
      <c r="N13" s="85"/>
      <c r="O13" s="86"/>
    </row>
    <row r="14" spans="8:8">
      <c r="B14" s="62"/>
      <c r="C14" s="87" t="s">
        <v>54</v>
      </c>
      <c r="D14" s="87" t="s">
        <v>55</v>
      </c>
      <c r="E14" s="88" t="s">
        <v>56</v>
      </c>
      <c r="F14" s="88" t="s">
        <v>57</v>
      </c>
      <c r="G14" s="88" t="s">
        <v>58</v>
      </c>
      <c r="H14" s="87" t="s">
        <v>59</v>
      </c>
      <c r="I14" s="87" t="s">
        <v>60</v>
      </c>
      <c r="J14" s="89" t="s">
        <v>61</v>
      </c>
      <c r="K14" s="20" t="s">
        <v>62</v>
      </c>
      <c r="L14" s="90"/>
      <c r="M14" s="91"/>
      <c r="N14" s="92"/>
      <c r="O14" s="93"/>
      <c r="P14" s="94"/>
      <c r="Q14" s="95"/>
    </row>
    <row r="15" spans="8:8">
      <c r="B15" s="96" t="s">
        <v>63</v>
      </c>
      <c r="C15" s="97">
        <f t="shared" si="1" ref="C15:I15">C16+C17+C18</f>
        <v>40.0</v>
      </c>
      <c r="D15" s="97">
        <f t="shared" si="1"/>
        <v>30.0</v>
      </c>
      <c r="E15" s="97">
        <f t="shared" si="1"/>
        <v>30.0</v>
      </c>
      <c r="F15" s="97">
        <f t="shared" si="1"/>
        <v>20.0</v>
      </c>
      <c r="G15" s="97">
        <f t="shared" si="1"/>
        <v>30.0</v>
      </c>
      <c r="H15" s="97">
        <f t="shared" si="1"/>
        <v>80.0</v>
      </c>
      <c r="I15" s="97">
        <f t="shared" si="1"/>
        <v>50.0</v>
      </c>
      <c r="J15" s="98">
        <f>40+C17*2</f>
        <v>120.0</v>
      </c>
      <c r="K15" s="99">
        <v>5.0</v>
      </c>
      <c r="L15" s="100"/>
      <c r="M15" s="100"/>
      <c r="N15" s="100"/>
      <c r="O15" s="100"/>
      <c r="P15" s="94"/>
      <c r="Q15" s="95"/>
    </row>
    <row r="16" spans="8:8">
      <c r="B16" s="96" t="s">
        <v>35</v>
      </c>
      <c r="C16" s="101"/>
      <c r="D16" s="102">
        <f>VLOOKUP(F9,调卡用表!$B$4:$G$13,2,0)</f>
        <v>20.0</v>
      </c>
      <c r="E16" s="102">
        <f>VLOOKUP(F9,调卡用表!$B$4:$G$13,3,0)</f>
        <v>20.0</v>
      </c>
      <c r="F16" s="102">
        <f>VLOOKUP(F9,调卡用表!$B$4:$G$13,4,0)</f>
        <v>0.0</v>
      </c>
      <c r="G16" s="102">
        <f>VLOOKUP(F9,调卡用表!$B$4:$G$13,5,0)</f>
        <v>10.0</v>
      </c>
      <c r="H16" s="102">
        <f>VLOOKUP(F9,调卡用表!$B$4:$G$13,6,0)</f>
        <v>20.0</v>
      </c>
      <c r="I16" s="103">
        <v>0.0</v>
      </c>
      <c r="J16" s="98">
        <f>SUM(C16:I16)</f>
        <v>70.0</v>
      </c>
      <c r="K16" s="104"/>
      <c r="L16" s="100"/>
      <c r="M16" s="100"/>
      <c r="N16" s="100"/>
      <c r="O16" s="100"/>
      <c r="P16" s="94"/>
      <c r="Q16" s="94"/>
      <c r="R16" s="105"/>
      <c r="S16" s="105"/>
    </row>
    <row r="17" spans="8:8">
      <c r="B17" s="96" t="s">
        <v>64</v>
      </c>
      <c r="C17" s="106">
        <v>40.0</v>
      </c>
      <c r="D17" s="107">
        <v>10.0</v>
      </c>
      <c r="E17" s="69">
        <v>10.0</v>
      </c>
      <c r="F17" s="69">
        <v>20.0</v>
      </c>
      <c r="G17" s="69">
        <v>20.0</v>
      </c>
      <c r="H17" s="69">
        <v>60.0</v>
      </c>
      <c r="I17" s="69">
        <v>50.0</v>
      </c>
      <c r="J17" s="108" t="s">
        <v>65</v>
      </c>
      <c r="K17" s="109" t="s">
        <v>66</v>
      </c>
      <c r="L17" s="100"/>
      <c r="M17" s="100"/>
      <c r="N17" s="100"/>
      <c r="O17" s="100"/>
    </row>
    <row r="18" spans="8:8">
      <c r="B18" s="110" t="s">
        <v>67</v>
      </c>
      <c r="C18" s="111"/>
      <c r="D18" s="111"/>
      <c r="E18" s="112"/>
      <c r="F18" s="112"/>
      <c r="G18" s="112"/>
      <c r="H18" s="112"/>
      <c r="I18" s="112"/>
      <c r="J18" s="113">
        <f>J15-D17-E17-F17-G17-H17</f>
        <v>0.0</v>
      </c>
      <c r="K18" s="114">
        <v>60.0</v>
      </c>
      <c r="L18" s="100"/>
      <c r="M18" s="100"/>
      <c r="N18" s="100"/>
      <c r="O18" s="100"/>
    </row>
    <row r="19" spans="8:8">
      <c r="B19" s="115" t="s">
        <v>68</v>
      </c>
      <c r="C19" s="116"/>
      <c r="D19" s="116"/>
      <c r="E19" s="116"/>
      <c r="F19" s="116"/>
      <c r="G19" s="116"/>
      <c r="H19" s="116"/>
      <c r="I19" s="116"/>
      <c r="J19" s="117"/>
      <c r="K19" s="100"/>
      <c r="L19" s="118" t="s">
        <v>60</v>
      </c>
      <c r="M19" s="119"/>
      <c r="N19" s="119"/>
      <c r="O19" s="119"/>
      <c r="P19" s="119"/>
      <c r="Q19" s="119"/>
      <c r="R19" s="119"/>
      <c r="S19" s="119"/>
      <c r="T19" s="120"/>
    </row>
    <row r="20" spans="8:8" ht="16.5" customHeight="1">
      <c r="B20" s="121" t="s">
        <v>69</v>
      </c>
      <c r="C20" s="122" t="s">
        <v>565</v>
      </c>
      <c r="D20" s="122"/>
      <c r="E20" s="123" t="s">
        <v>54</v>
      </c>
      <c r="F20" s="124" t="s">
        <v>456</v>
      </c>
      <c r="G20" s="125" t="s">
        <v>49</v>
      </c>
      <c r="H20" s="126"/>
      <c r="I20" s="125" t="s">
        <v>72</v>
      </c>
      <c r="J20" s="127">
        <f>_xlfn.IFNA(VLOOKUP(F20,数值参考!$J$23:$K$38,2,FALSE),0)</f>
        <v>0.0</v>
      </c>
      <c r="L20" s="128" t="s">
        <v>69</v>
      </c>
      <c r="M20" s="129" t="s">
        <v>576</v>
      </c>
      <c r="N20" s="129"/>
      <c r="O20" s="130" t="s">
        <v>54</v>
      </c>
      <c r="P20" s="124" t="s">
        <v>424</v>
      </c>
      <c r="Q20" s="131" t="s">
        <v>49</v>
      </c>
      <c r="R20" s="126"/>
      <c r="S20" s="131" t="s">
        <v>72</v>
      </c>
      <c r="T20" s="127">
        <f>_xlfn.IFNA(VLOOKUP(P20,调卡用表!$M$4:$N$33,2,0),0)</f>
        <v>4.0</v>
      </c>
    </row>
    <row r="21" spans="8:8">
      <c r="B21" s="132" t="s">
        <v>75</v>
      </c>
      <c r="C21" s="133" t="s">
        <v>628</v>
      </c>
      <c r="D21" s="134"/>
      <c r="E21" s="123" t="s">
        <v>76</v>
      </c>
      <c r="F21" s="122" t="s">
        <v>35</v>
      </c>
      <c r="G21" s="122"/>
      <c r="H21" s="125" t="s">
        <v>78</v>
      </c>
      <c r="I21" s="135" t="s">
        <v>568</v>
      </c>
      <c r="J21" s="136" t="s">
        <v>568</v>
      </c>
      <c r="L21" s="137" t="s">
        <v>75</v>
      </c>
      <c r="M21" s="138" t="s">
        <v>591</v>
      </c>
      <c r="N21" s="139"/>
      <c r="O21" s="130" t="s">
        <v>76</v>
      </c>
      <c r="P21" s="122" t="s">
        <v>463</v>
      </c>
      <c r="Q21" s="122"/>
      <c r="R21" s="131" t="s">
        <v>78</v>
      </c>
      <c r="S21" s="135" t="s">
        <v>459</v>
      </c>
      <c r="T21" s="136" t="s">
        <v>459</v>
      </c>
    </row>
    <row r="22" spans="8:8" ht="15.6" customHeight="1">
      <c r="B22" s="132"/>
      <c r="C22" s="140"/>
      <c r="D22" s="141"/>
      <c r="E22" s="125" t="s">
        <v>80</v>
      </c>
      <c r="F22" s="122" t="s">
        <v>567</v>
      </c>
      <c r="G22" s="122"/>
      <c r="H22" s="125" t="s">
        <v>82</v>
      </c>
      <c r="I22" s="135" t="s">
        <v>459</v>
      </c>
      <c r="J22" s="142" t="str">
        <f>IF(F22="常驻","每日","每次")</f>
        <v>每次</v>
      </c>
      <c r="L22" s="137"/>
      <c r="M22" s="143"/>
      <c r="N22" s="144"/>
      <c r="O22" s="131" t="s">
        <v>80</v>
      </c>
      <c r="P22" s="122" t="s">
        <v>81</v>
      </c>
      <c r="Q22" s="122"/>
      <c r="R22" s="131" t="s">
        <v>82</v>
      </c>
      <c r="S22" s="135" t="s">
        <v>460</v>
      </c>
      <c r="T22" s="142" t="str">
        <f>IF(P22="常驻","每日","每次")</f>
        <v>每日</v>
      </c>
    </row>
    <row r="23" spans="8:8" ht="40.0" customHeight="1">
      <c r="B23" s="132" t="s">
        <v>83</v>
      </c>
      <c r="C23" s="122" t="s">
        <v>566</v>
      </c>
      <c r="D23" s="122"/>
      <c r="E23" s="122"/>
      <c r="F23" s="122"/>
      <c r="G23" s="122"/>
      <c r="H23" s="122"/>
      <c r="I23" s="122"/>
      <c r="J23" s="145"/>
      <c r="L23" s="137" t="s">
        <v>83</v>
      </c>
      <c r="M23" s="122" t="s">
        <v>589</v>
      </c>
      <c r="N23" s="122"/>
      <c r="O23" s="122"/>
      <c r="P23" s="122"/>
      <c r="Q23" s="122"/>
      <c r="R23" s="122"/>
      <c r="S23" s="122"/>
      <c r="T23" s="145"/>
    </row>
    <row r="24" spans="8:8" ht="40.0" customHeight="1">
      <c r="B24" s="132"/>
      <c r="C24" s="122"/>
      <c r="D24" s="122"/>
      <c r="E24" s="122"/>
      <c r="F24" s="122"/>
      <c r="G24" s="122"/>
      <c r="H24" s="122"/>
      <c r="I24" s="122"/>
      <c r="J24" s="145"/>
      <c r="L24" s="137"/>
      <c r="M24" s="122"/>
      <c r="N24" s="122"/>
      <c r="O24" s="122"/>
      <c r="P24" s="122"/>
      <c r="Q24" s="122"/>
      <c r="R24" s="122"/>
      <c r="S24" s="122"/>
      <c r="T24" s="145"/>
    </row>
    <row r="25" spans="8:8" ht="40.0" customHeight="1">
      <c r="B25" s="132"/>
      <c r="C25" s="122"/>
      <c r="D25" s="122"/>
      <c r="E25" s="122"/>
      <c r="F25" s="122"/>
      <c r="G25" s="122"/>
      <c r="H25" s="122"/>
      <c r="I25" s="122"/>
      <c r="J25" s="145"/>
      <c r="L25" s="137"/>
      <c r="M25" s="122"/>
      <c r="N25" s="122"/>
      <c r="O25" s="122"/>
      <c r="P25" s="122"/>
      <c r="Q25" s="122"/>
      <c r="R25" s="122"/>
      <c r="S25" s="122"/>
      <c r="T25" s="145"/>
    </row>
    <row r="26" spans="8:8" ht="35.0" customHeight="1">
      <c r="B26" s="132" t="s">
        <v>86</v>
      </c>
      <c r="C26" s="122" t="s">
        <v>629</v>
      </c>
      <c r="D26" s="122"/>
      <c r="E26" s="122"/>
      <c r="F26" s="122"/>
      <c r="G26" s="122"/>
      <c r="H26" s="122"/>
      <c r="I26" s="122"/>
      <c r="J26" s="145"/>
      <c r="L26" s="137" t="s">
        <v>86</v>
      </c>
      <c r="M26" s="122" t="s">
        <v>592</v>
      </c>
      <c r="N26" s="122"/>
      <c r="O26" s="122"/>
      <c r="P26" s="122"/>
      <c r="Q26" s="122"/>
      <c r="R26" s="122"/>
      <c r="S26" s="122"/>
      <c r="T26" s="145"/>
    </row>
    <row r="27" spans="8:8" ht="35.0" customHeight="1">
      <c r="B27" s="132"/>
      <c r="C27" s="122"/>
      <c r="D27" s="122"/>
      <c r="E27" s="122"/>
      <c r="F27" s="122"/>
      <c r="G27" s="122"/>
      <c r="H27" s="122"/>
      <c r="I27" s="122"/>
      <c r="J27" s="145"/>
      <c r="L27" s="137"/>
      <c r="M27" s="122"/>
      <c r="N27" s="122"/>
      <c r="O27" s="122"/>
      <c r="P27" s="122"/>
      <c r="Q27" s="122"/>
      <c r="R27" s="122"/>
      <c r="S27" s="122"/>
      <c r="T27" s="145"/>
    </row>
    <row r="28" spans="8:8" ht="35.0" customHeight="1">
      <c r="B28" s="132"/>
      <c r="C28" s="122"/>
      <c r="D28" s="122"/>
      <c r="E28" s="122"/>
      <c r="F28" s="122"/>
      <c r="G28" s="122"/>
      <c r="H28" s="122"/>
      <c r="I28" s="122"/>
      <c r="J28" s="145"/>
      <c r="L28" s="137"/>
      <c r="M28" s="122"/>
      <c r="N28" s="122"/>
      <c r="O28" s="122"/>
      <c r="P28" s="122"/>
      <c r="Q28" s="122"/>
      <c r="R28" s="122"/>
      <c r="S28" s="122"/>
      <c r="T28" s="145"/>
    </row>
    <row r="29" spans="8:8" ht="15.6" customHeight="1">
      <c r="B29" s="121" t="s">
        <v>69</v>
      </c>
      <c r="C29" s="122"/>
      <c r="D29" s="122"/>
      <c r="E29" s="123" t="s">
        <v>54</v>
      </c>
      <c r="F29" s="124"/>
      <c r="G29" s="125" t="s">
        <v>49</v>
      </c>
      <c r="H29" s="126"/>
      <c r="I29" s="125" t="s">
        <v>72</v>
      </c>
      <c r="J29" s="127">
        <f>_xlfn.IFNA(VLOOKUP(F29,数值参考!$J$23:$K$38,2,FALSE),0)</f>
        <v>0.0</v>
      </c>
      <c r="L29" s="128" t="s">
        <v>69</v>
      </c>
      <c r="M29" s="129" t="s">
        <v>579</v>
      </c>
      <c r="N29" s="129"/>
      <c r="O29" s="130" t="s">
        <v>54</v>
      </c>
      <c r="P29" s="124" t="s">
        <v>425</v>
      </c>
      <c r="Q29" s="131" t="s">
        <v>49</v>
      </c>
      <c r="R29" s="126">
        <v>2.0</v>
      </c>
      <c r="S29" s="131" t="s">
        <v>72</v>
      </c>
      <c r="T29" s="127">
        <f>_xlfn.IFNA(VLOOKUP(P29,调卡用表!$M$4:$N$33,2,0),0)</f>
        <v>5.0</v>
      </c>
    </row>
    <row r="30" spans="8:8">
      <c r="A30" s="146"/>
      <c r="B30" s="132" t="s">
        <v>75</v>
      </c>
      <c r="C30" s="147"/>
      <c r="D30" s="148"/>
      <c r="E30" s="123" t="s">
        <v>76</v>
      </c>
      <c r="F30" s="122"/>
      <c r="G30" s="122"/>
      <c r="H30" s="125" t="s">
        <v>78</v>
      </c>
      <c r="I30" s="135"/>
      <c r="J30" s="136"/>
      <c r="L30" s="137" t="s">
        <v>75</v>
      </c>
      <c r="M30" s="138" t="s">
        <v>595</v>
      </c>
      <c r="N30" s="139"/>
      <c r="O30" s="130" t="s">
        <v>76</v>
      </c>
      <c r="P30" s="122" t="s">
        <v>463</v>
      </c>
      <c r="Q30" s="122"/>
      <c r="R30" s="131" t="s">
        <v>78</v>
      </c>
      <c r="S30" s="135" t="s">
        <v>459</v>
      </c>
      <c r="T30" s="136" t="s">
        <v>459</v>
      </c>
    </row>
    <row r="31" spans="8:8">
      <c r="A31" s="146"/>
      <c r="B31" s="132"/>
      <c r="C31" s="149"/>
      <c r="D31" s="150"/>
      <c r="E31" s="125" t="s">
        <v>80</v>
      </c>
      <c r="F31" s="122"/>
      <c r="G31" s="122"/>
      <c r="H31" s="125" t="s">
        <v>82</v>
      </c>
      <c r="I31" s="135"/>
      <c r="J31" s="142" t="str">
        <f>IF(F31="常驻","每日","每次")</f>
        <v>每次</v>
      </c>
      <c r="L31" s="137"/>
      <c r="M31" s="143"/>
      <c r="N31" s="144"/>
      <c r="O31" s="131" t="s">
        <v>80</v>
      </c>
      <c r="P31" s="122" t="s">
        <v>81</v>
      </c>
      <c r="Q31" s="122"/>
      <c r="R31" s="131" t="s">
        <v>82</v>
      </c>
      <c r="S31" s="135" t="s">
        <v>580</v>
      </c>
      <c r="T31" s="142" t="str">
        <f>IF(P31="常驻","每日","每次")</f>
        <v>每日</v>
      </c>
    </row>
    <row r="32" spans="8:8" ht="37.0" customHeight="1">
      <c r="B32" s="132" t="s">
        <v>83</v>
      </c>
      <c r="C32" s="122"/>
      <c r="D32" s="122"/>
      <c r="E32" s="122"/>
      <c r="F32" s="122"/>
      <c r="G32" s="122"/>
      <c r="H32" s="122"/>
      <c r="I32" s="122"/>
      <c r="J32" s="145"/>
      <c r="L32" s="137" t="s">
        <v>83</v>
      </c>
      <c r="M32" s="122" t="s">
        <v>594</v>
      </c>
      <c r="N32" s="122"/>
      <c r="O32" s="122"/>
      <c r="P32" s="122"/>
      <c r="Q32" s="122"/>
      <c r="R32" s="122"/>
      <c r="S32" s="122"/>
      <c r="T32" s="145"/>
    </row>
    <row r="33" spans="8:8" ht="37.0" customHeight="1">
      <c r="B33" s="132"/>
      <c r="C33" s="122"/>
      <c r="D33" s="122"/>
      <c r="E33" s="122"/>
      <c r="F33" s="122"/>
      <c r="G33" s="122"/>
      <c r="H33" s="122"/>
      <c r="I33" s="122"/>
      <c r="J33" s="145"/>
      <c r="L33" s="137"/>
      <c r="M33" s="122"/>
      <c r="N33" s="122"/>
      <c r="O33" s="122"/>
      <c r="P33" s="122"/>
      <c r="Q33" s="122"/>
      <c r="R33" s="122"/>
      <c r="S33" s="122"/>
      <c r="T33" s="145"/>
    </row>
    <row r="34" spans="8:8" ht="37.0" customHeight="1">
      <c r="B34" s="132"/>
      <c r="C34" s="122"/>
      <c r="D34" s="122"/>
      <c r="E34" s="122"/>
      <c r="F34" s="122"/>
      <c r="G34" s="122"/>
      <c r="H34" s="122"/>
      <c r="I34" s="122"/>
      <c r="J34" s="145"/>
      <c r="L34" s="137"/>
      <c r="M34" s="122"/>
      <c r="N34" s="122"/>
      <c r="O34" s="122"/>
      <c r="P34" s="122"/>
      <c r="Q34" s="122"/>
      <c r="R34" s="122"/>
      <c r="S34" s="122"/>
      <c r="T34" s="145"/>
    </row>
    <row r="35" spans="8:8">
      <c r="B35" s="132" t="s">
        <v>86</v>
      </c>
      <c r="C35" s="122"/>
      <c r="D35" s="122"/>
      <c r="E35" s="122"/>
      <c r="F35" s="122"/>
      <c r="G35" s="122"/>
      <c r="H35" s="122"/>
      <c r="I35" s="122"/>
      <c r="J35" s="145"/>
      <c r="L35" s="137" t="s">
        <v>86</v>
      </c>
      <c r="M35" s="122" t="s">
        <v>596</v>
      </c>
      <c r="N35" s="122"/>
      <c r="O35" s="122"/>
      <c r="P35" s="122"/>
      <c r="Q35" s="122"/>
      <c r="R35" s="122"/>
      <c r="S35" s="122"/>
      <c r="T35" s="145"/>
    </row>
    <row r="36" spans="8:8">
      <c r="B36" s="132"/>
      <c r="C36" s="122"/>
      <c r="D36" s="122"/>
      <c r="E36" s="122"/>
      <c r="F36" s="122"/>
      <c r="G36" s="122"/>
      <c r="H36" s="122"/>
      <c r="I36" s="122"/>
      <c r="J36" s="145"/>
      <c r="L36" s="137"/>
      <c r="M36" s="122"/>
      <c r="N36" s="122"/>
      <c r="O36" s="122"/>
      <c r="P36" s="122"/>
      <c r="Q36" s="122"/>
      <c r="R36" s="122"/>
      <c r="S36" s="122"/>
      <c r="T36" s="145"/>
    </row>
    <row r="37" spans="8:8">
      <c r="B37" s="132"/>
      <c r="C37" s="122"/>
      <c r="D37" s="122"/>
      <c r="E37" s="122"/>
      <c r="F37" s="122"/>
      <c r="G37" s="122"/>
      <c r="H37" s="122"/>
      <c r="I37" s="122"/>
      <c r="J37" s="145"/>
      <c r="L37" s="137"/>
      <c r="M37" s="122"/>
      <c r="N37" s="122"/>
      <c r="O37" s="122"/>
      <c r="P37" s="122"/>
      <c r="Q37" s="122"/>
      <c r="R37" s="122"/>
      <c r="S37" s="122"/>
      <c r="T37" s="145"/>
    </row>
    <row r="38" spans="8:8">
      <c r="B38" s="121" t="s">
        <v>69</v>
      </c>
      <c r="C38" s="122"/>
      <c r="D38" s="122"/>
      <c r="E38" s="123" t="s">
        <v>54</v>
      </c>
      <c r="F38" s="124"/>
      <c r="G38" s="125" t="s">
        <v>49</v>
      </c>
      <c r="H38" s="126"/>
      <c r="I38" s="125" t="s">
        <v>72</v>
      </c>
      <c r="J38" s="127">
        <f>_xlfn.IFNA(VLOOKUP(F38,数值参考!$J$23:$K$38,2,FALSE),0)</f>
        <v>0.0</v>
      </c>
      <c r="L38" s="128" t="s">
        <v>69</v>
      </c>
      <c r="M38" s="122"/>
      <c r="N38" s="122"/>
      <c r="O38" s="130" t="s">
        <v>54</v>
      </c>
      <c r="P38" s="124"/>
      <c r="Q38" s="131" t="s">
        <v>49</v>
      </c>
      <c r="R38" s="126"/>
      <c r="S38" s="131" t="s">
        <v>72</v>
      </c>
      <c r="T38" s="127">
        <f>_xlfn.IFNA(VLOOKUP(P38,调卡用表!$M$4:$N$33,2,0),0)</f>
        <v>0.0</v>
      </c>
    </row>
    <row r="39" spans="8:8">
      <c r="B39" s="132" t="s">
        <v>75</v>
      </c>
      <c r="C39" s="147"/>
      <c r="D39" s="148"/>
      <c r="E39" s="123" t="s">
        <v>76</v>
      </c>
      <c r="F39" s="122"/>
      <c r="G39" s="122"/>
      <c r="H39" s="125" t="s">
        <v>78</v>
      </c>
      <c r="I39" s="151"/>
      <c r="J39" s="152"/>
      <c r="L39" s="137" t="s">
        <v>75</v>
      </c>
      <c r="M39" s="147"/>
      <c r="N39" s="148"/>
      <c r="O39" s="130" t="s">
        <v>76</v>
      </c>
      <c r="P39" s="122"/>
      <c r="Q39" s="122"/>
      <c r="R39" s="131" t="s">
        <v>78</v>
      </c>
      <c r="S39" s="151"/>
      <c r="T39" s="152"/>
    </row>
    <row r="40" spans="8:8">
      <c r="B40" s="132"/>
      <c r="C40" s="149"/>
      <c r="D40" s="150"/>
      <c r="E40" s="125" t="s">
        <v>80</v>
      </c>
      <c r="F40" s="122"/>
      <c r="G40" s="122"/>
      <c r="H40" s="125" t="s">
        <v>82</v>
      </c>
      <c r="I40" s="151"/>
      <c r="J40" s="153"/>
      <c r="L40" s="137"/>
      <c r="M40" s="149"/>
      <c r="N40" s="150"/>
      <c r="O40" s="131" t="s">
        <v>80</v>
      </c>
      <c r="P40" s="122"/>
      <c r="Q40" s="122"/>
      <c r="R40" s="131" t="s">
        <v>82</v>
      </c>
      <c r="S40" s="151"/>
      <c r="T40" s="142" t="str">
        <f>IF(P40="常驻","每日","每次")</f>
        <v>每次</v>
      </c>
    </row>
    <row r="41" spans="8:8">
      <c r="B41" s="132" t="s">
        <v>83</v>
      </c>
      <c r="C41" s="122"/>
      <c r="D41" s="122"/>
      <c r="E41" s="122"/>
      <c r="F41" s="122"/>
      <c r="G41" s="122"/>
      <c r="H41" s="122"/>
      <c r="I41" s="122"/>
      <c r="J41" s="145"/>
      <c r="L41" s="137" t="s">
        <v>83</v>
      </c>
      <c r="M41" s="122"/>
      <c r="N41" s="122"/>
      <c r="O41" s="122"/>
      <c r="P41" s="122"/>
      <c r="Q41" s="122"/>
      <c r="R41" s="122"/>
      <c r="S41" s="122"/>
      <c r="T41" s="145"/>
    </row>
    <row r="42" spans="8:8">
      <c r="B42" s="132"/>
      <c r="C42" s="122"/>
      <c r="D42" s="122"/>
      <c r="E42" s="122"/>
      <c r="F42" s="122"/>
      <c r="G42" s="122"/>
      <c r="H42" s="122"/>
      <c r="I42" s="122"/>
      <c r="J42" s="145"/>
      <c r="L42" s="137"/>
      <c r="M42" s="122"/>
      <c r="N42" s="122"/>
      <c r="O42" s="122"/>
      <c r="P42" s="122"/>
      <c r="Q42" s="122"/>
      <c r="R42" s="122"/>
      <c r="S42" s="122"/>
      <c r="T42" s="145"/>
    </row>
    <row r="43" spans="8:8">
      <c r="B43" s="132"/>
      <c r="C43" s="122"/>
      <c r="D43" s="122"/>
      <c r="E43" s="122"/>
      <c r="F43" s="122"/>
      <c r="G43" s="122"/>
      <c r="H43" s="122"/>
      <c r="I43" s="122"/>
      <c r="J43" s="145"/>
      <c r="L43" s="137"/>
      <c r="M43" s="122"/>
      <c r="N43" s="122"/>
      <c r="O43" s="122"/>
      <c r="P43" s="122"/>
      <c r="Q43" s="122"/>
      <c r="R43" s="122"/>
      <c r="S43" s="122"/>
      <c r="T43" s="145"/>
    </row>
    <row r="44" spans="8:8">
      <c r="B44" s="132" t="s">
        <v>86</v>
      </c>
      <c r="C44" s="122"/>
      <c r="D44" s="122"/>
      <c r="E44" s="122"/>
      <c r="F44" s="122"/>
      <c r="G44" s="122"/>
      <c r="H44" s="122"/>
      <c r="I44" s="122"/>
      <c r="J44" s="145"/>
      <c r="L44" s="137" t="s">
        <v>86</v>
      </c>
      <c r="M44" s="122"/>
      <c r="N44" s="122"/>
      <c r="O44" s="122"/>
      <c r="P44" s="122"/>
      <c r="Q44" s="122"/>
      <c r="R44" s="122"/>
      <c r="S44" s="122"/>
      <c r="T44" s="145"/>
    </row>
    <row r="45" spans="8:8">
      <c r="B45" s="132"/>
      <c r="C45" s="122"/>
      <c r="D45" s="122"/>
      <c r="E45" s="122"/>
      <c r="F45" s="122"/>
      <c r="G45" s="122"/>
      <c r="H45" s="122"/>
      <c r="I45" s="122"/>
      <c r="J45" s="145"/>
      <c r="L45" s="137"/>
      <c r="M45" s="122"/>
      <c r="N45" s="122"/>
      <c r="O45" s="122"/>
      <c r="P45" s="122"/>
      <c r="Q45" s="122"/>
      <c r="R45" s="122"/>
      <c r="S45" s="122"/>
      <c r="T45" s="145"/>
    </row>
    <row r="46" spans="8:8">
      <c r="B46" s="154"/>
      <c r="C46" s="155"/>
      <c r="D46" s="155"/>
      <c r="E46" s="155"/>
      <c r="F46" s="155"/>
      <c r="G46" s="155"/>
      <c r="H46" s="155"/>
      <c r="I46" s="155"/>
      <c r="J46" s="156"/>
      <c r="L46" s="157"/>
      <c r="M46" s="155"/>
      <c r="N46" s="155"/>
      <c r="O46" s="155"/>
      <c r="P46" s="155"/>
      <c r="Q46" s="155"/>
      <c r="R46" s="155"/>
      <c r="S46" s="155"/>
      <c r="T46" s="156"/>
    </row>
    <row r="47" spans="8:8">
      <c r="B47" s="158" t="s">
        <v>91</v>
      </c>
      <c r="C47" s="159"/>
      <c r="D47" s="159"/>
      <c r="E47" s="159"/>
      <c r="F47" s="159"/>
      <c r="G47" s="159"/>
      <c r="H47" s="159"/>
      <c r="I47" s="159"/>
      <c r="J47" s="160"/>
      <c r="K47" s="161"/>
      <c r="L47" s="162" t="s">
        <v>92</v>
      </c>
      <c r="M47" s="163"/>
      <c r="N47" s="163"/>
      <c r="O47" s="163"/>
      <c r="P47" s="163"/>
      <c r="Q47" s="163"/>
      <c r="R47" s="163"/>
      <c r="S47" s="163"/>
      <c r="T47" s="164"/>
    </row>
    <row r="48" spans="8:8">
      <c r="B48" s="165" t="s">
        <v>69</v>
      </c>
      <c r="C48" s="166" t="s">
        <v>569</v>
      </c>
      <c r="D48" s="166"/>
      <c r="E48" s="167" t="s">
        <v>54</v>
      </c>
      <c r="F48" s="168" t="s">
        <v>426</v>
      </c>
      <c r="G48" s="167" t="s">
        <v>49</v>
      </c>
      <c r="H48" s="169"/>
      <c r="I48" s="167" t="s">
        <v>72</v>
      </c>
      <c r="J48" s="170">
        <f>_xlfn.IFNA(VLOOKUP(F48,调卡用表!$J$4:$K$33,2,0),0)</f>
        <v>7.0</v>
      </c>
      <c r="K48" s="171"/>
      <c r="L48" s="172" t="s">
        <v>69</v>
      </c>
      <c r="M48" s="166"/>
      <c r="N48" s="166"/>
      <c r="O48" s="173" t="s">
        <v>54</v>
      </c>
      <c r="P48" s="168" t="s">
        <v>94</v>
      </c>
      <c r="Q48" s="173" t="s">
        <v>49</v>
      </c>
      <c r="R48" s="169"/>
      <c r="S48" s="173" t="s">
        <v>72</v>
      </c>
      <c r="T48" s="170"/>
    </row>
    <row r="49" spans="8:8">
      <c r="B49" s="174" t="s">
        <v>75</v>
      </c>
      <c r="C49" s="175" t="s">
        <v>572</v>
      </c>
      <c r="D49" s="176"/>
      <c r="E49" s="167" t="s">
        <v>76</v>
      </c>
      <c r="F49" s="166" t="s">
        <v>458</v>
      </c>
      <c r="G49" s="166"/>
      <c r="H49" s="167" t="s">
        <v>78</v>
      </c>
      <c r="I49" s="177" t="s">
        <v>459</v>
      </c>
      <c r="J49" s="178" t="s">
        <v>459</v>
      </c>
      <c r="K49" s="171"/>
      <c r="L49" s="179" t="s">
        <v>75</v>
      </c>
      <c r="M49" s="180"/>
      <c r="N49" s="181"/>
      <c r="O49" s="173" t="s">
        <v>76</v>
      </c>
      <c r="P49" s="166"/>
      <c r="Q49" s="166"/>
      <c r="R49" s="173" t="s">
        <v>78</v>
      </c>
      <c r="S49" s="177"/>
      <c r="T49" s="178"/>
    </row>
    <row r="50" spans="8:8">
      <c r="B50" s="174"/>
      <c r="C50" s="182"/>
      <c r="D50" s="183"/>
      <c r="E50" s="167" t="s">
        <v>80</v>
      </c>
      <c r="F50" s="166" t="s">
        <v>81</v>
      </c>
      <c r="G50" s="166"/>
      <c r="H50" s="167" t="s">
        <v>82</v>
      </c>
      <c r="I50" s="177" t="s">
        <v>459</v>
      </c>
      <c r="J50" s="184" t="str">
        <f>IF(F50="常驻","每日","每次")</f>
        <v>每日</v>
      </c>
      <c r="K50" s="171"/>
      <c r="L50" s="179"/>
      <c r="M50" s="185"/>
      <c r="N50" s="186"/>
      <c r="O50" s="173" t="s">
        <v>80</v>
      </c>
      <c r="P50" s="166"/>
      <c r="Q50" s="166"/>
      <c r="R50" s="173" t="s">
        <v>82</v>
      </c>
      <c r="S50" s="177"/>
      <c r="T50" s="184"/>
    </row>
    <row r="51" spans="8:8" ht="53.0" customHeight="1">
      <c r="B51" s="174" t="s">
        <v>83</v>
      </c>
      <c r="C51" s="122" t="s">
        <v>571</v>
      </c>
      <c r="D51" s="122"/>
      <c r="E51" s="122"/>
      <c r="F51" s="122"/>
      <c r="G51" s="122"/>
      <c r="H51" s="122"/>
      <c r="I51" s="122"/>
      <c r="J51" s="145"/>
      <c r="K51" s="171"/>
      <c r="L51" s="179" t="s">
        <v>83</v>
      </c>
      <c r="M51" s="166" t="s">
        <v>96</v>
      </c>
      <c r="N51" s="166"/>
      <c r="O51" s="166"/>
      <c r="P51" s="166"/>
      <c r="Q51" s="166"/>
      <c r="R51" s="166"/>
      <c r="S51" s="166"/>
      <c r="T51" s="187"/>
    </row>
    <row r="52" spans="8:8" ht="53.0" customHeight="1">
      <c r="B52" s="174"/>
      <c r="C52" s="122"/>
      <c r="D52" s="122"/>
      <c r="E52" s="122"/>
      <c r="F52" s="122"/>
      <c r="G52" s="122"/>
      <c r="H52" s="122"/>
      <c r="I52" s="122"/>
      <c r="J52" s="145"/>
      <c r="K52" s="171"/>
      <c r="L52" s="179"/>
      <c r="M52" s="166"/>
      <c r="N52" s="166"/>
      <c r="O52" s="166"/>
      <c r="P52" s="166"/>
      <c r="Q52" s="166"/>
      <c r="R52" s="166"/>
      <c r="S52" s="166"/>
      <c r="T52" s="187"/>
    </row>
    <row r="53" spans="8:8" ht="53.0" customHeight="1">
      <c r="B53" s="174"/>
      <c r="C53" s="122"/>
      <c r="D53" s="122"/>
      <c r="E53" s="122"/>
      <c r="F53" s="122"/>
      <c r="G53" s="122"/>
      <c r="H53" s="122"/>
      <c r="I53" s="122"/>
      <c r="J53" s="145"/>
      <c r="K53" s="171"/>
      <c r="L53" s="179"/>
      <c r="M53" s="166"/>
      <c r="N53" s="166"/>
      <c r="O53" s="166"/>
      <c r="P53" s="166"/>
      <c r="Q53" s="166"/>
      <c r="R53" s="166"/>
      <c r="S53" s="166"/>
      <c r="T53" s="187"/>
    </row>
    <row r="54" spans="8:8" ht="80.0" customHeight="1">
      <c r="B54" s="174" t="s">
        <v>86</v>
      </c>
      <c r="C54" s="166" t="s">
        <v>573</v>
      </c>
      <c r="D54" s="166"/>
      <c r="E54" s="166"/>
      <c r="F54" s="166"/>
      <c r="G54" s="166"/>
      <c r="H54" s="166"/>
      <c r="I54" s="166"/>
      <c r="J54" s="187"/>
      <c r="K54" s="171"/>
      <c r="L54" s="179" t="s">
        <v>86</v>
      </c>
      <c r="M54" s="166"/>
      <c r="N54" s="166"/>
      <c r="O54" s="166"/>
      <c r="P54" s="166"/>
      <c r="Q54" s="166"/>
      <c r="R54" s="166"/>
      <c r="S54" s="166"/>
      <c r="T54" s="187"/>
    </row>
    <row r="55" spans="8:8" ht="80.0" customHeight="1">
      <c r="B55" s="174"/>
      <c r="C55" s="166"/>
      <c r="D55" s="166"/>
      <c r="E55" s="166"/>
      <c r="F55" s="166"/>
      <c r="G55" s="166"/>
      <c r="H55" s="166"/>
      <c r="I55" s="166"/>
      <c r="J55" s="187"/>
      <c r="K55" s="171"/>
      <c r="L55" s="179"/>
      <c r="M55" s="166"/>
      <c r="N55" s="166"/>
      <c r="O55" s="166"/>
      <c r="P55" s="166"/>
      <c r="Q55" s="166"/>
      <c r="R55" s="166"/>
      <c r="S55" s="166"/>
      <c r="T55" s="187"/>
    </row>
    <row r="56" spans="8:8" ht="80.0" customHeight="1">
      <c r="B56" s="174"/>
      <c r="C56" s="166"/>
      <c r="D56" s="166"/>
      <c r="E56" s="166"/>
      <c r="F56" s="166"/>
      <c r="G56" s="166"/>
      <c r="H56" s="166"/>
      <c r="I56" s="166"/>
      <c r="J56" s="187"/>
      <c r="K56" s="171"/>
      <c r="L56" s="179"/>
      <c r="M56" s="166"/>
      <c r="N56" s="166"/>
      <c r="O56" s="166"/>
      <c r="P56" s="166"/>
      <c r="Q56" s="166"/>
      <c r="R56" s="166"/>
      <c r="S56" s="166"/>
      <c r="T56" s="187"/>
    </row>
    <row r="57" spans="8:8">
      <c r="B57" s="165" t="s">
        <v>69</v>
      </c>
      <c r="C57" s="166" t="s">
        <v>574</v>
      </c>
      <c r="D57" s="166"/>
      <c r="E57" s="167" t="s">
        <v>54</v>
      </c>
      <c r="F57" s="168" t="s">
        <v>426</v>
      </c>
      <c r="G57" s="167" t="s">
        <v>49</v>
      </c>
      <c r="H57" s="169"/>
      <c r="I57" s="167" t="s">
        <v>72</v>
      </c>
      <c r="J57" s="170">
        <f>_xlfn.IFNA(VLOOKUP(F57,调卡用表!$J$4:$K$33,2,0),0)</f>
        <v>7.0</v>
      </c>
      <c r="K57" s="171"/>
      <c r="L57" s="172" t="s">
        <v>69</v>
      </c>
      <c r="M57" s="166"/>
      <c r="N57" s="166"/>
      <c r="O57" s="173" t="s">
        <v>54</v>
      </c>
      <c r="P57" s="168" t="s">
        <v>94</v>
      </c>
      <c r="Q57" s="173" t="s">
        <v>49</v>
      </c>
      <c r="R57" s="169"/>
      <c r="S57" s="173" t="s">
        <v>72</v>
      </c>
      <c r="T57" s="170"/>
    </row>
    <row r="58" spans="8:8">
      <c r="B58" s="188" t="s">
        <v>75</v>
      </c>
      <c r="C58" s="189" t="s">
        <v>582</v>
      </c>
      <c r="D58" s="190"/>
      <c r="E58" s="191" t="s">
        <v>76</v>
      </c>
      <c r="F58" s="192" t="s">
        <v>98</v>
      </c>
      <c r="G58" s="192"/>
      <c r="H58" s="191" t="s">
        <v>78</v>
      </c>
      <c r="I58" s="193" t="s">
        <v>568</v>
      </c>
      <c r="J58" s="194" t="s">
        <v>568</v>
      </c>
      <c r="K58" s="161"/>
      <c r="L58" s="195" t="s">
        <v>75</v>
      </c>
      <c r="M58" s="196"/>
      <c r="N58" s="197"/>
      <c r="O58" s="198" t="s">
        <v>76</v>
      </c>
      <c r="P58" s="199"/>
      <c r="Q58" s="199"/>
      <c r="R58" s="198" t="s">
        <v>78</v>
      </c>
      <c r="S58" s="200"/>
      <c r="T58" s="201"/>
    </row>
    <row r="59" spans="8:8">
      <c r="B59" s="188"/>
      <c r="C59" s="202"/>
      <c r="D59" s="203"/>
      <c r="E59" s="191" t="s">
        <v>80</v>
      </c>
      <c r="F59" s="192" t="s">
        <v>567</v>
      </c>
      <c r="G59" s="192"/>
      <c r="H59" s="191" t="s">
        <v>82</v>
      </c>
      <c r="I59" s="193" t="s">
        <v>459</v>
      </c>
      <c r="J59" s="204" t="str">
        <f>IF(F59="常驻","每日","每次")</f>
        <v>每次</v>
      </c>
      <c r="K59" s="161"/>
      <c r="L59" s="195"/>
      <c r="M59" s="205"/>
      <c r="N59" s="206"/>
      <c r="O59" s="198" t="s">
        <v>80</v>
      </c>
      <c r="P59" s="199"/>
      <c r="Q59" s="199"/>
      <c r="R59" s="198" t="s">
        <v>82</v>
      </c>
      <c r="S59" s="200"/>
      <c r="T59" s="207"/>
    </row>
    <row r="60" spans="8:8" ht="32.0" customHeight="1">
      <c r="B60" s="188" t="s">
        <v>83</v>
      </c>
      <c r="C60" s="192" t="s">
        <v>581</v>
      </c>
      <c r="D60" s="192"/>
      <c r="E60" s="192"/>
      <c r="F60" s="192"/>
      <c r="G60" s="192"/>
      <c r="H60" s="192"/>
      <c r="I60" s="192"/>
      <c r="J60" s="208"/>
      <c r="K60" s="161"/>
      <c r="L60" s="195" t="s">
        <v>83</v>
      </c>
      <c r="M60" s="199"/>
      <c r="N60" s="199"/>
      <c r="O60" s="199"/>
      <c r="P60" s="199"/>
      <c r="Q60" s="199"/>
      <c r="R60" s="199"/>
      <c r="S60" s="199"/>
      <c r="T60" s="209"/>
    </row>
    <row r="61" spans="8:8" ht="32.0" customHeight="1">
      <c r="B61" s="188"/>
      <c r="C61" s="192"/>
      <c r="D61" s="192"/>
      <c r="E61" s="192"/>
      <c r="F61" s="192"/>
      <c r="G61" s="192"/>
      <c r="H61" s="192"/>
      <c r="I61" s="192"/>
      <c r="J61" s="208"/>
      <c r="K61" s="161"/>
      <c r="L61" s="195"/>
      <c r="M61" s="199"/>
      <c r="N61" s="199"/>
      <c r="O61" s="199"/>
      <c r="P61" s="199"/>
      <c r="Q61" s="199"/>
      <c r="R61" s="199"/>
      <c r="S61" s="199"/>
      <c r="T61" s="209"/>
    </row>
    <row r="62" spans="8:8" ht="32.0" customHeight="1">
      <c r="B62" s="188"/>
      <c r="C62" s="192"/>
      <c r="D62" s="192"/>
      <c r="E62" s="192"/>
      <c r="F62" s="192"/>
      <c r="G62" s="192"/>
      <c r="H62" s="192"/>
      <c r="I62" s="192"/>
      <c r="J62" s="208"/>
      <c r="K62" s="161"/>
      <c r="L62" s="195"/>
      <c r="M62" s="199"/>
      <c r="N62" s="199"/>
      <c r="O62" s="199"/>
      <c r="P62" s="199"/>
      <c r="Q62" s="199"/>
      <c r="R62" s="199"/>
      <c r="S62" s="199"/>
      <c r="T62" s="209"/>
    </row>
    <row r="63" spans="8:8" ht="27.0" customHeight="1">
      <c r="B63" s="188" t="s">
        <v>86</v>
      </c>
      <c r="C63" s="192" t="s">
        <v>583</v>
      </c>
      <c r="D63" s="192"/>
      <c r="E63" s="192"/>
      <c r="F63" s="192"/>
      <c r="G63" s="192"/>
      <c r="H63" s="192"/>
      <c r="I63" s="192"/>
      <c r="J63" s="208"/>
      <c r="K63" s="161"/>
      <c r="L63" s="195" t="s">
        <v>86</v>
      </c>
      <c r="M63" s="199"/>
      <c r="N63" s="199"/>
      <c r="O63" s="199"/>
      <c r="P63" s="199"/>
      <c r="Q63" s="199"/>
      <c r="R63" s="199"/>
      <c r="S63" s="199"/>
      <c r="T63" s="209"/>
    </row>
    <row r="64" spans="8:8" ht="27.0" customHeight="1">
      <c r="B64" s="188"/>
      <c r="C64" s="192"/>
      <c r="D64" s="192"/>
      <c r="E64" s="192"/>
      <c r="F64" s="192"/>
      <c r="G64" s="192"/>
      <c r="H64" s="192"/>
      <c r="I64" s="192"/>
      <c r="J64" s="208"/>
      <c r="K64" s="161"/>
      <c r="L64" s="195"/>
      <c r="M64" s="199"/>
      <c r="N64" s="199"/>
      <c r="O64" s="199"/>
      <c r="P64" s="199"/>
      <c r="Q64" s="199"/>
      <c r="R64" s="199"/>
      <c r="S64" s="199"/>
      <c r="T64" s="209"/>
    </row>
    <row r="65" spans="8:8" ht="27.0" customHeight="1">
      <c r="B65" s="188"/>
      <c r="C65" s="192"/>
      <c r="D65" s="192"/>
      <c r="E65" s="192"/>
      <c r="F65" s="192"/>
      <c r="G65" s="192"/>
      <c r="H65" s="192"/>
      <c r="I65" s="192"/>
      <c r="J65" s="208"/>
      <c r="K65" s="161"/>
      <c r="L65" s="195"/>
      <c r="M65" s="199"/>
      <c r="N65" s="199"/>
      <c r="O65" s="199"/>
      <c r="P65" s="199"/>
      <c r="Q65" s="199"/>
      <c r="R65" s="199"/>
      <c r="S65" s="199"/>
      <c r="T65" s="209"/>
    </row>
    <row r="66" spans="8:8">
      <c r="B66" s="210" t="s">
        <v>69</v>
      </c>
      <c r="C66" s="192" t="s">
        <v>575</v>
      </c>
      <c r="D66" s="192"/>
      <c r="E66" s="191" t="s">
        <v>54</v>
      </c>
      <c r="F66" s="211" t="s">
        <v>424</v>
      </c>
      <c r="G66" s="191" t="s">
        <v>49</v>
      </c>
      <c r="H66" s="212"/>
      <c r="I66" s="191" t="s">
        <v>72</v>
      </c>
      <c r="J66" s="213">
        <f>_xlfn.IFNA(VLOOKUP(F66,调卡用表!$J$4:$K$33,2,0),0)</f>
        <v>4.0</v>
      </c>
      <c r="K66" s="161"/>
      <c r="L66" s="214" t="s">
        <v>69</v>
      </c>
      <c r="M66" s="199"/>
      <c r="N66" s="199"/>
      <c r="O66" s="198" t="s">
        <v>54</v>
      </c>
      <c r="P66" s="215" t="s">
        <v>94</v>
      </c>
      <c r="Q66" s="198" t="s">
        <v>49</v>
      </c>
      <c r="R66" s="216"/>
      <c r="S66" s="198" t="s">
        <v>72</v>
      </c>
      <c r="T66" s="217"/>
    </row>
    <row r="67" spans="8:8">
      <c r="B67" s="188" t="s">
        <v>75</v>
      </c>
      <c r="C67" s="189" t="s">
        <v>585</v>
      </c>
      <c r="D67" s="190"/>
      <c r="E67" s="191" t="s">
        <v>76</v>
      </c>
      <c r="F67" s="192" t="s">
        <v>95</v>
      </c>
      <c r="G67" s="192"/>
      <c r="H67" s="191" t="s">
        <v>78</v>
      </c>
      <c r="I67" s="193" t="s">
        <v>459</v>
      </c>
      <c r="J67" s="218" t="s">
        <v>459</v>
      </c>
      <c r="K67" s="161"/>
      <c r="L67" s="195" t="s">
        <v>75</v>
      </c>
      <c r="M67" s="196"/>
      <c r="N67" s="197"/>
      <c r="O67" s="198" t="s">
        <v>76</v>
      </c>
      <c r="P67" s="199"/>
      <c r="Q67" s="199"/>
      <c r="R67" s="198" t="s">
        <v>78</v>
      </c>
      <c r="S67" s="200"/>
      <c r="T67" s="201"/>
    </row>
    <row r="68" spans="8:8">
      <c r="B68" s="188"/>
      <c r="C68" s="202"/>
      <c r="D68" s="203"/>
      <c r="E68" s="191" t="s">
        <v>80</v>
      </c>
      <c r="F68" s="192" t="s">
        <v>81</v>
      </c>
      <c r="G68" s="192"/>
      <c r="H68" s="191" t="s">
        <v>82</v>
      </c>
      <c r="I68" s="193" t="s">
        <v>459</v>
      </c>
      <c r="J68" s="204" t="str">
        <f>IF(F68="常驻","每日","每次")</f>
        <v>每日</v>
      </c>
      <c r="K68" s="161"/>
      <c r="L68" s="195"/>
      <c r="M68" s="205"/>
      <c r="N68" s="206"/>
      <c r="O68" s="198" t="s">
        <v>80</v>
      </c>
      <c r="P68" s="199"/>
      <c r="Q68" s="199"/>
      <c r="R68" s="198" t="s">
        <v>82</v>
      </c>
      <c r="S68" s="200"/>
      <c r="T68" s="207"/>
    </row>
    <row r="69" spans="8:8" ht="25.0" customHeight="1">
      <c r="B69" s="188" t="s">
        <v>83</v>
      </c>
      <c r="C69" s="192" t="s">
        <v>584</v>
      </c>
      <c r="D69" s="192"/>
      <c r="E69" s="192"/>
      <c r="F69" s="192"/>
      <c r="G69" s="192"/>
      <c r="H69" s="192"/>
      <c r="I69" s="192"/>
      <c r="J69" s="208"/>
      <c r="K69" s="161"/>
      <c r="L69" s="195" t="s">
        <v>83</v>
      </c>
      <c r="M69" s="199"/>
      <c r="N69" s="199"/>
      <c r="O69" s="199"/>
      <c r="P69" s="199"/>
      <c r="Q69" s="199"/>
      <c r="R69" s="199"/>
      <c r="S69" s="199"/>
      <c r="T69" s="209"/>
    </row>
    <row r="70" spans="8:8" ht="25.0" customHeight="1">
      <c r="B70" s="188"/>
      <c r="C70" s="192"/>
      <c r="D70" s="192"/>
      <c r="E70" s="192"/>
      <c r="F70" s="192"/>
      <c r="G70" s="192"/>
      <c r="H70" s="192"/>
      <c r="I70" s="192"/>
      <c r="J70" s="208"/>
      <c r="K70" s="161"/>
      <c r="L70" s="195"/>
      <c r="M70" s="199"/>
      <c r="N70" s="199"/>
      <c r="O70" s="199"/>
      <c r="P70" s="199"/>
      <c r="Q70" s="199"/>
      <c r="R70" s="199"/>
      <c r="S70" s="199"/>
      <c r="T70" s="209"/>
    </row>
    <row r="71" spans="8:8" ht="25.0" customHeight="1">
      <c r="B71" s="188"/>
      <c r="C71" s="192"/>
      <c r="D71" s="192"/>
      <c r="E71" s="192"/>
      <c r="F71" s="192"/>
      <c r="G71" s="192"/>
      <c r="H71" s="192"/>
      <c r="I71" s="192"/>
      <c r="J71" s="208"/>
      <c r="K71" s="161"/>
      <c r="L71" s="195"/>
      <c r="M71" s="199"/>
      <c r="N71" s="199"/>
      <c r="O71" s="199"/>
      <c r="P71" s="199"/>
      <c r="Q71" s="199"/>
      <c r="R71" s="199"/>
      <c r="S71" s="199"/>
      <c r="T71" s="209"/>
    </row>
    <row r="72" spans="8:8" ht="20.0" customHeight="1">
      <c r="B72" s="188" t="s">
        <v>86</v>
      </c>
      <c r="C72" s="192" t="s">
        <v>586</v>
      </c>
      <c r="D72" s="192"/>
      <c r="E72" s="192"/>
      <c r="F72" s="192"/>
      <c r="G72" s="192"/>
      <c r="H72" s="192"/>
      <c r="I72" s="192"/>
      <c r="J72" s="208"/>
      <c r="K72" s="161"/>
      <c r="L72" s="195" t="s">
        <v>86</v>
      </c>
      <c r="M72" s="199"/>
      <c r="N72" s="199"/>
      <c r="O72" s="199"/>
      <c r="P72" s="199"/>
      <c r="Q72" s="199"/>
      <c r="R72" s="199"/>
      <c r="S72" s="199"/>
      <c r="T72" s="209"/>
    </row>
    <row r="73" spans="8:8" ht="20.0" customHeight="1">
      <c r="B73" s="188"/>
      <c r="C73" s="192"/>
      <c r="D73" s="192"/>
      <c r="E73" s="192"/>
      <c r="F73" s="192"/>
      <c r="G73" s="192"/>
      <c r="H73" s="192"/>
      <c r="I73" s="192"/>
      <c r="J73" s="208"/>
      <c r="K73" s="161"/>
      <c r="L73" s="195"/>
      <c r="M73" s="199"/>
      <c r="N73" s="199"/>
      <c r="O73" s="199"/>
      <c r="P73" s="199"/>
      <c r="Q73" s="199"/>
      <c r="R73" s="199"/>
      <c r="S73" s="199"/>
      <c r="T73" s="209"/>
    </row>
    <row r="74" spans="8:8" ht="20.0" customHeight="1">
      <c r="B74" s="219"/>
      <c r="C74" s="220"/>
      <c r="D74" s="220"/>
      <c r="E74" s="220"/>
      <c r="F74" s="220"/>
      <c r="G74" s="220"/>
      <c r="H74" s="220"/>
      <c r="I74" s="220"/>
      <c r="J74" s="221"/>
      <c r="K74" s="161"/>
      <c r="L74" s="222"/>
      <c r="M74" s="223"/>
      <c r="N74" s="223"/>
      <c r="O74" s="223"/>
      <c r="P74" s="223"/>
      <c r="Q74" s="223"/>
      <c r="R74" s="223"/>
      <c r="S74" s="223"/>
      <c r="T74" s="224"/>
    </row>
    <row r="75" spans="8:8">
      <c r="B75"/>
    </row>
    <row r="81" spans="8:8" ht="15.65" customHeight="1"/>
    <row r="82" spans="8:8" ht="15.65" customHeight="1"/>
    <row r="83" spans="8:8" ht="15.65" customHeight="1"/>
    <row r="84" spans="8:8" ht="15.65" customHeight="1"/>
    <row r="85" spans="8:8" ht="15.65" customHeight="1"/>
    <row r="86" spans="8:8" ht="15.65" customHeight="1"/>
    <row r="87" spans="8:8" ht="15.65" customHeight="1"/>
    <row r="88" spans="8:8" ht="15.65" customHeight="1"/>
    <row r="89" spans="8:8" ht="15.65" customHeight="1"/>
    <row r="90" spans="8:8" ht="15.65" customHeight="1"/>
    <row r="91" spans="8:8" ht="15.65" customHeight="1"/>
    <row r="92" spans="8:8" ht="15.65" customHeight="1"/>
    <row r="93" spans="8:8" ht="15.65" customHeight="1"/>
    <row r="102" spans="8:8" ht="15.65" customHeight="1"/>
  </sheetData>
  <sheetProtection sheet="0" formatColumns="0" formatRows="0" insertColumns="0" insertRows="0" insertHyperlinks="0"/>
  <mergeCells count="142">
    <mergeCell ref="M72:T74"/>
    <mergeCell ref="N3:O3"/>
    <mergeCell ref="L41:L43"/>
    <mergeCell ref="L2:O2"/>
    <mergeCell ref="C29:D29"/>
    <mergeCell ref="L60:L62"/>
    <mergeCell ref="F67:G67"/>
    <mergeCell ref="B60:B62"/>
    <mergeCell ref="B19:J19"/>
    <mergeCell ref="N8:O8"/>
    <mergeCell ref="M51:T53"/>
    <mergeCell ref="M57:N57"/>
    <mergeCell ref="M39:N40"/>
    <mergeCell ref="M49:N50"/>
    <mergeCell ref="M41:T43"/>
    <mergeCell ref="N10:O10"/>
    <mergeCell ref="L23:L25"/>
    <mergeCell ref="B69:B71"/>
    <mergeCell ref="C72:J74"/>
    <mergeCell ref="B72:B74"/>
    <mergeCell ref="C26:J28"/>
    <mergeCell ref="F31:G31"/>
    <mergeCell ref="C38:D38"/>
    <mergeCell ref="C32:J34"/>
    <mergeCell ref="B32:B34"/>
    <mergeCell ref="E2:G2"/>
    <mergeCell ref="L4:M4"/>
    <mergeCell ref="M54:T56"/>
    <mergeCell ref="M67:N68"/>
    <mergeCell ref="L5:M5"/>
    <mergeCell ref="N4:O4"/>
    <mergeCell ref="H2:J2"/>
    <mergeCell ref="M21:N22"/>
    <mergeCell ref="C69:J71"/>
    <mergeCell ref="B26:B28"/>
    <mergeCell ref="F9:G9"/>
    <mergeCell ref="B2:D2"/>
    <mergeCell ref="P21:Q21"/>
    <mergeCell ref="L39:L40"/>
    <mergeCell ref="L11:M11"/>
    <mergeCell ref="M30:N31"/>
    <mergeCell ref="M38:N38"/>
    <mergeCell ref="L26:L28"/>
    <mergeCell ref="M26:T28"/>
    <mergeCell ref="L72:L74"/>
    <mergeCell ref="B39:B40"/>
    <mergeCell ref="L30:L31"/>
    <mergeCell ref="M60:T62"/>
    <mergeCell ref="L8:M8"/>
    <mergeCell ref="N5:O5"/>
    <mergeCell ref="B44:B46"/>
    <mergeCell ref="L69:L71"/>
    <mergeCell ref="P39:Q39"/>
    <mergeCell ref="B23:B25"/>
    <mergeCell ref="F59:G59"/>
    <mergeCell ref="L35:L37"/>
    <mergeCell ref="B6:D13"/>
    <mergeCell ref="B5:D5"/>
    <mergeCell ref="B3:D4"/>
    <mergeCell ref="H3:J13"/>
    <mergeCell ref="E3:G8"/>
    <mergeCell ref="C35:J37"/>
    <mergeCell ref="L54:L56"/>
    <mergeCell ref="C63:J65"/>
    <mergeCell ref="F49:G49"/>
    <mergeCell ref="L51:L53"/>
    <mergeCell ref="L44:L46"/>
    <mergeCell ref="C20:D20"/>
    <mergeCell ref="M20:N20"/>
    <mergeCell ref="M32:T34"/>
    <mergeCell ref="C21:D22"/>
    <mergeCell ref="C49:D50"/>
    <mergeCell ref="B30:B31"/>
    <mergeCell ref="C48:D48"/>
    <mergeCell ref="M44:T46"/>
    <mergeCell ref="L47:T47"/>
    <mergeCell ref="M35:T37"/>
    <mergeCell ref="L63:L65"/>
    <mergeCell ref="F30:G30"/>
    <mergeCell ref="B51:B53"/>
    <mergeCell ref="C54:J56"/>
    <mergeCell ref="C58:D59"/>
    <mergeCell ref="F40:G40"/>
    <mergeCell ref="P68:Q68"/>
    <mergeCell ref="F39:G39"/>
    <mergeCell ref="P59:Q59"/>
    <mergeCell ref="P49:Q49"/>
    <mergeCell ref="P40:Q40"/>
    <mergeCell ref="P58:Q58"/>
    <mergeCell ref="M63:T65"/>
    <mergeCell ref="L3:M3"/>
    <mergeCell ref="P31:Q31"/>
    <mergeCell ref="N9:O9"/>
    <mergeCell ref="L10:M10"/>
    <mergeCell ref="P30:Q30"/>
    <mergeCell ref="L13:O14"/>
    <mergeCell ref="L6:M7"/>
    <mergeCell ref="M48:N48"/>
    <mergeCell ref="M23:T25"/>
    <mergeCell ref="L49:L50"/>
    <mergeCell ref="C60:J62"/>
    <mergeCell ref="C23:J25"/>
    <mergeCell ref="B41:B43"/>
    <mergeCell ref="M69:T71"/>
    <mergeCell ref="L9:M9"/>
    <mergeCell ref="B67:B68"/>
    <mergeCell ref="F50:G50"/>
    <mergeCell ref="B35:B37"/>
    <mergeCell ref="C66:D66"/>
    <mergeCell ref="F68:G68"/>
    <mergeCell ref="B49:B50"/>
    <mergeCell ref="F10:G10"/>
    <mergeCell ref="P22:Q22"/>
    <mergeCell ref="L32:L34"/>
    <mergeCell ref="L19:T19"/>
    <mergeCell ref="F21:G21"/>
    <mergeCell ref="F13:G13"/>
    <mergeCell ref="M58:N59"/>
    <mergeCell ref="L21:L22"/>
    <mergeCell ref="N11:O11"/>
    <mergeCell ref="M66:N66"/>
    <mergeCell ref="L58:L59"/>
    <mergeCell ref="L67:L68"/>
    <mergeCell ref="L12:O12"/>
    <mergeCell ref="P50:Q50"/>
    <mergeCell ref="P67:Q67"/>
    <mergeCell ref="B21:B22"/>
    <mergeCell ref="C51:J53"/>
    <mergeCell ref="F58:G58"/>
    <mergeCell ref="C30:D31"/>
    <mergeCell ref="C39:D40"/>
    <mergeCell ref="C57:D57"/>
    <mergeCell ref="M29:N29"/>
    <mergeCell ref="E11:E12"/>
    <mergeCell ref="B47:J47"/>
    <mergeCell ref="B58:B59"/>
    <mergeCell ref="F22:G22"/>
    <mergeCell ref="B63:B65"/>
    <mergeCell ref="C44:J46"/>
    <mergeCell ref="C41:J43"/>
    <mergeCell ref="C67:D68"/>
    <mergeCell ref="B54:B56"/>
  </mergeCells>
  <conditionalFormatting sqref="C18:I18">
    <cfRule type="cellIs" operator="notEqual" priority="7" dxfId="0">
      <formula>0</formula>
    </cfRule>
  </conditionalFormatting>
  <conditionalFormatting sqref="J20 T20 J29 T29 J38 T38 J48 T48 J57 T57 J66 T66">
    <cfRule type="cellIs" operator="equal" priority="4" dxfId="1">
      <formula>0</formula>
    </cfRule>
  </conditionalFormatting>
  <conditionalFormatting sqref="N3:O11">
    <cfRule type="cellIs" operator="equal" priority="3" dxfId="2">
      <formula>0</formula>
    </cfRule>
  </conditionalFormatting>
  <conditionalFormatting sqref="C16:I16">
    <cfRule type="cellIs" operator="notEqual" priority="5" dxfId="3">
      <formula>0</formula>
    </cfRule>
  </conditionalFormatting>
  <dataValidations count="12">
    <dataValidation allowBlank="1" type="any" operator="between" errorStyle="stop" showInputMessage="1" showErrorMessage="1" sqref="N4:O4"/>
    <dataValidation allowBlank="1" type="any" operator="between" errorStyle="stop" showInputMessage="1" showErrorMessage="1" sqref="N11:O11"/>
    <dataValidation allowBlank="1" type="any" operator="between" errorStyle="stop" showInputMessage="1" showErrorMessage="1" sqref="N6:O7"/>
    <dataValidation allowBlank="1" type="list" errorStyle="stop" showInputMessage="1" showErrorMessage="1" sqref="N8:O8">
      <formula1>"过去,现在,未来,虚造,异闻带"</formula1>
    </dataValidation>
    <dataValidation allowBlank="1" type="list" errorStyle="stop" showInputMessage="1" showErrorMessage="1" sqref="F10:G10">
      <formula1>"神灵,英灵,幻灵,精灵,亡灵,守护者"</formula1>
    </dataValidation>
    <dataValidation allowBlank="1" type="list" errorStyle="stop" showInputMessage="1" showErrorMessage="1" sqref="F13:G13">
      <formula1>"袖珍,通常,巨大,超巨大"</formula1>
    </dataValidation>
    <dataValidation allowBlank="1" type="list" errorStyle="stop" showInputMessage="1" showErrorMessage="1" sqref="C17">
      <formula1>"70,60,50,40,30"</formula1>
    </dataValidation>
    <dataValidation allowBlank="1" type="decimal" operator="between" errorStyle="warning" showInputMessage="1" sqref="F18">
      <formula1>0</formula1>
      <formula2>E17</formula2>
    </dataValidation>
    <dataValidation allowBlank="1" type="list" errorStyle="stop" showInputMessage="1" showErrorMessage="1" sqref="F12:G12">
      <formula1>"人型,神性,魔性,龙种,猛兽,魔兽,构装体"</formula1>
    </dataValidation>
    <dataValidation allowBlank="1" type="list" errorStyle="stop" showInputMessage="1" showErrorMessage="1" sqref="F11">
      <formula1>"人型,神性,魔性,龙种,猛兽,魔兽,构装体"</formula1>
    </dataValidation>
    <dataValidation allowBlank="1" type="list" errorStyle="stop" showInputMessage="1" showErrorMessage="1" sqref="G11">
      <formula1>"人型,神性,魔性,龙种,猛兽,魔兽,构装体,幻兽"</formula1>
    </dataValidation>
    <dataValidation allowBlank="1" type="list" errorStyle="stop" showInputMessage="1" showErrorMessage="1" sqref="F9:G9">
      <formula1>"Saber,Saber(骑乘),Lancer,Archer,Rider,Caster,Assassin,Berserker,Shielder"</formula1>
    </dataValidation>
  </dataValidations>
  <pageMargins left="0.699305555555556" right="0.699305555555556" top="0.75" bottom="0.75" header="0.3" footer="0.3"/>
  <pageSetup paperSize="9" scale="88"/>
  <legacyDrawing r:id="rId1"/>
</worksheet>
</file>

<file path=xl/worksheets/sheet3.xml><?xml version="1.0" encoding="utf-8"?>
<worksheet xmlns:r="http://schemas.openxmlformats.org/officeDocument/2006/relationships" xmlns="http://schemas.openxmlformats.org/spreadsheetml/2006/main">
  <dimension ref="B1:AL107"/>
  <sheetViews>
    <sheetView workbookViewId="0" topLeftCell="B4" showGridLines="0" zoomScale="56">
      <selection activeCell="G84" sqref="G84"/>
    </sheetView>
  </sheetViews>
  <sheetFormatPr defaultRowHeight="15.0" defaultColWidth="10"/>
  <cols>
    <col min="1" max="1" customWidth="1" width="5.5820312" style="0"/>
    <col min="2" max="2" customWidth="1" width="9.8828125" style="0"/>
    <col min="3" max="3" customWidth="1" width="9.84375" style="0"/>
    <col min="4" max="4" customWidth="1" width="9.84375" style="0"/>
    <col min="5" max="5" customWidth="1" width="9.84375" style="0"/>
    <col min="6" max="6" customWidth="1" width="9.84375" style="0"/>
    <col min="7" max="7" customWidth="1" width="9.84375" style="0"/>
    <col min="8" max="8" customWidth="1" width="9.84375" style="0"/>
    <col min="9" max="9" customWidth="1" width="9.84375" style="0"/>
    <col min="10" max="10" customWidth="1" width="9.84375" style="0"/>
    <col min="11" max="11" customWidth="1" width="5.5820312" style="0"/>
    <col min="21" max="21" customWidth="1" width="5.5820312" style="0"/>
  </cols>
  <sheetData>
    <row r="1" spans="8:8" ht="15.65" customHeight="1">
      <c r="I1" s="225"/>
    </row>
    <row r="2" spans="8:8" ht="15.65" customHeight="1">
      <c r="B2" s="226" t="s">
        <v>100</v>
      </c>
      <c r="C2" s="227"/>
      <c r="D2" s="227"/>
      <c r="E2" s="227"/>
      <c r="F2" s="227"/>
      <c r="G2" s="227"/>
      <c r="H2" s="227"/>
      <c r="I2" s="227"/>
      <c r="J2" s="228"/>
      <c r="K2" s="229"/>
      <c r="L2" s="230" t="s">
        <v>101</v>
      </c>
      <c r="M2" s="231"/>
      <c r="N2" s="231"/>
      <c r="O2" s="231"/>
      <c r="P2" s="231"/>
      <c r="Q2" s="231"/>
      <c r="R2" s="231"/>
      <c r="S2" s="231"/>
      <c r="T2" s="232"/>
    </row>
    <row r="3" spans="8:8" ht="15.65" customHeight="1">
      <c r="B3" s="233" t="s">
        <v>609</v>
      </c>
      <c r="C3" s="234"/>
      <c r="D3" s="234"/>
      <c r="E3" s="234"/>
      <c r="F3" s="234"/>
      <c r="G3" s="234"/>
      <c r="H3" s="234"/>
      <c r="I3" s="234"/>
      <c r="J3" s="235"/>
      <c r="K3" s="7"/>
      <c r="L3" s="236" t="s">
        <v>604</v>
      </c>
      <c r="M3" s="237"/>
      <c r="N3" s="237"/>
      <c r="O3" s="237"/>
      <c r="P3" s="237"/>
      <c r="Q3" s="237"/>
      <c r="R3" s="237"/>
      <c r="S3" s="237"/>
      <c r="T3" s="238"/>
    </row>
    <row r="4" spans="8:8" ht="15.65" customHeight="1">
      <c r="B4" s="233"/>
      <c r="C4" s="234"/>
      <c r="D4" s="234"/>
      <c r="E4" s="234"/>
      <c r="F4" s="234"/>
      <c r="G4" s="234"/>
      <c r="H4" s="234"/>
      <c r="I4" s="234"/>
      <c r="J4" s="235"/>
      <c r="K4" s="7"/>
      <c r="L4" s="239"/>
      <c r="M4" s="237"/>
      <c r="N4" s="237"/>
      <c r="O4" s="237"/>
      <c r="P4" s="237"/>
      <c r="Q4" s="237"/>
      <c r="R4" s="237"/>
      <c r="S4" s="237"/>
      <c r="T4" s="238"/>
    </row>
    <row r="5" spans="8:8" ht="15.65" customHeight="1">
      <c r="B5" s="240"/>
      <c r="C5" s="241"/>
      <c r="D5" s="241"/>
      <c r="E5" s="241"/>
      <c r="F5" s="241"/>
      <c r="G5" s="241"/>
      <c r="H5" s="241"/>
      <c r="I5" s="241"/>
      <c r="J5" s="242"/>
      <c r="K5" s="7"/>
      <c r="L5" s="239"/>
      <c r="M5" s="237"/>
      <c r="N5" s="237"/>
      <c r="O5" s="237"/>
      <c r="P5" s="237"/>
      <c r="Q5" s="237"/>
      <c r="R5" s="237"/>
      <c r="S5" s="237"/>
      <c r="T5" s="238"/>
    </row>
    <row r="6" spans="8:8" ht="15.65" customHeight="1">
      <c r="B6" s="243" t="s">
        <v>35</v>
      </c>
      <c r="C6" s="244" t="s">
        <v>36</v>
      </c>
      <c r="D6" s="244" t="s">
        <v>54</v>
      </c>
      <c r="E6" s="244" t="s">
        <v>55</v>
      </c>
      <c r="F6" s="244" t="s">
        <v>103</v>
      </c>
      <c r="G6" s="244" t="s">
        <v>57</v>
      </c>
      <c r="H6" s="244" t="s">
        <v>58</v>
      </c>
      <c r="I6" s="244" t="s">
        <v>59</v>
      </c>
      <c r="J6" s="245" t="s">
        <v>60</v>
      </c>
      <c r="K6" s="7"/>
      <c r="L6" s="239"/>
      <c r="M6" s="237"/>
      <c r="N6" s="237"/>
      <c r="O6" s="237"/>
      <c r="P6" s="237"/>
      <c r="Q6" s="237"/>
      <c r="R6" s="237"/>
      <c r="S6" s="237"/>
      <c r="T6" s="238"/>
    </row>
    <row r="7" spans="8:8" ht="15.65" customHeight="1">
      <c r="B7" s="246" t="str">
        <f>'角色卡 '!F9</f>
        <v>Shielder</v>
      </c>
      <c r="C7" s="247" t="s">
        <v>46</v>
      </c>
      <c r="D7" s="247">
        <f>'角色卡 '!C15</f>
        <v>40.0</v>
      </c>
      <c r="E7" s="247" t="str">
        <f>_xlfn.IFS('角色卡 '!$D$15&lt;21,"E",'角色卡 '!$D$15&lt;41,"D",'角色卡 '!$D$15&lt;61,"C",'角色卡 '!$D$15&lt;81,"B",'角色卡 '!$D$15&lt;101,"A",'角色卡 '!$D$15&lt;121,"A+",'角色卡 '!$D$15&gt;120,"EX")</f>
        <v>D</v>
      </c>
      <c r="F7" s="247" t="str">
        <f>_xlfn.IFS('角色卡 '!$E$15&lt;21,"E",'角色卡 '!$E$15&lt;41,"D",'角色卡 '!$E$15&lt;61,"C",'角色卡 '!$E$15&lt;81,"B",'角色卡 '!$E$15&lt;101,"A",'角色卡 '!$E$15&lt;121,"A+",'角色卡 '!$E$15&gt;120,"EX")</f>
        <v>D</v>
      </c>
      <c r="G7" s="247" t="str">
        <f>_xlfn.IFS('角色卡 '!$F$15&lt;21,"E",'角色卡 '!$F$15&lt;41,"D",'角色卡 '!$F$15&lt;61,"C",'角色卡 '!$F$15&lt;81,"B",'角色卡 '!$F$15&lt;101,"A",'角色卡 '!$F$15&lt;121,"A+",'角色卡 '!$F$15&gt;120,"EX")</f>
        <v>E</v>
      </c>
      <c r="H7" s="247" t="str">
        <f>_xlfn.IFS('角色卡 '!$G$15&lt;21,"E",'角色卡 '!$G$15&lt;41,"D",'角色卡 '!$G$15&lt;61,"C",'角色卡 '!$G$15&lt;81,"B",'角色卡 '!$G$15&lt;101,"A",'角色卡 '!$G$15&lt;121,"A+",'角色卡 '!$G$15&gt;120,"EX")</f>
        <v>D</v>
      </c>
      <c r="I7" s="247" t="str">
        <f>_xlfn.IFS('角色卡 '!$H$15&lt;21,"E",'角色卡 '!$H$15&lt;41,"D",'角色卡 '!$H$15&lt;61,"C",'角色卡 '!$H$15&lt;81,"B",'角色卡 '!$H$15&lt;101,"A",'角色卡 '!$H$15&lt;121,"A+",'角色卡 '!$H$15&gt;120,"EX")</f>
        <v>B</v>
      </c>
      <c r="J7" s="248" t="str">
        <f>_xlfn.IFS('角色卡 '!$I$15&lt;11,"E",'角色卡 '!$I$15&lt;21,"D",'角色卡 '!$I$15&lt;31,"C",'角色卡 '!$I$15&lt;41,"B",'角色卡 '!$I$15&lt;51,"A",'角色卡 '!$I$15&lt;56,"A+",'角色卡 '!$I$15&gt;55,"EX")</f>
        <v>A</v>
      </c>
      <c r="K7" s="7"/>
      <c r="L7" s="239"/>
      <c r="M7" s="237"/>
      <c r="N7" s="237"/>
      <c r="O7" s="237"/>
      <c r="P7" s="237"/>
      <c r="Q7" s="237"/>
      <c r="R7" s="237"/>
      <c r="S7" s="237"/>
      <c r="T7" s="238"/>
    </row>
    <row r="8" spans="8:8" ht="15.65" customHeight="1">
      <c r="B8" s="249" t="s">
        <v>47</v>
      </c>
      <c r="C8" s="250" t="str">
        <f>C27</f>
        <v>女</v>
      </c>
      <c r="D8" s="250"/>
      <c r="E8" s="251" t="s">
        <v>104</v>
      </c>
      <c r="F8" s="252"/>
      <c r="G8" s="253"/>
      <c r="H8" s="253"/>
      <c r="I8" s="253"/>
      <c r="J8" s="254"/>
      <c r="K8" s="7"/>
      <c r="L8" s="239"/>
      <c r="M8" s="237"/>
      <c r="N8" s="237"/>
      <c r="O8" s="237"/>
      <c r="P8" s="237"/>
      <c r="Q8" s="237"/>
      <c r="R8" s="237"/>
      <c r="S8" s="237"/>
      <c r="T8" s="238"/>
    </row>
    <row r="9" spans="8:8" ht="15.65" customHeight="1">
      <c r="B9" s="255" t="s">
        <v>105</v>
      </c>
      <c r="C9" s="237" t="s">
        <v>607</v>
      </c>
      <c r="D9" s="237"/>
      <c r="E9" s="256" t="s">
        <v>619</v>
      </c>
      <c r="F9" s="256"/>
      <c r="G9" s="257"/>
      <c r="H9" s="257"/>
      <c r="I9" s="257"/>
      <c r="J9" s="258"/>
      <c r="K9" s="7"/>
      <c r="L9" s="239"/>
      <c r="M9" s="237"/>
      <c r="N9" s="237"/>
      <c r="O9" s="237"/>
      <c r="P9" s="237"/>
      <c r="Q9" s="237"/>
      <c r="R9" s="237"/>
      <c r="S9" s="237"/>
      <c r="T9" s="238"/>
    </row>
    <row r="10" spans="8:8" ht="15.65" customHeight="1">
      <c r="B10" s="255" t="s">
        <v>106</v>
      </c>
      <c r="C10" s="237" t="s">
        <v>608</v>
      </c>
      <c r="D10" s="237"/>
      <c r="E10" s="256"/>
      <c r="F10" s="256"/>
      <c r="G10" s="256"/>
      <c r="H10" s="256"/>
      <c r="I10" s="256"/>
      <c r="J10" s="259"/>
      <c r="K10" s="7"/>
      <c r="L10" s="239"/>
      <c r="M10" s="237"/>
      <c r="N10" s="237"/>
      <c r="O10" s="237"/>
      <c r="P10" s="237"/>
      <c r="Q10" s="237"/>
      <c r="R10" s="237"/>
      <c r="S10" s="237"/>
      <c r="T10" s="238"/>
    </row>
    <row r="11" spans="8:8" ht="15.65" customHeight="1">
      <c r="B11" s="260" t="s">
        <v>107</v>
      </c>
      <c r="C11" s="261"/>
      <c r="D11" s="261"/>
      <c r="E11" s="262" t="s">
        <v>108</v>
      </c>
      <c r="F11" s="263"/>
      <c r="G11" s="264"/>
      <c r="H11" s="264"/>
      <c r="I11" s="264"/>
      <c r="J11" s="265"/>
      <c r="K11" s="7"/>
      <c r="L11" s="239"/>
      <c r="M11" s="237"/>
      <c r="N11" s="237"/>
      <c r="O11" s="237"/>
      <c r="P11" s="237"/>
      <c r="Q11" s="237"/>
      <c r="R11" s="237"/>
      <c r="S11" s="237"/>
      <c r="T11" s="238"/>
    </row>
    <row r="12" spans="8:8" ht="15.65" customHeight="1">
      <c r="B12" s="266" t="s">
        <v>597</v>
      </c>
      <c r="C12" s="267"/>
      <c r="D12" s="267"/>
      <c r="E12" s="268" t="s">
        <v>616</v>
      </c>
      <c r="F12" s="268"/>
      <c r="G12" s="269"/>
      <c r="H12" s="269"/>
      <c r="I12" s="269"/>
      <c r="J12" s="270"/>
      <c r="K12" s="7"/>
      <c r="L12" s="239"/>
      <c r="M12" s="237"/>
      <c r="N12" s="237"/>
      <c r="O12" s="237"/>
      <c r="P12" s="237"/>
      <c r="Q12" s="237"/>
      <c r="R12" s="237"/>
      <c r="S12" s="237"/>
      <c r="T12" s="238"/>
    </row>
    <row r="13" spans="8:8" ht="15.65" customHeight="1">
      <c r="B13" s="266"/>
      <c r="C13" s="267"/>
      <c r="D13" s="267"/>
      <c r="E13" s="268"/>
      <c r="F13" s="268"/>
      <c r="G13" s="268"/>
      <c r="H13" s="268"/>
      <c r="I13" s="268"/>
      <c r="J13" s="271"/>
      <c r="K13" s="7"/>
      <c r="L13" s="239"/>
      <c r="M13" s="237"/>
      <c r="N13" s="237"/>
      <c r="O13" s="237"/>
      <c r="P13" s="237"/>
      <c r="Q13" s="237"/>
      <c r="R13" s="237"/>
      <c r="S13" s="237"/>
      <c r="T13" s="238"/>
    </row>
    <row r="14" spans="8:8" ht="15.65" customHeight="1">
      <c r="B14" s="272" t="s">
        <v>30</v>
      </c>
      <c r="C14" s="273"/>
      <c r="D14" s="273"/>
      <c r="E14" s="262" t="s">
        <v>109</v>
      </c>
      <c r="F14" s="263"/>
      <c r="G14" s="264"/>
      <c r="H14" s="264"/>
      <c r="I14" s="264"/>
      <c r="J14" s="265"/>
      <c r="K14" s="7"/>
      <c r="L14" s="239"/>
      <c r="M14" s="237"/>
      <c r="N14" s="237"/>
      <c r="O14" s="237"/>
      <c r="P14" s="237"/>
      <c r="Q14" s="237"/>
      <c r="R14" s="237"/>
      <c r="S14" s="237"/>
      <c r="T14" s="238"/>
    </row>
    <row r="15" spans="8:8" ht="15.65" customHeight="1">
      <c r="B15" s="274" t="s">
        <v>110</v>
      </c>
      <c r="C15" s="275"/>
      <c r="D15" s="275"/>
      <c r="E15" s="276" t="s">
        <v>617</v>
      </c>
      <c r="F15" s="276"/>
      <c r="G15" s="277"/>
      <c r="H15" s="277"/>
      <c r="I15" s="277"/>
      <c r="J15" s="278"/>
      <c r="K15" s="7"/>
      <c r="L15" s="239"/>
      <c r="M15" s="237"/>
      <c r="N15" s="237"/>
      <c r="O15" s="237"/>
      <c r="P15" s="237"/>
      <c r="Q15" s="237"/>
      <c r="R15" s="237"/>
      <c r="S15" s="237"/>
      <c r="T15" s="238"/>
    </row>
    <row r="16" spans="8:8" ht="15.65" customHeight="1">
      <c r="B16" s="279"/>
      <c r="C16" s="280"/>
      <c r="D16" s="280"/>
      <c r="E16" s="281"/>
      <c r="F16" s="281"/>
      <c r="G16" s="281"/>
      <c r="H16" s="281"/>
      <c r="I16" s="281"/>
      <c r="J16" s="282"/>
      <c r="K16" s="7"/>
      <c r="L16" s="239"/>
      <c r="M16" s="237"/>
      <c r="N16" s="237"/>
      <c r="O16" s="237"/>
      <c r="P16" s="237"/>
      <c r="Q16" s="237"/>
      <c r="R16" s="237"/>
      <c r="S16" s="237"/>
      <c r="T16" s="238"/>
    </row>
    <row r="17" spans="8:8" ht="15.65" customHeight="1">
      <c r="B17" s="283"/>
      <c r="C17" s="284"/>
      <c r="D17" s="284"/>
      <c r="E17" s="285" t="s">
        <v>112</v>
      </c>
      <c r="F17" s="285"/>
      <c r="G17" s="285"/>
      <c r="H17" s="286"/>
      <c r="I17" s="287"/>
      <c r="J17" s="288"/>
      <c r="K17" s="7"/>
      <c r="L17" s="239"/>
      <c r="M17" s="237"/>
      <c r="N17" s="237"/>
      <c r="O17" s="237"/>
      <c r="P17" s="237"/>
      <c r="Q17" s="237"/>
      <c r="R17" s="237"/>
      <c r="S17" s="237"/>
      <c r="T17" s="238"/>
    </row>
    <row r="18" spans="8:8" ht="15.65" customHeight="1">
      <c r="B18" s="283"/>
      <c r="C18" s="284"/>
      <c r="D18" s="284"/>
      <c r="E18" s="237" t="s">
        <v>113</v>
      </c>
      <c r="F18" s="237"/>
      <c r="G18" s="237"/>
      <c r="H18" s="286"/>
      <c r="I18" s="287"/>
      <c r="J18" s="288"/>
      <c r="K18" s="7"/>
      <c r="L18" s="239"/>
      <c r="M18" s="237"/>
      <c r="N18" s="237"/>
      <c r="O18" s="237"/>
      <c r="P18" s="237"/>
      <c r="Q18" s="237"/>
      <c r="R18" s="237"/>
      <c r="S18" s="237"/>
      <c r="T18" s="238"/>
    </row>
    <row r="19" spans="8:8" ht="15.65" customHeight="1">
      <c r="B19" s="283"/>
      <c r="C19" s="284"/>
      <c r="D19" s="284"/>
      <c r="E19" s="289" t="s">
        <v>75</v>
      </c>
      <c r="F19" s="289"/>
      <c r="G19" s="289"/>
      <c r="H19" s="286"/>
      <c r="I19" s="287"/>
      <c r="J19" s="288"/>
      <c r="K19" s="7"/>
      <c r="L19" s="239"/>
      <c r="M19" s="237"/>
      <c r="N19" s="237"/>
      <c r="O19" s="237"/>
      <c r="P19" s="237"/>
      <c r="Q19" s="237"/>
      <c r="R19" s="237"/>
      <c r="S19" s="237"/>
      <c r="T19" s="238"/>
    </row>
    <row r="20" spans="8:8" ht="15.65" customHeight="1">
      <c r="B20" s="283"/>
      <c r="C20" s="284"/>
      <c r="D20" s="284"/>
      <c r="E20" s="237"/>
      <c r="F20" s="237"/>
      <c r="G20" s="237"/>
      <c r="H20" s="286"/>
      <c r="I20" s="287"/>
      <c r="J20" s="288"/>
      <c r="K20" s="7"/>
      <c r="L20" s="239"/>
      <c r="M20" s="237"/>
      <c r="N20" s="237"/>
      <c r="O20" s="237"/>
      <c r="P20" s="237"/>
      <c r="Q20" s="237"/>
      <c r="R20" s="237"/>
      <c r="S20" s="237"/>
      <c r="T20" s="238"/>
    </row>
    <row r="21" spans="8:8" ht="15.65" customHeight="1">
      <c r="B21" s="283"/>
      <c r="C21" s="284"/>
      <c r="D21" s="284"/>
      <c r="E21" s="290" t="s">
        <v>114</v>
      </c>
      <c r="F21" s="237"/>
      <c r="G21" s="237"/>
      <c r="H21" s="286"/>
      <c r="I21" s="287"/>
      <c r="J21" s="288"/>
      <c r="K21" s="7"/>
      <c r="L21" s="239"/>
      <c r="M21" s="237"/>
      <c r="N21" s="237"/>
      <c r="O21" s="237"/>
      <c r="P21" s="237"/>
      <c r="Q21" s="237"/>
      <c r="R21" s="237"/>
      <c r="S21" s="237"/>
      <c r="T21" s="238"/>
    </row>
    <row r="22" spans="8:8" ht="15.65" customHeight="1">
      <c r="B22" s="283"/>
      <c r="C22" s="284"/>
      <c r="D22" s="284"/>
      <c r="E22" s="290" t="s">
        <v>115</v>
      </c>
      <c r="F22" s="237"/>
      <c r="G22" s="237"/>
      <c r="H22" s="286"/>
      <c r="I22" s="287"/>
      <c r="J22" s="288"/>
      <c r="K22" s="7"/>
      <c r="L22" s="239"/>
      <c r="M22" s="237"/>
      <c r="N22" s="237"/>
      <c r="O22" s="237"/>
      <c r="P22" s="237"/>
      <c r="Q22" s="237"/>
      <c r="R22" s="237"/>
      <c r="S22" s="237"/>
      <c r="T22" s="238"/>
    </row>
    <row r="23" spans="8:8" ht="15.65" customHeight="1">
      <c r="B23" s="283"/>
      <c r="C23" s="284"/>
      <c r="D23" s="284"/>
      <c r="E23" s="290" t="s">
        <v>116</v>
      </c>
      <c r="F23" s="237"/>
      <c r="G23" s="237"/>
      <c r="H23" s="286"/>
      <c r="I23" s="287"/>
      <c r="J23" s="288"/>
      <c r="K23" s="7"/>
      <c r="L23" s="239"/>
      <c r="M23" s="237"/>
      <c r="N23" s="237"/>
      <c r="O23" s="237"/>
      <c r="P23" s="237"/>
      <c r="Q23" s="237"/>
      <c r="R23" s="237"/>
      <c r="S23" s="237"/>
      <c r="T23" s="238"/>
    </row>
    <row r="24" spans="8:8" ht="15.65" customHeight="1">
      <c r="B24" s="291"/>
      <c r="C24" s="292"/>
      <c r="D24" s="292"/>
      <c r="E24" s="293" t="s">
        <v>117</v>
      </c>
      <c r="F24" s="294"/>
      <c r="G24" s="294"/>
      <c r="H24" s="295"/>
      <c r="I24" s="296"/>
      <c r="J24" s="297"/>
      <c r="K24" s="7"/>
      <c r="L24" s="239"/>
      <c r="M24" s="237"/>
      <c r="N24" s="237"/>
      <c r="O24" s="237"/>
      <c r="P24" s="237"/>
      <c r="Q24" s="237"/>
      <c r="R24" s="237"/>
      <c r="S24" s="237"/>
      <c r="T24" s="238"/>
    </row>
    <row r="25" spans="8:8" ht="15.65" customHeight="1">
      <c r="B25" s="298" t="s">
        <v>118</v>
      </c>
      <c r="C25" s="299" t="s">
        <v>598</v>
      </c>
      <c r="D25" s="300"/>
      <c r="E25" s="301" t="s">
        <v>119</v>
      </c>
      <c r="F25" s="301"/>
      <c r="G25" s="301"/>
      <c r="H25" s="301"/>
      <c r="I25" s="301"/>
      <c r="J25" s="302"/>
      <c r="K25" s="7"/>
      <c r="L25" s="303" t="s">
        <v>120</v>
      </c>
      <c r="M25" s="304"/>
      <c r="N25" s="304"/>
      <c r="O25" s="304"/>
      <c r="P25" s="304"/>
      <c r="Q25" s="304"/>
      <c r="R25" s="304"/>
      <c r="S25" s="304"/>
      <c r="T25" s="305"/>
    </row>
    <row r="26" spans="8:8" ht="15.65" customHeight="1">
      <c r="B26" s="306" t="s">
        <v>121</v>
      </c>
      <c r="C26" s="307" t="s">
        <v>599</v>
      </c>
      <c r="D26" s="308"/>
      <c r="E26" s="309" t="s">
        <v>614</v>
      </c>
      <c r="F26" s="309"/>
      <c r="G26" s="309"/>
      <c r="H26" s="309"/>
      <c r="I26" s="309"/>
      <c r="J26" s="310"/>
      <c r="K26" s="7"/>
      <c r="L26" s="239" t="s">
        <v>605</v>
      </c>
      <c r="M26" s="237"/>
      <c r="N26" s="237"/>
      <c r="O26" s="237"/>
      <c r="P26" s="237"/>
      <c r="Q26" s="237"/>
      <c r="R26" s="237"/>
      <c r="S26" s="237"/>
      <c r="T26" s="238"/>
    </row>
    <row r="27" spans="8:8" ht="15.65" customHeight="1">
      <c r="B27" s="311" t="s">
        <v>47</v>
      </c>
      <c r="C27" s="307" t="s">
        <v>123</v>
      </c>
      <c r="D27" s="308"/>
      <c r="E27" s="309"/>
      <c r="F27" s="309"/>
      <c r="G27" s="309"/>
      <c r="H27" s="309"/>
      <c r="I27" s="309"/>
      <c r="J27" s="310"/>
      <c r="K27" s="7"/>
      <c r="L27" s="239"/>
      <c r="M27" s="237"/>
      <c r="N27" s="237"/>
      <c r="O27" s="237"/>
      <c r="P27" s="237"/>
      <c r="Q27" s="237"/>
      <c r="R27" s="237"/>
      <c r="S27" s="237"/>
      <c r="T27" s="238"/>
    </row>
    <row r="28" spans="8:8" ht="15.65" customHeight="1">
      <c r="B28" s="311" t="s">
        <v>124</v>
      </c>
      <c r="C28" s="307" t="s">
        <v>600</v>
      </c>
      <c r="D28" s="308"/>
      <c r="E28" s="309"/>
      <c r="F28" s="309"/>
      <c r="G28" s="309"/>
      <c r="H28" s="309"/>
      <c r="I28" s="309"/>
      <c r="J28" s="310"/>
      <c r="K28" s="7"/>
      <c r="L28" s="239"/>
      <c r="M28" s="237"/>
      <c r="N28" s="237"/>
      <c r="O28" s="237"/>
      <c r="P28" s="237"/>
      <c r="Q28" s="237"/>
      <c r="R28" s="237"/>
      <c r="S28" s="237"/>
      <c r="T28" s="238"/>
    </row>
    <row r="29" spans="8:8" ht="15.65" customHeight="1">
      <c r="B29" s="311" t="s">
        <v>125</v>
      </c>
      <c r="C29" s="307" t="s">
        <v>601</v>
      </c>
      <c r="D29" s="308"/>
      <c r="E29" s="309"/>
      <c r="F29" s="309"/>
      <c r="G29" s="309"/>
      <c r="H29" s="309"/>
      <c r="I29" s="309"/>
      <c r="J29" s="310"/>
      <c r="K29" s="7"/>
      <c r="L29" s="303" t="s">
        <v>126</v>
      </c>
      <c r="M29" s="304"/>
      <c r="N29" s="304"/>
      <c r="O29" s="304"/>
      <c r="P29" s="304"/>
      <c r="Q29" s="304"/>
      <c r="R29" s="304"/>
      <c r="S29" s="304"/>
      <c r="T29" s="305"/>
    </row>
    <row r="30" spans="8:8" ht="15.65" customHeight="1">
      <c r="B30" s="312" t="s">
        <v>127</v>
      </c>
      <c r="C30" s="313" t="s">
        <v>602</v>
      </c>
      <c r="D30" s="314"/>
      <c r="E30" s="315"/>
      <c r="F30" s="315"/>
      <c r="G30" s="315"/>
      <c r="H30" s="315"/>
      <c r="I30" s="315"/>
      <c r="J30" s="316"/>
      <c r="K30" s="7"/>
      <c r="L30" s="239" t="s">
        <v>606</v>
      </c>
      <c r="M30" s="237"/>
      <c r="N30" s="237"/>
      <c r="O30" s="237"/>
      <c r="P30" s="237"/>
      <c r="Q30" s="237"/>
      <c r="R30" s="237"/>
      <c r="S30" s="237"/>
      <c r="T30" s="238"/>
    </row>
    <row r="31" spans="8:8" ht="15.65" customHeight="1">
      <c r="B31" s="317" t="s">
        <v>128</v>
      </c>
      <c r="C31" s="318"/>
      <c r="D31" s="318"/>
      <c r="E31" s="318"/>
      <c r="F31" s="318"/>
      <c r="G31" s="318"/>
      <c r="H31" s="318"/>
      <c r="I31" s="318"/>
      <c r="J31" s="319"/>
      <c r="K31" s="7"/>
      <c r="L31" s="239"/>
      <c r="M31" s="237"/>
      <c r="N31" s="237"/>
      <c r="O31" s="237"/>
      <c r="P31" s="237"/>
      <c r="Q31" s="237"/>
      <c r="R31" s="237"/>
      <c r="S31" s="237"/>
      <c r="T31" s="238"/>
    </row>
    <row r="32" spans="8:8" ht="15.65" customHeight="1">
      <c r="B32" s="320" t="s">
        <v>603</v>
      </c>
      <c r="C32" s="321"/>
      <c r="D32" s="322"/>
      <c r="E32" s="322"/>
      <c r="F32" s="322"/>
      <c r="G32" s="322"/>
      <c r="H32" s="322"/>
      <c r="I32" s="322"/>
      <c r="J32" s="323"/>
      <c r="K32" s="7"/>
      <c r="L32" s="239"/>
      <c r="M32" s="237"/>
      <c r="N32" s="237"/>
      <c r="O32" s="237"/>
      <c r="P32" s="237"/>
      <c r="Q32" s="237"/>
      <c r="R32" s="237"/>
      <c r="S32" s="237"/>
      <c r="T32" s="238"/>
    </row>
    <row r="33" spans="8:8" ht="15.65" customHeight="1">
      <c r="B33" s="320"/>
      <c r="C33" s="321"/>
      <c r="D33" s="322"/>
      <c r="E33" s="322"/>
      <c r="F33" s="322"/>
      <c r="G33" s="322"/>
      <c r="H33" s="322"/>
      <c r="I33" s="322"/>
      <c r="J33" s="323"/>
      <c r="K33" s="7"/>
      <c r="L33" s="303" t="s">
        <v>130</v>
      </c>
      <c r="M33" s="304"/>
      <c r="N33" s="304"/>
      <c r="O33" s="304"/>
      <c r="P33" s="304"/>
      <c r="Q33" s="304"/>
      <c r="R33" s="304"/>
      <c r="S33" s="304"/>
      <c r="T33" s="305"/>
    </row>
    <row r="34" spans="8:8" ht="15.65" customHeight="1">
      <c r="B34" s="320"/>
      <c r="C34" s="321"/>
      <c r="D34" s="322"/>
      <c r="E34" s="322"/>
      <c r="F34" s="322"/>
      <c r="G34" s="322"/>
      <c r="H34" s="322"/>
      <c r="I34" s="322"/>
      <c r="J34" s="323"/>
      <c r="K34" s="7"/>
      <c r="L34" s="239" t="s">
        <v>613</v>
      </c>
      <c r="M34" s="237"/>
      <c r="N34" s="237"/>
      <c r="O34" s="237"/>
      <c r="P34" s="237"/>
      <c r="Q34" s="237"/>
      <c r="R34" s="237"/>
      <c r="S34" s="237"/>
      <c r="T34" s="238"/>
    </row>
    <row r="35" spans="8:8" ht="15.65" customHeight="1">
      <c r="B35" s="320"/>
      <c r="C35" s="321"/>
      <c r="D35" s="322"/>
      <c r="E35" s="322"/>
      <c r="F35" s="322"/>
      <c r="G35" s="322"/>
      <c r="H35" s="322"/>
      <c r="I35" s="322"/>
      <c r="J35" s="323"/>
      <c r="K35" s="7"/>
      <c r="L35" s="239"/>
      <c r="M35" s="237"/>
      <c r="N35" s="237"/>
      <c r="O35" s="237"/>
      <c r="P35" s="237"/>
      <c r="Q35" s="237"/>
      <c r="R35" s="237"/>
      <c r="S35" s="237"/>
      <c r="T35" s="238"/>
    </row>
    <row r="36" spans="8:8" ht="15.65" customHeight="1">
      <c r="B36" s="320"/>
      <c r="C36" s="322"/>
      <c r="D36" s="322"/>
      <c r="E36" s="324"/>
      <c r="F36" s="324"/>
      <c r="G36" s="324"/>
      <c r="H36" s="324"/>
      <c r="I36" s="322"/>
      <c r="J36" s="323"/>
      <c r="K36" s="7"/>
      <c r="L36" s="239"/>
      <c r="M36" s="237"/>
      <c r="N36" s="237"/>
      <c r="O36" s="237"/>
      <c r="P36" s="237"/>
      <c r="Q36" s="237"/>
      <c r="R36" s="237"/>
      <c r="S36" s="237"/>
      <c r="T36" s="238"/>
    </row>
    <row r="37" spans="8:8" ht="15.65" customHeight="1">
      <c r="B37" s="325"/>
      <c r="C37" s="321"/>
      <c r="D37" s="321"/>
      <c r="E37" s="321"/>
      <c r="F37" s="321"/>
      <c r="G37" s="321"/>
      <c r="H37" s="321"/>
      <c r="I37" s="322"/>
      <c r="J37" s="323"/>
      <c r="K37" s="7"/>
      <c r="L37" s="303" t="s">
        <v>131</v>
      </c>
      <c r="M37" s="304"/>
      <c r="N37" s="304"/>
      <c r="O37" s="304"/>
      <c r="P37" s="304"/>
      <c r="Q37" s="304"/>
      <c r="R37" s="304"/>
      <c r="S37" s="304"/>
      <c r="T37" s="305"/>
    </row>
    <row r="38" spans="8:8" ht="15.65" customHeight="1">
      <c r="B38" s="325"/>
      <c r="C38" s="321"/>
      <c r="D38" s="321"/>
      <c r="E38" s="321"/>
      <c r="F38" s="321"/>
      <c r="G38" s="321"/>
      <c r="H38" s="321"/>
      <c r="I38" s="322"/>
      <c r="J38" s="323"/>
      <c r="K38" s="7"/>
      <c r="L38" s="239"/>
      <c r="M38" s="237"/>
      <c r="N38" s="237"/>
      <c r="O38" s="237"/>
      <c r="P38" s="237"/>
      <c r="Q38" s="237"/>
      <c r="R38" s="237"/>
      <c r="S38" s="237"/>
      <c r="T38" s="238"/>
    </row>
    <row r="39" spans="8:8" ht="15.65" customHeight="1">
      <c r="B39" s="325"/>
      <c r="C39" s="321"/>
      <c r="D39" s="321"/>
      <c r="E39" s="321"/>
      <c r="F39" s="321"/>
      <c r="G39" s="321"/>
      <c r="H39" s="321"/>
      <c r="I39" s="322"/>
      <c r="J39" s="323"/>
      <c r="K39" s="7"/>
      <c r="L39" s="239"/>
      <c r="M39" s="237"/>
      <c r="N39" s="237"/>
      <c r="O39" s="237"/>
      <c r="P39" s="237"/>
      <c r="Q39" s="237"/>
      <c r="R39" s="237"/>
      <c r="S39" s="237"/>
      <c r="T39" s="238"/>
    </row>
    <row r="40" spans="8:8" ht="15.65" customHeight="1">
      <c r="B40" s="326" t="s">
        <v>132</v>
      </c>
      <c r="C40" s="327"/>
      <c r="D40" s="327"/>
      <c r="E40" s="327"/>
      <c r="F40" s="327"/>
      <c r="G40" s="327"/>
      <c r="H40" s="327"/>
      <c r="I40" s="327"/>
      <c r="J40" s="328"/>
      <c r="K40" s="7"/>
      <c r="L40" s="329"/>
      <c r="M40" s="294"/>
      <c r="N40" s="294"/>
      <c r="O40" s="294"/>
      <c r="P40" s="294"/>
      <c r="Q40" s="294"/>
      <c r="R40" s="294"/>
      <c r="S40" s="294"/>
      <c r="T40" s="330"/>
    </row>
    <row r="41" spans="8:8" ht="15.65" customHeight="1">
      <c r="B41" s="331" t="s">
        <v>611</v>
      </c>
      <c r="C41" s="332"/>
      <c r="D41" s="332"/>
      <c r="E41" s="332"/>
      <c r="F41" s="332"/>
      <c r="G41" s="332"/>
      <c r="H41" s="332"/>
      <c r="I41" s="332"/>
      <c r="J41" s="333"/>
      <c r="K41" s="7"/>
      <c r="L41" s="334" t="s">
        <v>131</v>
      </c>
      <c r="M41" s="335"/>
      <c r="N41" s="335"/>
      <c r="O41" s="335"/>
      <c r="P41" s="335"/>
      <c r="Q41" s="335"/>
      <c r="R41" s="335"/>
      <c r="S41" s="335"/>
      <c r="T41" s="336"/>
    </row>
    <row r="42" spans="8:8" ht="15.65" customHeight="1">
      <c r="B42" s="337"/>
      <c r="C42" s="338"/>
      <c r="D42" s="338"/>
      <c r="E42" s="338"/>
      <c r="F42" s="338"/>
      <c r="G42" s="338"/>
      <c r="H42" s="338"/>
      <c r="I42" s="338"/>
      <c r="J42" s="339"/>
      <c r="K42" s="7"/>
      <c r="L42" s="340"/>
      <c r="M42" s="341"/>
      <c r="N42" s="341"/>
      <c r="O42" s="341"/>
      <c r="P42" s="341"/>
      <c r="Q42" s="341"/>
      <c r="R42" s="341"/>
      <c r="S42" s="341"/>
      <c r="T42" s="342"/>
    </row>
    <row r="43" spans="8:8" ht="15.65" customHeight="1">
      <c r="B43" s="343"/>
      <c r="C43" s="344"/>
      <c r="D43" s="344"/>
      <c r="E43" s="344"/>
      <c r="F43" s="344"/>
      <c r="G43" s="344"/>
      <c r="H43" s="344"/>
      <c r="I43" s="344"/>
      <c r="J43" s="345"/>
      <c r="K43" s="7"/>
      <c r="L43" s="340"/>
      <c r="M43" s="341"/>
      <c r="N43" s="341"/>
      <c r="O43" s="341"/>
      <c r="P43" s="341"/>
      <c r="Q43" s="341"/>
      <c r="R43" s="341"/>
      <c r="S43" s="341"/>
      <c r="T43" s="342"/>
    </row>
    <row r="44" spans="8:8" ht="15.65" customHeight="1">
      <c r="B44" s="326" t="s">
        <v>134</v>
      </c>
      <c r="C44" s="327"/>
      <c r="D44" s="327"/>
      <c r="E44" s="327"/>
      <c r="F44" s="327"/>
      <c r="G44" s="327"/>
      <c r="H44" s="327"/>
      <c r="I44" s="327"/>
      <c r="J44" s="328"/>
      <c r="K44" s="7"/>
      <c r="L44" s="340"/>
      <c r="M44" s="341"/>
      <c r="N44" s="341"/>
      <c r="O44" s="341"/>
      <c r="P44" s="341"/>
      <c r="Q44" s="341"/>
      <c r="R44" s="341"/>
      <c r="S44" s="341"/>
      <c r="T44" s="342"/>
    </row>
    <row r="45" spans="8:8" ht="15.65" customHeight="1">
      <c r="B45" s="346" t="s">
        <v>612</v>
      </c>
      <c r="C45" s="347"/>
      <c r="D45" s="347"/>
      <c r="E45" s="347"/>
      <c r="F45" s="347"/>
      <c r="G45" s="347"/>
      <c r="H45" s="347"/>
      <c r="I45" s="347"/>
      <c r="J45" s="348"/>
      <c r="K45" s="7"/>
      <c r="L45" s="334" t="s">
        <v>131</v>
      </c>
      <c r="M45" s="335"/>
      <c r="N45" s="335"/>
      <c r="O45" s="335"/>
      <c r="P45" s="335"/>
      <c r="Q45" s="335"/>
      <c r="R45" s="335"/>
      <c r="S45" s="335"/>
      <c r="T45" s="336"/>
    </row>
    <row r="46" spans="8:8" ht="15.65" customHeight="1">
      <c r="B46" s="346"/>
      <c r="C46" s="347"/>
      <c r="D46" s="347"/>
      <c r="E46" s="347"/>
      <c r="F46" s="347"/>
      <c r="G46" s="347"/>
      <c r="H46" s="347"/>
      <c r="I46" s="347"/>
      <c r="J46" s="348"/>
      <c r="K46" s="7"/>
      <c r="L46" s="349"/>
      <c r="M46" s="350"/>
      <c r="N46" s="350"/>
      <c r="O46" s="350"/>
      <c r="P46" s="350"/>
      <c r="Q46" s="350"/>
      <c r="R46" s="350"/>
      <c r="S46" s="350"/>
      <c r="T46" s="351"/>
    </row>
    <row r="47" spans="8:8" ht="15.65" customHeight="1">
      <c r="B47" s="346"/>
      <c r="C47" s="347"/>
      <c r="D47" s="347"/>
      <c r="E47" s="347"/>
      <c r="F47" s="347"/>
      <c r="G47" s="347"/>
      <c r="H47" s="347"/>
      <c r="I47" s="347"/>
      <c r="J47" s="348"/>
      <c r="K47" s="7"/>
      <c r="L47" s="349"/>
      <c r="M47" s="350"/>
      <c r="N47" s="350"/>
      <c r="O47" s="350"/>
      <c r="P47" s="350"/>
      <c r="Q47" s="350"/>
      <c r="R47" s="350"/>
      <c r="S47" s="350"/>
      <c r="T47" s="351"/>
    </row>
    <row r="48" spans="8:8" ht="15.65" customHeight="1">
      <c r="B48" s="352"/>
      <c r="C48" s="353"/>
      <c r="D48" s="353"/>
      <c r="E48" s="353"/>
      <c r="F48" s="353"/>
      <c r="G48" s="353"/>
      <c r="H48" s="353"/>
      <c r="I48" s="353"/>
      <c r="J48" s="354"/>
      <c r="K48" s="7"/>
      <c r="L48" s="349"/>
      <c r="M48" s="350"/>
      <c r="N48" s="350"/>
      <c r="O48" s="350"/>
      <c r="P48" s="350"/>
      <c r="Q48" s="350"/>
      <c r="R48" s="350"/>
      <c r="S48" s="350"/>
      <c r="T48" s="351"/>
    </row>
    <row r="49" spans="8:8" ht="15.65" customHeight="1">
      <c r="B49" s="355" t="s">
        <v>136</v>
      </c>
      <c r="C49" s="356"/>
      <c r="D49" s="356"/>
      <c r="E49" s="356"/>
      <c r="F49" s="356"/>
      <c r="G49" s="356"/>
      <c r="H49" s="356"/>
      <c r="I49" s="356"/>
      <c r="J49" s="357"/>
      <c r="K49" s="7"/>
      <c r="L49" s="334"/>
      <c r="M49" s="335"/>
      <c r="N49" s="335"/>
      <c r="O49" s="335"/>
      <c r="P49" s="335"/>
      <c r="Q49" s="335"/>
      <c r="R49" s="335"/>
      <c r="S49" s="335"/>
      <c r="T49" s="336"/>
    </row>
    <row r="50" spans="8:8" ht="15.65" customHeight="1">
      <c r="B50" s="358" t="s">
        <v>137</v>
      </c>
      <c r="C50" s="359" t="s">
        <v>620</v>
      </c>
      <c r="D50" s="359"/>
      <c r="E50" s="359"/>
      <c r="F50" s="359"/>
      <c r="G50" s="359"/>
      <c r="H50" s="359"/>
      <c r="I50" s="359"/>
      <c r="J50" s="360"/>
      <c r="K50" s="7"/>
      <c r="L50" s="349"/>
      <c r="M50" s="350"/>
      <c r="N50" s="350"/>
      <c r="O50" s="350"/>
      <c r="P50" s="350"/>
      <c r="Q50" s="350"/>
      <c r="R50" s="350"/>
      <c r="S50" s="350"/>
      <c r="T50" s="351"/>
    </row>
    <row r="51" spans="8:8" ht="27.0" customHeight="1">
      <c r="B51" s="361" t="s">
        <v>139</v>
      </c>
      <c r="C51" s="362" t="s">
        <v>627</v>
      </c>
      <c r="D51" s="363"/>
      <c r="E51" s="363"/>
      <c r="F51" s="363"/>
      <c r="G51" s="363"/>
      <c r="H51" s="363"/>
      <c r="I51" s="363"/>
      <c r="J51" s="364"/>
      <c r="K51" s="7"/>
      <c r="L51" s="349"/>
      <c r="M51" s="350"/>
      <c r="N51" s="350"/>
      <c r="O51" s="350"/>
      <c r="P51" s="350"/>
      <c r="Q51" s="350"/>
      <c r="R51" s="350"/>
      <c r="S51" s="350"/>
      <c r="T51" s="351"/>
    </row>
    <row r="52" spans="8:8" ht="15.65" customHeight="1">
      <c r="B52" s="365" t="s">
        <v>141</v>
      </c>
      <c r="C52" s="147" t="s">
        <v>621</v>
      </c>
      <c r="D52" s="366"/>
      <c r="E52" s="366"/>
      <c r="F52" s="366"/>
      <c r="G52" s="366"/>
      <c r="H52" s="366"/>
      <c r="I52" s="366"/>
      <c r="J52" s="367"/>
      <c r="K52" s="7"/>
      <c r="L52" s="349"/>
      <c r="M52" s="350"/>
      <c r="N52" s="350"/>
      <c r="O52" s="350"/>
      <c r="P52" s="350"/>
      <c r="Q52" s="350"/>
      <c r="R52" s="350"/>
      <c r="S52" s="350"/>
      <c r="T52" s="351"/>
    </row>
    <row r="53" spans="8:8" ht="15.65" customHeight="1">
      <c r="B53" s="365"/>
      <c r="C53" s="368"/>
      <c r="D53" s="369"/>
      <c r="E53" s="369"/>
      <c r="F53" s="369"/>
      <c r="G53" s="369"/>
      <c r="H53" s="369"/>
      <c r="I53" s="369"/>
      <c r="J53" s="370"/>
      <c r="K53" s="7"/>
      <c r="L53" s="371"/>
      <c r="M53" s="372"/>
      <c r="N53" s="372"/>
      <c r="O53" s="372"/>
      <c r="P53" s="372"/>
      <c r="Q53" s="372"/>
      <c r="R53" s="372"/>
      <c r="S53" s="372"/>
      <c r="T53" s="373"/>
    </row>
    <row r="54" spans="8:8" ht="15.65" customHeight="1">
      <c r="B54" s="374"/>
      <c r="C54" s="375"/>
      <c r="D54" s="376"/>
      <c r="E54" s="376"/>
      <c r="F54" s="376"/>
      <c r="G54" s="376"/>
      <c r="H54" s="376"/>
      <c r="I54" s="376"/>
      <c r="J54" s="377"/>
      <c r="K54" s="378"/>
      <c r="L54" s="371"/>
      <c r="M54" s="372"/>
      <c r="N54" s="372"/>
      <c r="O54" s="372"/>
      <c r="P54" s="372"/>
      <c r="Q54" s="372"/>
      <c r="R54" s="372"/>
      <c r="S54" s="372"/>
      <c r="T54" s="373"/>
    </row>
    <row r="55" spans="8:8" ht="15.65" customHeight="1"/>
    <row r="56" spans="8:8" ht="15.65" customHeight="1">
      <c r="B56" s="9"/>
      <c r="C56" s="9"/>
      <c r="D56" s="9"/>
    </row>
    <row r="57" spans="8:8" ht="15.65" customHeight="1">
      <c r="B57" s="9"/>
      <c r="C57" s="9"/>
      <c r="D57" s="9"/>
    </row>
    <row r="58" spans="8:8" ht="15.65" customHeight="1">
      <c r="B58" s="9"/>
      <c r="C58" s="9"/>
      <c r="D58" s="9"/>
    </row>
    <row r="59" spans="8:8" ht="15.65" customHeight="1">
      <c r="B59" s="9"/>
      <c r="C59" s="9"/>
      <c r="D59" s="9"/>
    </row>
    <row r="60" spans="8:8" ht="15.65" customHeight="1">
      <c r="B60" s="9"/>
      <c r="C60" s="9"/>
      <c r="D60" s="9"/>
    </row>
    <row r="61" spans="8:8" ht="15.65" customHeight="1">
      <c r="B61" s="9"/>
      <c r="C61" s="9"/>
      <c r="D61" s="9"/>
    </row>
    <row r="62" spans="8:8" ht="15.65" customHeight="1">
      <c r="B62" s="9"/>
      <c r="C62" s="9"/>
      <c r="D62" s="9"/>
    </row>
    <row r="63" spans="8:8" ht="15.65" customHeight="1">
      <c r="B63" s="9"/>
      <c r="C63" s="9"/>
      <c r="D63" s="9"/>
    </row>
    <row r="64" spans="8:8" ht="15.65" customHeight="1">
      <c r="B64" s="9"/>
      <c r="C64" s="9"/>
      <c r="D64" s="9"/>
    </row>
    <row r="65" spans="8:8" ht="15.65" customHeight="1">
      <c r="B65" s="9"/>
      <c r="C65" s="9"/>
      <c r="D65" s="9"/>
    </row>
    <row r="66" spans="8:8" ht="15.65" customHeight="1">
      <c r="B66" s="9"/>
      <c r="C66" s="9"/>
      <c r="D66" s="9"/>
    </row>
    <row r="67" spans="8:8" ht="15.65" customHeight="1">
      <c r="B67" s="9"/>
      <c r="C67" s="9"/>
      <c r="D67" s="9"/>
    </row>
    <row r="68" spans="8:8" ht="15.65" customHeight="1">
      <c r="B68" s="9"/>
      <c r="C68" s="9"/>
      <c r="D68" s="9"/>
    </row>
    <row r="69" spans="8:8" ht="15.65" customHeight="1">
      <c r="B69" s="9"/>
      <c r="C69" s="9"/>
      <c r="D69" s="9"/>
      <c r="E69" s="9"/>
      <c r="F69" s="9"/>
      <c r="G69" s="9"/>
      <c r="H69" s="9"/>
      <c r="I69" s="9"/>
      <c r="J69" s="9"/>
    </row>
    <row r="70" spans="8:8" ht="15.65" customHeight="1">
      <c r="B70" s="9"/>
      <c r="C70" s="9"/>
      <c r="D70" s="9"/>
      <c r="E70" s="9"/>
      <c r="F70" s="9"/>
      <c r="G70" s="9"/>
      <c r="H70" s="9"/>
      <c r="I70" s="9"/>
      <c r="J70" s="9"/>
    </row>
    <row r="71" spans="8:8" ht="15.65" customHeight="1">
      <c r="B71" s="9"/>
      <c r="C71" s="9"/>
      <c r="D71" s="9"/>
      <c r="E71" s="9"/>
      <c r="F71" s="9"/>
      <c r="G71" s="9"/>
      <c r="H71" s="9"/>
      <c r="I71" s="9"/>
      <c r="J71" s="9"/>
    </row>
    <row r="72" spans="8:8">
      <c r="B72" s="9"/>
      <c r="C72" s="9"/>
      <c r="D72" s="9"/>
      <c r="E72" s="9"/>
      <c r="F72" s="9"/>
      <c r="G72" s="9"/>
      <c r="H72" s="9"/>
      <c r="I72" s="9"/>
      <c r="J72" s="9"/>
    </row>
    <row r="73" spans="8:8">
      <c r="B73" s="9"/>
      <c r="C73" s="9"/>
      <c r="D73" s="9"/>
      <c r="E73" s="9"/>
      <c r="F73" s="9"/>
      <c r="G73" s="9"/>
      <c r="H73" s="9"/>
      <c r="I73" s="9"/>
      <c r="J73" s="9"/>
    </row>
    <row r="74" spans="8:8">
      <c r="B74" s="9"/>
      <c r="C74" s="9"/>
      <c r="D74" s="9"/>
      <c r="E74" s="9"/>
      <c r="F74" s="9"/>
      <c r="G74" s="9"/>
      <c r="H74" s="9"/>
      <c r="I74" s="9"/>
      <c r="J74" s="9"/>
    </row>
    <row r="75" spans="8:8">
      <c r="B75" s="9"/>
      <c r="C75" s="9"/>
      <c r="D75" s="9"/>
      <c r="E75" s="9"/>
      <c r="F75" s="9"/>
      <c r="G75" s="9"/>
      <c r="H75" s="9"/>
      <c r="I75" s="9"/>
      <c r="J75" s="9"/>
    </row>
    <row r="76" spans="8:8">
      <c r="B76" s="9"/>
      <c r="C76" s="9"/>
      <c r="D76" s="9"/>
      <c r="E76" s="9"/>
      <c r="F76" s="9"/>
      <c r="G76" s="9"/>
      <c r="H76" s="9"/>
      <c r="I76" s="9"/>
      <c r="J76" s="9"/>
    </row>
    <row r="77" spans="8:8">
      <c r="B77" s="9"/>
      <c r="C77" s="9"/>
      <c r="D77" s="9"/>
      <c r="E77" s="9"/>
      <c r="F77" s="9"/>
      <c r="G77" s="9"/>
      <c r="H77" s="9"/>
      <c r="I77" s="9"/>
      <c r="J77" s="9"/>
    </row>
    <row r="78" spans="8:8">
      <c r="B78" s="9"/>
      <c r="C78" s="9"/>
      <c r="D78" s="9"/>
      <c r="E78" s="9"/>
      <c r="F78" s="9"/>
      <c r="G78" s="9"/>
      <c r="H78" s="9"/>
      <c r="I78" s="9"/>
      <c r="J78" s="9"/>
    </row>
    <row r="79" spans="8:8">
      <c r="B79" s="9"/>
      <c r="C79" s="9"/>
      <c r="D79" s="9"/>
      <c r="E79" s="9"/>
      <c r="F79" s="9"/>
      <c r="G79" s="9"/>
      <c r="H79" s="9"/>
      <c r="I79" s="9"/>
      <c r="J79" s="9"/>
    </row>
    <row r="80" spans="8:8">
      <c r="B80" s="9"/>
      <c r="C80" s="9"/>
      <c r="D80" s="9"/>
      <c r="E80" s="9"/>
      <c r="F80" s="9"/>
      <c r="G80" s="9"/>
      <c r="H80" s="9"/>
      <c r="I80" s="9"/>
      <c r="J80" s="9"/>
    </row>
    <row r="81" spans="8:8">
      <c r="B81" s="9"/>
      <c r="C81" s="9"/>
      <c r="D81" s="9"/>
      <c r="E81" s="9"/>
      <c r="F81" s="9"/>
      <c r="G81" s="9"/>
      <c r="H81" s="9"/>
      <c r="I81" s="9"/>
      <c r="J81" s="9"/>
    </row>
    <row r="82" spans="8:8">
      <c r="B82" s="9"/>
      <c r="C82" s="9"/>
      <c r="D82" s="9"/>
      <c r="E82" s="9"/>
      <c r="F82" s="9"/>
      <c r="G82" s="9"/>
      <c r="H82" s="9"/>
      <c r="I82" s="9"/>
      <c r="J82" s="9"/>
      <c r="K82" s="9"/>
    </row>
    <row r="83" spans="8:8">
      <c r="B83" s="9"/>
      <c r="C83" s="9"/>
      <c r="D83" s="9"/>
      <c r="E83" s="9"/>
      <c r="F83" s="9"/>
      <c r="G83" s="9"/>
      <c r="H83" s="9"/>
      <c r="I83" s="9"/>
      <c r="J83" s="9"/>
      <c r="K83" s="9"/>
    </row>
    <row r="84" spans="8:8">
      <c r="B84" s="9"/>
      <c r="C84" s="9"/>
      <c r="D84" s="9"/>
      <c r="E84" s="9"/>
      <c r="F84" s="9"/>
      <c r="G84" s="9"/>
      <c r="H84" s="9"/>
      <c r="I84" s="9"/>
      <c r="J84" s="9"/>
      <c r="K84" s="9"/>
    </row>
    <row r="85" spans="8:8">
      <c r="B85" s="9"/>
      <c r="C85" s="9"/>
      <c r="D85" s="9"/>
      <c r="E85" s="9"/>
      <c r="F85" s="9"/>
      <c r="G85" s="9"/>
      <c r="H85" s="9"/>
      <c r="I85" s="9"/>
      <c r="J85" s="9"/>
      <c r="K85" s="9"/>
    </row>
    <row r="86" spans="8:8">
      <c r="B86" s="9"/>
      <c r="C86" s="9"/>
      <c r="D86" s="9"/>
      <c r="E86" s="9"/>
      <c r="F86" s="9"/>
      <c r="G86" s="9"/>
      <c r="H86" s="9"/>
      <c r="I86" s="9"/>
      <c r="J86" s="9"/>
      <c r="K86" s="9"/>
    </row>
    <row r="87" spans="8:8">
      <c r="B87" s="9"/>
      <c r="C87" s="9"/>
      <c r="D87" s="9"/>
      <c r="E87" s="9"/>
      <c r="F87" s="9"/>
      <c r="G87" s="9"/>
      <c r="H87" s="9"/>
      <c r="I87" s="9"/>
      <c r="J87" s="9"/>
      <c r="K87" s="9"/>
    </row>
    <row r="88" spans="8:8">
      <c r="B88" s="9"/>
      <c r="C88" s="9"/>
      <c r="D88" s="9"/>
      <c r="E88" s="9"/>
      <c r="F88" s="9"/>
      <c r="G88" s="9"/>
      <c r="H88" s="9"/>
      <c r="I88" s="9"/>
      <c r="J88" s="9"/>
      <c r="K88" s="9"/>
    </row>
    <row r="89" spans="8:8">
      <c r="B89" s="9"/>
      <c r="C89" s="9"/>
      <c r="D89" s="9"/>
      <c r="E89" s="9"/>
      <c r="F89" s="9"/>
      <c r="G89" s="9"/>
      <c r="H89" s="9"/>
      <c r="I89" s="9"/>
      <c r="J89" s="9"/>
      <c r="K89" s="9"/>
    </row>
    <row r="90" spans="8:8">
      <c r="B90" s="9"/>
      <c r="C90" s="9"/>
      <c r="D90" s="9"/>
      <c r="E90" s="9"/>
      <c r="F90" s="9"/>
      <c r="G90" s="9"/>
      <c r="H90" s="9"/>
      <c r="I90" s="9"/>
      <c r="J90" s="9"/>
      <c r="K90" s="9"/>
    </row>
    <row r="91" spans="8:8">
      <c r="B91" s="9"/>
      <c r="C91" s="9"/>
      <c r="D91" s="9"/>
      <c r="E91" s="9"/>
      <c r="F91" s="9"/>
      <c r="G91" s="9"/>
      <c r="H91" s="9"/>
      <c r="I91" s="9"/>
      <c r="J91" s="9"/>
      <c r="K91" s="9"/>
      <c r="L91" s="9"/>
      <c r="M91" s="9"/>
      <c r="N91" s="9"/>
      <c r="O91" s="9"/>
    </row>
    <row r="92" spans="8:8">
      <c r="B92" s="9"/>
      <c r="C92" s="9"/>
      <c r="D92" s="9"/>
      <c r="E92" s="9"/>
      <c r="F92" s="9"/>
      <c r="G92" s="9"/>
      <c r="H92" s="9"/>
      <c r="I92" s="9"/>
      <c r="J92" s="9"/>
      <c r="K92" s="9"/>
      <c r="L92" s="9"/>
      <c r="M92" s="9"/>
      <c r="N92" s="9"/>
      <c r="O92" s="9"/>
    </row>
    <row r="93" spans="8:8">
      <c r="B93" s="9"/>
      <c r="C93" s="9"/>
      <c r="D93" s="9"/>
      <c r="E93" s="9"/>
      <c r="F93" s="9"/>
      <c r="G93" s="9"/>
      <c r="H93" s="9"/>
      <c r="I93" s="9"/>
      <c r="J93" s="9"/>
      <c r="K93" s="9"/>
      <c r="L93" s="9"/>
      <c r="M93" s="9"/>
      <c r="N93" s="9"/>
      <c r="O93" s="9"/>
    </row>
    <row r="94" spans="8:8">
      <c r="B94" s="9"/>
      <c r="C94" s="9"/>
      <c r="D94" s="9"/>
      <c r="E94" s="9"/>
      <c r="F94" s="9"/>
      <c r="G94" s="9"/>
      <c r="H94" s="9"/>
      <c r="I94" s="9"/>
      <c r="J94" s="9"/>
      <c r="K94" s="9"/>
      <c r="L94" s="9"/>
      <c r="M94" s="9"/>
      <c r="N94" s="9"/>
      <c r="O94" s="9"/>
    </row>
    <row r="95" spans="8:8">
      <c r="B95" s="9"/>
      <c r="C95" s="9"/>
      <c r="D95" s="9"/>
      <c r="E95" s="9"/>
      <c r="F95" s="9"/>
      <c r="G95" s="9"/>
      <c r="H95" s="9"/>
      <c r="I95" s="9"/>
      <c r="J95" s="9"/>
      <c r="K95" s="9"/>
      <c r="L95" s="9"/>
      <c r="M95" s="9"/>
      <c r="N95" s="9"/>
      <c r="O95" s="9"/>
    </row>
    <row r="96" spans="8:8">
      <c r="B96" s="9"/>
      <c r="C96" s="9"/>
      <c r="D96" s="9"/>
      <c r="E96" s="9"/>
      <c r="F96" s="9"/>
      <c r="G96" s="9"/>
      <c r="H96" s="9"/>
      <c r="I96" s="9"/>
      <c r="J96" s="9"/>
      <c r="K96" s="9"/>
      <c r="L96" s="9"/>
      <c r="M96" s="9"/>
      <c r="N96" s="9"/>
      <c r="O96" s="9"/>
    </row>
    <row r="97" spans="8:8">
      <c r="B97" s="9"/>
      <c r="C97" s="9"/>
      <c r="D97" s="9"/>
      <c r="E97" s="9"/>
      <c r="F97" s="9"/>
      <c r="G97" s="9"/>
      <c r="H97" s="9"/>
      <c r="I97" s="9"/>
      <c r="J97" s="9"/>
      <c r="K97" s="9"/>
      <c r="L97" s="9"/>
      <c r="M97" s="9"/>
      <c r="N97" s="9"/>
      <c r="O97" s="9"/>
    </row>
    <row r="98" spans="8:8">
      <c r="B98" s="9"/>
      <c r="C98" s="9"/>
      <c r="D98" s="9"/>
      <c r="E98" s="9"/>
      <c r="F98" s="9"/>
      <c r="G98" s="9"/>
      <c r="H98" s="9"/>
      <c r="I98" s="9"/>
      <c r="J98" s="9"/>
      <c r="K98" s="9"/>
      <c r="L98" s="9"/>
      <c r="M98" s="9"/>
      <c r="N98" s="9"/>
      <c r="O98" s="9"/>
    </row>
    <row r="99" spans="8:8">
      <c r="L99" s="9"/>
      <c r="M99" s="9"/>
      <c r="N99" s="9"/>
      <c r="O99" s="9"/>
    </row>
    <row r="100" spans="8:8">
      <c r="L100" s="9"/>
      <c r="M100" s="9"/>
      <c r="N100" s="9"/>
      <c r="O100" s="9"/>
    </row>
    <row r="101" spans="8:8">
      <c r="L101" s="9"/>
      <c r="M101" s="9"/>
      <c r="N101" s="9"/>
      <c r="O101" s="9"/>
    </row>
    <row r="102" spans="8:8">
      <c r="L102" s="9"/>
      <c r="M102" s="9"/>
      <c r="N102" s="9"/>
      <c r="O102" s="9"/>
    </row>
    <row r="103" spans="8:8">
      <c r="L103" s="9"/>
      <c r="M103" s="9"/>
      <c r="N103" s="9"/>
      <c r="O103" s="9"/>
    </row>
    <row r="104" spans="8:8">
      <c r="L104" s="9"/>
      <c r="M104" s="9"/>
      <c r="N104" s="9"/>
      <c r="O104" s="9"/>
    </row>
    <row r="105" spans="8:8">
      <c r="L105" s="9"/>
      <c r="M105" s="9"/>
      <c r="N105" s="9"/>
      <c r="O105" s="9"/>
    </row>
    <row r="106" spans="8:8">
      <c r="L106" s="9"/>
      <c r="M106" s="9"/>
      <c r="N106" s="9"/>
      <c r="O106" s="9"/>
    </row>
    <row r="107" spans="8:8">
      <c r="L107" s="9"/>
      <c r="M107" s="9"/>
      <c r="N107" s="9"/>
      <c r="O107" s="9"/>
    </row>
  </sheetData>
  <sheetProtection sheet="0" formatColumns="0" formatRows="0" insertColumns="0" insertRows="0"/>
  <mergeCells count="64">
    <mergeCell ref="L50:T52"/>
    <mergeCell ref="L29:T29"/>
    <mergeCell ref="B44:J44"/>
    <mergeCell ref="L49:T49"/>
    <mergeCell ref="B32:J39"/>
    <mergeCell ref="C10:D10"/>
    <mergeCell ref="L2:T2"/>
    <mergeCell ref="B52:B54"/>
    <mergeCell ref="B3:J5"/>
    <mergeCell ref="C27:D27"/>
    <mergeCell ref="L46:T48"/>
    <mergeCell ref="L41:T41"/>
    <mergeCell ref="L37:T37"/>
    <mergeCell ref="L38:T40"/>
    <mergeCell ref="L34:T36"/>
    <mergeCell ref="B2:J2"/>
    <mergeCell ref="B49:J49"/>
    <mergeCell ref="G11:J11"/>
    <mergeCell ref="F23:G23"/>
    <mergeCell ref="H17:J24"/>
    <mergeCell ref="L3:T24"/>
    <mergeCell ref="C26:D26"/>
    <mergeCell ref="E14:F14"/>
    <mergeCell ref="L45:T45"/>
    <mergeCell ref="L53:T54"/>
    <mergeCell ref="C50:J50"/>
    <mergeCell ref="B17:D24"/>
    <mergeCell ref="C52:J54"/>
    <mergeCell ref="B14:D14"/>
    <mergeCell ref="L25:T25"/>
    <mergeCell ref="C30:D30"/>
    <mergeCell ref="F24:G24"/>
    <mergeCell ref="E20:G20"/>
    <mergeCell ref="L33:T33"/>
    <mergeCell ref="L26:T28"/>
    <mergeCell ref="C8:D8"/>
    <mergeCell ref="B45:J48"/>
    <mergeCell ref="L30:T32"/>
    <mergeCell ref="G8:J8"/>
    <mergeCell ref="E25:J25"/>
    <mergeCell ref="C28:D28"/>
    <mergeCell ref="C51:J51"/>
    <mergeCell ref="E15:J16"/>
    <mergeCell ref="B31:J31"/>
    <mergeCell ref="E26:J30"/>
    <mergeCell ref="B15:D16"/>
    <mergeCell ref="L42:T44"/>
    <mergeCell ref="B12:D13"/>
    <mergeCell ref="F22:G22"/>
    <mergeCell ref="C29:D29"/>
    <mergeCell ref="E19:G19"/>
    <mergeCell ref="F21:G21"/>
    <mergeCell ref="C25:D25"/>
    <mergeCell ref="E18:G18"/>
    <mergeCell ref="E17:G17"/>
    <mergeCell ref="B41:J43"/>
    <mergeCell ref="E12:J13"/>
    <mergeCell ref="B40:J40"/>
    <mergeCell ref="G14:J14"/>
    <mergeCell ref="C9:D9"/>
    <mergeCell ref="E8:F8"/>
    <mergeCell ref="B11:D11"/>
    <mergeCell ref="E9:J10"/>
    <mergeCell ref="E11:F11"/>
  </mergeCells>
  <dataValidations count="4">
    <dataValidation allowBlank="1" type="list" errorStyle="stop" showInputMessage="1" showErrorMessage="1" sqref="C27:D27">
      <formula1>"男,女,其他"</formula1>
    </dataValidation>
    <dataValidation allowBlank="1" type="list" errorStyle="stop" showInputMessage="1" showErrorMessage="1" sqref="D14">
      <formula1>"隐藏,可见"</formula1>
    </dataValidation>
    <dataValidation allowBlank="1" type="list" errorStyle="stop" showInputMessage="1" showErrorMessage="1" sqref="E18:G18">
      <formula1>"Safe,Euclid,Keter,Thaumiel,Neutralized,Apollyon"</formula1>
    </dataValidation>
    <dataValidation allowBlank="1" type="list" errorStyle="stop" showInputMessage="1" showErrorMessage="1" sqref="B15:D16">
      <formula1>"秩序-善,中立-善,混沌-善,秩序-中庸,中立-中庸,混沌-中庸,秩序-恶,中立-恶,混沌-恶,秩序-狂,中立-狂,混沌-狂"</formula1>
    </dataValidation>
  </dataValidations>
  <pageMargins left="0.699305555555556" right="0.699305555555556" top="0.75" bottom="0.75" header="0.3" footer="0.3"/>
  <legacyDrawing r:id="rId1"/>
  <extLst>
    <ext xmlns:x14="http://schemas.microsoft.com/office/spreadsheetml/2009/9/main" uri="{CCE6A557-97BC-4b89-ADB6-D9C93CAAB3DF}">
      <x14:dataValidations xmlns:xm="http://schemas.microsoft.com/office/excel/2006/main" count="1">
        <x14:dataValidation allowBlank="1" type="list" errorStyle="stop" showInputMessage="1" showErrorMessage="1">
          <xm:sqref>H29</xm:sqref>
        </x14:dataValidation>
      </x14:dataValidations>
    </ext>
  </extLst>
</worksheet>
</file>

<file path=xl/worksheets/sheet4.xml><?xml version="1.0" encoding="utf-8"?>
<worksheet xmlns:r="http://schemas.openxmlformats.org/officeDocument/2006/relationships" xmlns="http://schemas.openxmlformats.org/spreadsheetml/2006/main">
  <dimension ref="B1:AF33"/>
  <sheetViews>
    <sheetView workbookViewId="0">
      <selection activeCell="G12" sqref="G12"/>
    </sheetView>
  </sheetViews>
  <sheetFormatPr defaultRowHeight="15.0" defaultColWidth="10"/>
  <cols>
    <col min="11" max="11" customWidth="1" width="7.9960938" style="0"/>
  </cols>
  <sheetData>
    <row r="3" spans="8:8" ht="15.6" customHeight="1">
      <c r="B3" s="379" t="s">
        <v>143</v>
      </c>
      <c r="C3" s="380" t="s">
        <v>55</v>
      </c>
      <c r="D3" s="380" t="s">
        <v>56</v>
      </c>
      <c r="E3" s="380" t="s">
        <v>57</v>
      </c>
      <c r="F3" s="380" t="s">
        <v>58</v>
      </c>
      <c r="G3" s="380" t="s">
        <v>59</v>
      </c>
      <c r="H3" s="380"/>
      <c r="J3" s="379" t="s">
        <v>144</v>
      </c>
      <c r="K3" s="379" t="s">
        <v>145</v>
      </c>
      <c r="M3" s="379" t="s">
        <v>146</v>
      </c>
      <c r="N3" s="379" t="s">
        <v>145</v>
      </c>
    </row>
    <row r="4" spans="8:8" ht="15.6" customHeight="1">
      <c r="B4" s="379" t="s">
        <v>43</v>
      </c>
      <c r="C4" s="381">
        <v>20.0</v>
      </c>
      <c r="D4" s="381">
        <v>20.0</v>
      </c>
      <c r="E4" s="381">
        <v>20.0</v>
      </c>
      <c r="F4" s="381">
        <v>10.0</v>
      </c>
      <c r="G4" s="381">
        <v>20.0</v>
      </c>
      <c r="H4" s="382"/>
      <c r="J4" s="380" t="s">
        <v>421</v>
      </c>
      <c r="K4" s="380">
        <v>1.0</v>
      </c>
      <c r="M4" s="380" t="s">
        <v>421</v>
      </c>
      <c r="N4" s="380">
        <v>1.0</v>
      </c>
    </row>
    <row r="5" spans="8:8" ht="15.6" customHeight="1">
      <c r="B5" s="379" t="s">
        <v>148</v>
      </c>
      <c r="C5" s="380">
        <v>20.0</v>
      </c>
      <c r="D5" s="381">
        <v>30.0</v>
      </c>
      <c r="E5" s="381">
        <v>20.0</v>
      </c>
      <c r="F5" s="381">
        <v>10.0</v>
      </c>
      <c r="G5" s="381">
        <v>20.0</v>
      </c>
      <c r="H5" s="381"/>
      <c r="J5" s="380" t="s">
        <v>422</v>
      </c>
      <c r="K5" s="380">
        <v>2.0</v>
      </c>
      <c r="M5" s="380" t="s">
        <v>422</v>
      </c>
      <c r="N5" s="380">
        <v>2.0</v>
      </c>
    </row>
    <row r="6" spans="8:8" ht="15.6" customHeight="1">
      <c r="B6" s="379" t="s">
        <v>150</v>
      </c>
      <c r="C6" s="381">
        <v>10.0</v>
      </c>
      <c r="D6" s="381">
        <v>10.0</v>
      </c>
      <c r="E6" s="381">
        <v>30.0</v>
      </c>
      <c r="F6" s="381">
        <v>10.0</v>
      </c>
      <c r="G6" s="381">
        <v>10.0</v>
      </c>
      <c r="H6" s="382"/>
      <c r="J6" s="380" t="s">
        <v>423</v>
      </c>
      <c r="K6" s="380">
        <v>3.0</v>
      </c>
      <c r="M6" s="380" t="s">
        <v>423</v>
      </c>
      <c r="N6" s="380">
        <v>3.0</v>
      </c>
    </row>
    <row r="7" spans="8:8" ht="15.6" customHeight="1">
      <c r="B7" s="379" t="s">
        <v>151</v>
      </c>
      <c r="C7" s="381">
        <v>0.0</v>
      </c>
      <c r="D7" s="381">
        <v>30.0</v>
      </c>
      <c r="E7" s="381">
        <v>0.0</v>
      </c>
      <c r="F7" s="381">
        <v>0.0</v>
      </c>
      <c r="G7" s="381">
        <v>20.0</v>
      </c>
      <c r="H7" s="379"/>
      <c r="J7" s="380" t="s">
        <v>424</v>
      </c>
      <c r="K7" s="380">
        <v>4.0</v>
      </c>
      <c r="M7" s="380" t="s">
        <v>424</v>
      </c>
      <c r="N7" s="380">
        <v>4.0</v>
      </c>
    </row>
    <row r="8" spans="8:8" ht="15.6" customHeight="1">
      <c r="B8" s="379" t="s">
        <v>153</v>
      </c>
      <c r="C8" s="381">
        <v>10.0</v>
      </c>
      <c r="D8" s="381">
        <v>10.0</v>
      </c>
      <c r="E8" s="381">
        <v>10.0</v>
      </c>
      <c r="F8" s="381">
        <v>0.0</v>
      </c>
      <c r="G8" s="381">
        <v>20.0</v>
      </c>
      <c r="H8" s="379"/>
      <c r="J8" s="380" t="s">
        <v>425</v>
      </c>
      <c r="K8" s="380">
        <v>5.0</v>
      </c>
      <c r="M8" s="380" t="s">
        <v>425</v>
      </c>
      <c r="N8" s="380">
        <v>5.0</v>
      </c>
    </row>
    <row r="9" spans="8:8" ht="15.6" customHeight="1">
      <c r="B9" s="379" t="s">
        <v>154</v>
      </c>
      <c r="C9" s="381">
        <v>0.0</v>
      </c>
      <c r="D9" s="381">
        <v>0.0</v>
      </c>
      <c r="E9" s="381">
        <v>0.0</v>
      </c>
      <c r="F9" s="381">
        <v>30.0</v>
      </c>
      <c r="G9" s="381">
        <v>0.0</v>
      </c>
      <c r="H9" s="379"/>
      <c r="J9" s="380" t="s">
        <v>426</v>
      </c>
      <c r="K9" s="380">
        <v>7.0</v>
      </c>
      <c r="M9" s="380" t="s">
        <v>426</v>
      </c>
      <c r="N9" s="380">
        <v>9.0</v>
      </c>
    </row>
    <row r="10" spans="8:8" ht="15.6" customHeight="1">
      <c r="B10" s="379" t="s">
        <v>156</v>
      </c>
      <c r="C10" s="381">
        <v>0.0</v>
      </c>
      <c r="D10" s="381">
        <v>0.0</v>
      </c>
      <c r="E10" s="381">
        <v>20.0</v>
      </c>
      <c r="F10" s="381">
        <v>0.0</v>
      </c>
      <c r="G10" s="381">
        <v>20.0</v>
      </c>
      <c r="H10" s="379"/>
      <c r="J10" s="383" t="s">
        <v>427</v>
      </c>
      <c r="K10" s="380">
        <v>1.0</v>
      </c>
      <c r="M10" s="383" t="s">
        <v>427</v>
      </c>
      <c r="N10" s="380">
        <v>1.0</v>
      </c>
    </row>
    <row r="11" spans="8:8" ht="15.6" customHeight="1">
      <c r="B11" s="379" t="s">
        <v>158</v>
      </c>
      <c r="C11" s="381">
        <v>20.0</v>
      </c>
      <c r="D11" s="381">
        <v>20.0</v>
      </c>
      <c r="E11" s="381">
        <v>20.0</v>
      </c>
      <c r="F11" s="381">
        <v>0.0</v>
      </c>
      <c r="G11" s="381">
        <v>0.0</v>
      </c>
      <c r="H11" s="379"/>
      <c r="J11" s="383" t="s">
        <v>428</v>
      </c>
      <c r="K11" s="380">
        <v>2.0</v>
      </c>
      <c r="M11" s="383" t="s">
        <v>428</v>
      </c>
      <c r="N11" s="380">
        <v>2.0</v>
      </c>
    </row>
    <row r="12" spans="8:8" ht="15.6" customHeight="1">
      <c r="B12" s="379" t="s">
        <v>399</v>
      </c>
      <c r="C12" s="384">
        <v>20.0</v>
      </c>
      <c r="D12" s="384">
        <v>20.0</v>
      </c>
      <c r="E12" s="384">
        <v>0.0</v>
      </c>
      <c r="F12" s="384">
        <v>10.0</v>
      </c>
      <c r="G12" s="384">
        <v>20.0</v>
      </c>
      <c r="H12" s="379"/>
      <c r="J12" s="383" t="s">
        <v>416</v>
      </c>
      <c r="K12" s="380">
        <v>3.0</v>
      </c>
      <c r="M12" s="383" t="s">
        <v>416</v>
      </c>
      <c r="N12" s="380">
        <v>3.0</v>
      </c>
    </row>
    <row r="13" spans="8:8" ht="15.6" customHeight="1">
      <c r="B13" s="379"/>
      <c r="C13" s="381">
        <v>0.0</v>
      </c>
      <c r="D13" s="381">
        <v>0.0</v>
      </c>
      <c r="E13" s="381">
        <v>0.0</v>
      </c>
      <c r="F13" s="381">
        <v>0.0</v>
      </c>
      <c r="G13" s="381">
        <v>0.0</v>
      </c>
      <c r="H13" s="379"/>
      <c r="J13" s="383" t="s">
        <v>414</v>
      </c>
      <c r="K13" s="380">
        <v>4.0</v>
      </c>
      <c r="M13" s="383" t="s">
        <v>414</v>
      </c>
      <c r="N13" s="380">
        <v>4.0</v>
      </c>
    </row>
    <row r="14" spans="8:8" ht="15.6" customHeight="1">
      <c r="J14" s="383" t="s">
        <v>412</v>
      </c>
      <c r="K14" s="380">
        <v>5.0</v>
      </c>
      <c r="M14" s="383" t="s">
        <v>412</v>
      </c>
      <c r="N14" s="380">
        <v>5.0</v>
      </c>
    </row>
    <row r="15" spans="8:8" ht="15.6" customHeight="1">
      <c r="J15" s="383" t="s">
        <v>429</v>
      </c>
      <c r="K15" s="380">
        <v>7.0</v>
      </c>
      <c r="M15" s="383" t="s">
        <v>429</v>
      </c>
      <c r="N15" s="380">
        <v>9.0</v>
      </c>
    </row>
    <row r="16" spans="8:8" ht="15.6" customHeight="1">
      <c r="J16" s="383" t="s">
        <v>430</v>
      </c>
      <c r="K16" s="380">
        <v>3.0</v>
      </c>
      <c r="M16" s="383" t="s">
        <v>430</v>
      </c>
      <c r="N16" s="380">
        <v>3.0</v>
      </c>
    </row>
    <row r="17" spans="8:8" ht="15.6" customHeight="1">
      <c r="J17" s="383" t="s">
        <v>431</v>
      </c>
      <c r="K17" s="380">
        <v>4.0</v>
      </c>
      <c r="M17" s="383" t="s">
        <v>431</v>
      </c>
      <c r="N17" s="380">
        <v>4.0</v>
      </c>
    </row>
    <row r="18" spans="8:8" ht="15.6" customHeight="1">
      <c r="J18" s="383" t="s">
        <v>432</v>
      </c>
      <c r="K18" s="380">
        <v>5.0</v>
      </c>
      <c r="M18" s="383" t="s">
        <v>432</v>
      </c>
      <c r="N18" s="380">
        <v>5.0</v>
      </c>
    </row>
    <row r="19" spans="8:8" ht="15.6" customHeight="1">
      <c r="J19" s="383" t="s">
        <v>433</v>
      </c>
      <c r="K19" s="380">
        <v>6.0</v>
      </c>
      <c r="M19" s="383" t="s">
        <v>433</v>
      </c>
      <c r="N19" s="380">
        <v>6.0</v>
      </c>
    </row>
    <row r="20" spans="8:8" ht="15.6" customHeight="1">
      <c r="J20" s="383" t="s">
        <v>434</v>
      </c>
      <c r="K20" s="380">
        <v>7.0</v>
      </c>
      <c r="M20" s="383" t="s">
        <v>434</v>
      </c>
      <c r="N20" s="380">
        <v>7.0</v>
      </c>
    </row>
    <row r="21" spans="8:8" ht="15.6" customHeight="1">
      <c r="J21" s="383" t="s">
        <v>435</v>
      </c>
      <c r="K21" s="380">
        <v>5.0</v>
      </c>
      <c r="M21" s="383" t="s">
        <v>435</v>
      </c>
      <c r="N21" s="380">
        <v>5.0</v>
      </c>
    </row>
    <row r="22" spans="8:8" ht="15.6" customHeight="1">
      <c r="J22" s="383" t="s">
        <v>436</v>
      </c>
      <c r="K22" s="380">
        <v>6.0</v>
      </c>
      <c r="M22" s="383" t="s">
        <v>436</v>
      </c>
      <c r="N22" s="380">
        <v>6.0</v>
      </c>
    </row>
    <row r="23" spans="8:8" ht="15.6" customHeight="1">
      <c r="J23" s="383" t="s">
        <v>437</v>
      </c>
      <c r="K23" s="380">
        <v>7.0</v>
      </c>
      <c r="M23" s="383" t="s">
        <v>437</v>
      </c>
      <c r="N23" s="380">
        <v>7.0</v>
      </c>
    </row>
    <row r="24" spans="8:8" ht="15.6" customHeight="1">
      <c r="J24" s="383" t="s">
        <v>439</v>
      </c>
      <c r="K24" s="380">
        <v>8.0</v>
      </c>
      <c r="M24" s="383" t="s">
        <v>439</v>
      </c>
      <c r="N24" s="380">
        <v>8.0</v>
      </c>
    </row>
    <row r="25" spans="8:8" ht="15.6" customHeight="1">
      <c r="J25" s="383" t="s">
        <v>444</v>
      </c>
      <c r="K25" s="380">
        <v>9.0</v>
      </c>
      <c r="M25" s="383" t="s">
        <v>444</v>
      </c>
      <c r="N25" s="380">
        <v>9.0</v>
      </c>
    </row>
    <row r="26" spans="8:8" ht="15.6" customHeight="1">
      <c r="J26" s="383" t="s">
        <v>445</v>
      </c>
      <c r="K26" s="380">
        <v>7.0</v>
      </c>
      <c r="M26" s="383" t="s">
        <v>445</v>
      </c>
      <c r="N26" s="380">
        <v>7.0</v>
      </c>
    </row>
    <row r="27" spans="8:8" ht="15.6" customHeight="1">
      <c r="J27" s="383" t="s">
        <v>446</v>
      </c>
      <c r="K27" s="380">
        <v>8.0</v>
      </c>
      <c r="M27" s="383" t="s">
        <v>446</v>
      </c>
      <c r="N27" s="380">
        <v>8.0</v>
      </c>
    </row>
    <row r="28" spans="8:8" ht="15.6" customHeight="1">
      <c r="J28" s="383" t="s">
        <v>448</v>
      </c>
      <c r="K28" s="380">
        <v>9.0</v>
      </c>
      <c r="M28" s="383" t="s">
        <v>448</v>
      </c>
      <c r="N28" s="380">
        <v>9.0</v>
      </c>
    </row>
    <row r="29" spans="8:8" ht="15.6" customHeight="1">
      <c r="J29" s="383" t="s">
        <v>447</v>
      </c>
      <c r="K29" s="380">
        <v>10.0</v>
      </c>
      <c r="M29" s="383" t="s">
        <v>447</v>
      </c>
      <c r="N29" s="380">
        <v>10.0</v>
      </c>
    </row>
    <row r="30" spans="8:8" ht="15.6" customHeight="1">
      <c r="J30" s="383" t="s">
        <v>449</v>
      </c>
      <c r="K30" s="380">
        <v>11.0</v>
      </c>
      <c r="M30" s="383" t="s">
        <v>449</v>
      </c>
      <c r="N30" s="380">
        <v>11.0</v>
      </c>
    </row>
    <row r="31" spans="8:8">
      <c r="J31" s="383"/>
      <c r="K31" s="380"/>
      <c r="M31" s="383"/>
      <c r="N31" s="380"/>
    </row>
    <row r="32" spans="8:8">
      <c r="J32" s="383"/>
      <c r="K32" s="380"/>
      <c r="M32" s="383"/>
      <c r="N32" s="380"/>
    </row>
    <row r="33" spans="8:8">
      <c r="J33" s="383"/>
      <c r="K33" s="380"/>
      <c r="M33" s="383"/>
      <c r="N33" s="380"/>
    </row>
  </sheetData>
  <pageMargins left="0.75" right="0.75" top="1.0" bottom="1.0" header="0.5" footer="0.5"/>
</worksheet>
</file>

<file path=xl/worksheets/sheet5.xml><?xml version="1.0" encoding="utf-8"?>
<worksheet xmlns:r="http://schemas.openxmlformats.org/officeDocument/2006/relationships" xmlns="http://schemas.openxmlformats.org/spreadsheetml/2006/main">
  <dimension ref="A1:AN38"/>
  <sheetViews>
    <sheetView workbookViewId="0" zoomScale="66">
      <selection activeCell="F46" sqref="F46"/>
    </sheetView>
  </sheetViews>
  <sheetFormatPr defaultRowHeight="15.0" defaultColWidth="10"/>
  <sheetData>
    <row r="2" spans="8:8">
      <c r="A2" s="385" t="s">
        <v>371</v>
      </c>
      <c r="B2" s="386" t="s">
        <v>372</v>
      </c>
      <c r="C2" s="387" t="s">
        <v>39</v>
      </c>
      <c r="D2" s="388"/>
    </row>
    <row r="3" spans="8:8">
      <c r="A3" s="389">
        <v>40.0</v>
      </c>
      <c r="B3" s="390">
        <v>100.0</v>
      </c>
      <c r="C3" s="391" t="s">
        <v>380</v>
      </c>
      <c r="D3" s="392"/>
    </row>
    <row r="4" spans="8:8">
      <c r="A4" s="389">
        <v>50.0</v>
      </c>
      <c r="B4" s="390">
        <v>120.0</v>
      </c>
      <c r="C4" s="391" t="s">
        <v>382</v>
      </c>
      <c r="D4" s="392"/>
    </row>
    <row r="5" spans="8:8">
      <c r="A5" s="389">
        <v>60.0</v>
      </c>
      <c r="B5" s="390">
        <v>140.0</v>
      </c>
      <c r="C5" s="391" t="s">
        <v>384</v>
      </c>
      <c r="D5" s="392"/>
    </row>
    <row r="6" spans="8:8">
      <c r="A6" s="389">
        <v>70.0</v>
      </c>
      <c r="B6" s="390">
        <v>160.0</v>
      </c>
      <c r="C6" s="391" t="s">
        <v>386</v>
      </c>
      <c r="D6" s="392"/>
    </row>
    <row r="7" spans="8:8">
      <c r="A7" s="393" t="s">
        <v>388</v>
      </c>
      <c r="B7" s="394">
        <v>0.0</v>
      </c>
      <c r="C7" s="391" t="s">
        <v>389</v>
      </c>
      <c r="D7" s="392"/>
    </row>
    <row r="8" spans="8:8">
      <c r="A8" s="393" t="s">
        <v>388</v>
      </c>
      <c r="B8" s="394">
        <v>0.0</v>
      </c>
      <c r="C8" s="391" t="s">
        <v>391</v>
      </c>
      <c r="D8" s="392"/>
    </row>
    <row r="9" spans="8:8">
      <c r="A9" s="395" t="s">
        <v>388</v>
      </c>
      <c r="B9" s="396">
        <v>0.0</v>
      </c>
      <c r="C9" s="391" t="s">
        <v>393</v>
      </c>
      <c r="D9" s="392"/>
    </row>
    <row r="10" spans="8:8">
      <c r="C10" s="391" t="s">
        <v>395</v>
      </c>
      <c r="D10" s="392"/>
    </row>
    <row r="11" spans="8:8">
      <c r="C11" s="391" t="s">
        <v>396</v>
      </c>
      <c r="D11" s="392"/>
    </row>
    <row r="12" spans="8:8">
      <c r="C12" s="391" t="s">
        <v>398</v>
      </c>
      <c r="D12" s="392"/>
    </row>
    <row r="13" spans="8:8">
      <c r="C13" s="391" t="s">
        <v>400</v>
      </c>
      <c r="D13" s="392"/>
    </row>
    <row r="14" spans="8:8">
      <c r="C14" s="391" t="s">
        <v>402</v>
      </c>
      <c r="D14" s="392"/>
    </row>
    <row r="15" spans="8:8">
      <c r="C15" s="397" t="s">
        <v>388</v>
      </c>
      <c r="D15" s="398"/>
      <c r="F15" s="399"/>
    </row>
    <row r="16" spans="8:8">
      <c r="C16" s="397" t="s">
        <v>388</v>
      </c>
      <c r="D16" s="398"/>
    </row>
    <row r="17" spans="8:8">
      <c r="C17" s="397" t="s">
        <v>388</v>
      </c>
      <c r="D17" s="398"/>
    </row>
    <row r="18" spans="8:8">
      <c r="C18" s="397" t="s">
        <v>388</v>
      </c>
      <c r="D18" s="398"/>
    </row>
    <row r="19" spans="8:8">
      <c r="C19" s="397" t="s">
        <v>388</v>
      </c>
      <c r="D19" s="398"/>
    </row>
    <row r="20" spans="8:8">
      <c r="C20" s="397" t="s">
        <v>388</v>
      </c>
      <c r="D20" s="398"/>
    </row>
    <row r="21" spans="8:8">
      <c r="C21" s="397" t="s">
        <v>388</v>
      </c>
      <c r="D21" s="398"/>
    </row>
    <row r="22" spans="8:8">
      <c r="C22" s="397" t="s">
        <v>388</v>
      </c>
      <c r="D22" s="398"/>
      <c r="F22" s="400" t="s">
        <v>144</v>
      </c>
      <c r="G22" s="400"/>
      <c r="H22" s="400" t="s">
        <v>146</v>
      </c>
      <c r="I22" s="400"/>
      <c r="J22" s="400" t="s">
        <v>450</v>
      </c>
      <c r="K22" s="400"/>
    </row>
    <row r="23" spans="8:8" ht="16.5">
      <c r="C23" s="397" t="s">
        <v>388</v>
      </c>
      <c r="D23" s="398"/>
      <c r="F23" s="400" t="s">
        <v>155</v>
      </c>
      <c r="G23" s="400">
        <v>7.0</v>
      </c>
      <c r="H23" s="400" t="s">
        <v>155</v>
      </c>
      <c r="I23" s="400">
        <v>9.0</v>
      </c>
      <c r="J23" s="400" t="s">
        <v>451</v>
      </c>
      <c r="K23" s="400">
        <v>6.0</v>
      </c>
    </row>
    <row r="24" spans="8:8" ht="16.5">
      <c r="C24" s="397" t="s">
        <v>388</v>
      </c>
      <c r="D24" s="398"/>
      <c r="F24" s="400" t="s">
        <v>411</v>
      </c>
      <c r="G24" s="400">
        <v>5.0</v>
      </c>
      <c r="H24" s="400"/>
      <c r="I24" s="400"/>
      <c r="J24" s="400" t="s">
        <v>452</v>
      </c>
      <c r="K24" s="400">
        <v>4.0</v>
      </c>
    </row>
    <row r="25" spans="8:8" ht="16.5">
      <c r="C25" s="397" t="s">
        <v>388</v>
      </c>
      <c r="D25" s="398"/>
      <c r="F25" s="400" t="s">
        <v>168</v>
      </c>
      <c r="G25" s="400">
        <v>7.0</v>
      </c>
      <c r="H25" s="400" t="s">
        <v>168</v>
      </c>
      <c r="I25" s="400">
        <v>7.0</v>
      </c>
      <c r="J25" s="400" t="s">
        <v>434</v>
      </c>
      <c r="K25" s="400">
        <v>7.0</v>
      </c>
    </row>
    <row r="26" spans="8:8" ht="16.5">
      <c r="C26" s="397" t="s">
        <v>388</v>
      </c>
      <c r="D26" s="398"/>
      <c r="F26" s="400" t="s">
        <v>88</v>
      </c>
      <c r="G26" s="400">
        <v>5.0</v>
      </c>
      <c r="H26" s="400" t="s">
        <v>88</v>
      </c>
      <c r="I26" s="400">
        <v>5.0</v>
      </c>
      <c r="J26" s="400" t="s">
        <v>425</v>
      </c>
      <c r="K26" s="400">
        <v>5.0</v>
      </c>
    </row>
    <row r="27" spans="8:8" ht="16.5">
      <c r="C27" s="397" t="s">
        <v>388</v>
      </c>
      <c r="D27" s="398"/>
      <c r="F27" s="400" t="s">
        <v>412</v>
      </c>
      <c r="G27" s="400">
        <v>5.0</v>
      </c>
      <c r="H27" s="400" t="s">
        <v>412</v>
      </c>
      <c r="I27" s="400">
        <v>5.0</v>
      </c>
      <c r="J27" s="400" t="s">
        <v>453</v>
      </c>
      <c r="K27" s="400">
        <v>3.0</v>
      </c>
    </row>
    <row r="28" spans="8:8" ht="16.5">
      <c r="C28" s="401" t="s">
        <v>388</v>
      </c>
      <c r="D28" s="402"/>
      <c r="F28" s="400" t="s">
        <v>167</v>
      </c>
      <c r="G28" s="400">
        <v>6.0</v>
      </c>
      <c r="H28" s="400" t="s">
        <v>167</v>
      </c>
      <c r="I28" s="400">
        <v>6.0</v>
      </c>
      <c r="J28" s="400" t="s">
        <v>433</v>
      </c>
      <c r="K28" s="400">
        <v>6.0</v>
      </c>
    </row>
    <row r="29" spans="8:8" ht="16.5">
      <c r="C29" s="401" t="s">
        <v>388</v>
      </c>
      <c r="D29" s="402"/>
      <c r="F29" s="400" t="s">
        <v>152</v>
      </c>
      <c r="G29" s="400">
        <v>4.0</v>
      </c>
      <c r="H29" s="400" t="s">
        <v>152</v>
      </c>
      <c r="I29" s="400">
        <v>4.0</v>
      </c>
      <c r="J29" s="400" t="s">
        <v>424</v>
      </c>
      <c r="K29" s="400">
        <v>4.0</v>
      </c>
    </row>
    <row r="30" spans="8:8" ht="16.5">
      <c r="C30" s="401" t="s">
        <v>388</v>
      </c>
      <c r="D30" s="402"/>
      <c r="F30" s="400" t="s">
        <v>414</v>
      </c>
      <c r="G30" s="400">
        <v>4.0</v>
      </c>
      <c r="H30" s="400" t="s">
        <v>414</v>
      </c>
      <c r="I30" s="400">
        <v>4.0</v>
      </c>
      <c r="J30" s="400" t="s">
        <v>454</v>
      </c>
      <c r="K30" s="400">
        <v>2.0</v>
      </c>
    </row>
    <row r="31" spans="8:8" ht="16.5">
      <c r="C31" s="401" t="s">
        <v>388</v>
      </c>
      <c r="D31" s="402"/>
      <c r="F31" s="400" t="s">
        <v>166</v>
      </c>
      <c r="G31" s="400">
        <v>5.0</v>
      </c>
      <c r="H31" s="400" t="s">
        <v>166</v>
      </c>
      <c r="I31" s="400">
        <v>5.0</v>
      </c>
      <c r="J31" s="400" t="s">
        <v>432</v>
      </c>
      <c r="K31" s="400">
        <v>5.0</v>
      </c>
    </row>
    <row r="32" spans="8:8" ht="16.5">
      <c r="C32" s="401" t="s">
        <v>388</v>
      </c>
      <c r="D32" s="402"/>
      <c r="F32" s="400" t="s">
        <v>74</v>
      </c>
      <c r="G32" s="400">
        <v>3.0</v>
      </c>
      <c r="H32" s="400" t="s">
        <v>74</v>
      </c>
      <c r="I32" s="400">
        <v>3.0</v>
      </c>
      <c r="J32" s="400" t="s">
        <v>423</v>
      </c>
      <c r="K32" s="400">
        <v>3.0</v>
      </c>
    </row>
    <row r="33" spans="8:8" ht="16.5">
      <c r="C33" s="401" t="s">
        <v>388</v>
      </c>
      <c r="D33" s="402"/>
      <c r="F33" s="400" t="s">
        <v>416</v>
      </c>
      <c r="G33" s="400">
        <v>3.0</v>
      </c>
      <c r="H33" s="400" t="s">
        <v>416</v>
      </c>
      <c r="I33" s="400">
        <v>3.0</v>
      </c>
      <c r="J33" s="400" t="s">
        <v>455</v>
      </c>
      <c r="K33" s="400">
        <v>1.0</v>
      </c>
    </row>
    <row r="34" spans="8:8" ht="16.5">
      <c r="C34" s="401" t="s">
        <v>388</v>
      </c>
      <c r="D34" s="402"/>
      <c r="F34" s="400" t="s">
        <v>165</v>
      </c>
      <c r="G34" s="400">
        <v>4.0</v>
      </c>
      <c r="H34" s="400" t="s">
        <v>165</v>
      </c>
      <c r="I34" s="400">
        <v>4.0</v>
      </c>
      <c r="J34" s="400" t="s">
        <v>431</v>
      </c>
      <c r="K34" s="400">
        <v>4.0</v>
      </c>
    </row>
    <row r="35" spans="8:8" ht="16.5">
      <c r="C35" s="403" t="s">
        <v>388</v>
      </c>
      <c r="D35" s="404"/>
      <c r="F35" s="400" t="s">
        <v>149</v>
      </c>
      <c r="G35" s="400">
        <v>2.0</v>
      </c>
      <c r="H35" s="400" t="s">
        <v>149</v>
      </c>
      <c r="I35" s="400">
        <v>2.0</v>
      </c>
      <c r="J35" s="400" t="s">
        <v>422</v>
      </c>
      <c r="K35" s="400">
        <v>2.0</v>
      </c>
    </row>
    <row r="36" spans="8:8" ht="16.5">
      <c r="F36" s="400"/>
      <c r="G36" s="400"/>
      <c r="H36" s="400"/>
      <c r="I36" s="400"/>
      <c r="J36" s="400" t="s">
        <v>456</v>
      </c>
      <c r="K36" s="400">
        <v>0.0</v>
      </c>
    </row>
    <row r="37" spans="8:8" ht="16.5">
      <c r="F37" s="400" t="s">
        <v>164</v>
      </c>
      <c r="G37" s="400">
        <v>3.0</v>
      </c>
      <c r="H37" s="400" t="s">
        <v>164</v>
      </c>
      <c r="I37" s="400">
        <v>3.0</v>
      </c>
      <c r="J37" s="400" t="s">
        <v>430</v>
      </c>
      <c r="K37" s="400">
        <v>3.0</v>
      </c>
    </row>
    <row r="38" spans="8:8" ht="16.5">
      <c r="F38" s="400" t="s">
        <v>147</v>
      </c>
      <c r="G38" s="400">
        <v>1.0</v>
      </c>
      <c r="H38" s="400" t="s">
        <v>147</v>
      </c>
      <c r="I38" s="400">
        <v>1.0</v>
      </c>
      <c r="J38" s="400" t="s">
        <v>421</v>
      </c>
      <c r="K38" s="400">
        <v>1.0</v>
      </c>
    </row>
  </sheetData>
  <mergeCells count="34">
    <mergeCell ref="C35:D35"/>
    <mergeCell ref="C23:D23"/>
    <mergeCell ref="C2:D2"/>
    <mergeCell ref="C14:D14"/>
    <mergeCell ref="C7:D7"/>
    <mergeCell ref="C6:D6"/>
    <mergeCell ref="C5:D5"/>
    <mergeCell ref="C17:D17"/>
    <mergeCell ref="C4:D4"/>
    <mergeCell ref="C12:D12"/>
    <mergeCell ref="C11:D11"/>
    <mergeCell ref="C8:D8"/>
    <mergeCell ref="C16:D16"/>
    <mergeCell ref="C18:D18"/>
    <mergeCell ref="C19:D19"/>
    <mergeCell ref="C33:D33"/>
    <mergeCell ref="C32:D32"/>
    <mergeCell ref="C30:D30"/>
    <mergeCell ref="C24:D24"/>
    <mergeCell ref="C20:D20"/>
    <mergeCell ref="C21:D21"/>
    <mergeCell ref="C34:D34"/>
    <mergeCell ref="C15:D15"/>
    <mergeCell ref="C3:D3"/>
    <mergeCell ref="C10:D10"/>
    <mergeCell ref="C9:D9"/>
    <mergeCell ref="C13:D13"/>
    <mergeCell ref="C22:D22"/>
    <mergeCell ref="C31:D31"/>
    <mergeCell ref="C25:D25"/>
    <mergeCell ref="C27:D27"/>
    <mergeCell ref="C26:D26"/>
    <mergeCell ref="C28:D28"/>
    <mergeCell ref="C29:D29"/>
  </mergeCells>
  <pageMargins left="0.75" right="0.75" top="1.0" bottom="1.0" header="0.511805555555556" footer="0.5118055555555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NetdiskSupbooks xmlns="http://www.wps.cn/et/2019/netdiskSupbooks">
  <NetdiskSupbook Target="空想SP1.153御主角色卡.xlsx" FileId="418434939870" NetdiskName="yunwps"/>
</NetdiskSupbooks>
</file>

<file path=customXml/item2.xml><?xml version="1.0" encoding="utf-8"?>
<allowEditUser xmlns="https://web.wps.cn/et/2018/main" xmlns:s="http://schemas.openxmlformats.org/spreadsheetml/2006/main" hasInvisiblePropRange="0">
  <rangeList sheetStid="1" master=""/>
  <rangeList sheetStid="2" master=""/>
  <rangeList sheetStid="3" master=""/>
  <rangeList sheetStid="4" master=""/>
  <rangeList sheetStid="5" master=""/>
</allowEditUser>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junwei mao</cp:lastModifiedBy>
  <dcterms:created xsi:type="dcterms:W3CDTF">2017-08-08T11:16:00Z</dcterms:created>
  <dcterms:modified xsi:type="dcterms:W3CDTF">2025-08-01T07:57:08Z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06B57A50B19146E8864C45ED65A6CFC9_13</vt:lpwstr>
  </property>
</Properties>
</file>