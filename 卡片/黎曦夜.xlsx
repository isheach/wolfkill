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說明" sheetId="1" r:id="rId2" state="hidden"/>
    <sheet name="角色卡" sheetId="2" r:id="rId3"/>
    <sheet name="角色經歷" sheetId="3" r:id="rId4"/>
    <sheet name="（调卡用表）" sheetId="6" r:id="rId5"/>
    <sheet name="建卡用参考资源" sheetId="4" r:id="rId6" state="hidden"/>
    <sheet name="数值参考" sheetId="5" r:id="rId7" state="hidden"/>
  </sheets>
  <externalReferences>
    <externalReference r:id="rId1"/>
  </externalReferences>
  <definedNames>
    <definedName name="表">数值参考!#REF!</definedName>
    <definedName name="科技">数值参考!#REF!</definedName>
    <definedName name="魔术">数值参考!#REF!</definedName>
    <definedName name="特殊">数值参考!#REF!</definedName>
    <definedName name="天赋类型">数值参考!#REF!</definedName>
    <definedName name="武术">数值参考!#REF!</definedName>
    <definedName name="阵营">'[1]數值參考'!$C$3:$C$35</definedName>
  </definedNames>
  <calcPr calcId="191029"/>
</workbook>
</file>

<file path=xl/comments2.xml><?xml version="1.0" encoding="utf-8"?>
<comments xmlns="http://schemas.openxmlformats.org/spreadsheetml/2006/main">
  <authors>
    <author>dell</author>
  </authors>
  <commentList>
    <comment ref="H3" authorId="0">
      <text>
        <r>
          <rPr>
            <sz val="9"/>
            <rFont val="宋体"/>
            <charset val="134"/>
          </rPr>
          <t xml:space="preserve">放置角色肖像的栏位。
请选适当的图片。
若手机没办法贴上，请在交卡时直接传一张给GM。</t>
        </r>
      </text>
    </comment>
    <comment ref="F13" authorId="0">
      <text>
        <r>
          <rPr>
            <sz val="9"/>
            <rFont val="宋体"/>
            <charset val="134"/>
          </rPr>
          <t xml:space="preserve">袖珍：0~140cm；
通常：141~220cm；
巨大：221~1000cm；
超巨大：1001~∞。</t>
        </r>
      </text>
    </comment>
  </commentList>
</comments>
</file>

<file path=xl/sharedStrings.xml><?xml version="1.0" encoding="utf-8"?>
<sst xmlns="http://schemas.openxmlformats.org/spreadsheetml/2006/main" uniqueCount="398" count="398">
  <si>
    <t>對應規則書︰2.05</t>
  </si>
  <si>
    <t>更新記錄</t>
  </si>
  <si>
    <t>自動化一部份的屬性分配</t>
  </si>
  <si>
    <t>加入看上去很酷的屬性圖</t>
  </si>
  <si>
    <t>加入簡單背景介紹在第一頁</t>
  </si>
  <si>
    <t>加入特性(可選規則)用的格子</t>
  </si>
  <si>
    <t>將特性這不會暴露，暴露後易被針對的效果移至角色卡下方，以便GM處理情報</t>
  </si>
  <si>
    <t>為特性提供了實驗性質的效果槽，是否啟用自行向GM查詢</t>
  </si>
  <si>
    <t>本版本因應2.0規則將魔屬性分配更改了，舊版千萬不要使用此規則</t>
  </si>
  <si>
    <t>並且于本版卡的起源覺醒者已正式移出，和加入了結界使、人偶使</t>
  </si>
  <si>
    <t>六維圖修了修</t>
  </si>
  <si>
    <t>技能效果多加了一行，讓說明有點複雜的技能不用整天拉長行數。但是說明超長的依然要拉長行數</t>
  </si>
  <si>
    <t>禦主屬性回檔，魔力分配重新改為/2</t>
  </si>
  <si>
    <t>處理了不太好看的格子</t>
  </si>
  <si>
    <t>加了倫理規則下，關係用的格子</t>
  </si>
  <si>
    <t>特性由原來的範例，改成一些針對性的問題，寫特性時請將這些問題納入考慮</t>
  </si>
  <si>
    <t>雖然很丟人，但之前一直將貼圖鎖了....現在不解除保護也能貼圖了</t>
  </si>
  <si>
    <t>異能者的特性也改了</t>
  </si>
  <si>
    <t>代行者的九鍵數值調成15</t>
  </si>
  <si>
    <t>倫理關係的格子細分了關係背景、對指定關係人的態度</t>
  </si>
  <si>
    <t>角色的屬性改成橫的，方便填表時右鍵</t>
  </si>
  <si>
    <t>角色頭像可以放更大的了</t>
  </si>
  <si>
    <t>禦主名字、陣營的位置改放到「角色經歷」，第一頁改為放代稱</t>
  </si>
  <si>
    <t>為了排版美觀，職業特性自己去查規則書。</t>
  </si>
  <si>
    <t>另外調整了排版，如無意外角色卡可以用A4size印出來了。不過我還沒嘗試。</t>
  </si>
  <si>
    <t>有些排版出包了，調整完成。</t>
  </si>
  <si>
    <t>御主可选职业新增了巫术使</t>
  </si>
  <si>
    <t>GM開團前「可」準備的事</t>
  </si>
  <si>
    <t>在數值參考頁面按自己特有的村規進行基礎屬性、點數的調整。或加入新職階</t>
  </si>
  <si>
    <t>本角色卡是為聖杯戰爭跑團準備的角色卡。</t>
  </si>
  <si>
    <t>該聖杯戰爭跑團規則大部分採用了日本現在較流行的男爵聖杯規則作為基底，進行魔改的TRPG規則，在遊戲上簡約了戰鬥部分，以實際扮演為主體的遊戲方式。</t>
  </si>
  <si>
    <t>若有疑問可加群424815329查詢</t>
  </si>
  <si>
    <t>備用二群</t>
  </si>
  <si>
    <t>阵营</t>
  </si>
  <si>
    <t>外貌描述</t>
  </si>
  <si>
    <t>肖像</t>
  </si>
  <si>
    <t>资源上限</t>
  </si>
  <si>
    <t>特攻列表</t>
  </si>
  <si>
    <t>职业特性</t>
  </si>
  <si>
    <t>（简单的外貌描述）</t>
  </si>
  <si>
    <t>（立绘）</t>
  </si>
  <si>
    <t>职业</t>
  </si>
  <si>
    <t>子职</t>
  </si>
  <si>
    <t>令咒</t>
  </si>
  <si>
    <t>剩余资源</t>
  </si>
  <si>
    <t>（图片，或者文本描述）</t>
  </si>
  <si>
    <t>特性</t>
  </si>
  <si>
    <t>花费资源</t>
  </si>
  <si>
    <t>性别</t>
  </si>
  <si>
    <t>主职业</t>
  </si>
  <si>
    <t>魔术师</t>
  </si>
  <si>
    <t>体型</t>
  </si>
  <si>
    <t>子职业</t>
  </si>
  <si>
    <t>结界师</t>
  </si>
  <si>
    <t>注释</t>
  </si>
  <si>
    <t>人型</t>
  </si>
  <si>
    <t>扩容</t>
  </si>
  <si>
    <t>特攻列表不会也不能为其他角色所获取。</t>
  </si>
  <si>
    <t>通常</t>
  </si>
  <si>
    <t>学科特性</t>
  </si>
  <si>
    <t>学科</t>
  </si>
  <si>
    <t>名称</t>
  </si>
  <si>
    <t>选取条件</t>
  </si>
  <si>
    <t>属性</t>
  </si>
  <si>
    <t>等级</t>
  </si>
  <si>
    <t>筋力</t>
  </si>
  <si>
    <t>耐久</t>
  </si>
  <si>
    <t>敏捷</t>
  </si>
  <si>
    <t>魔力</t>
  </si>
  <si>
    <t>幸运</t>
  </si>
  <si>
    <t>回路</t>
  </si>
  <si>
    <t>属性点数</t>
  </si>
  <si>
    <t>合计</t>
  </si>
  <si>
    <t>效果</t>
  </si>
  <si>
    <t>（持有[类型：魔术]技能且存在时钟塔进修经历的单位才可以选择[学科]）
（此项为额外规则，通常不开）</t>
  </si>
  <si>
    <t>分配</t>
  </si>
  <si>
    <t>剩余点数</t>
  </si>
  <si>
    <t>补正</t>
  </si>
  <si>
    <t>工房构件</t>
  </si>
  <si>
    <t>保有技能（额外栏位）</t>
  </si>
  <si>
    <t>模板</t>
  </si>
  <si>
    <t>（构件模板）</t>
  </si>
  <si>
    <t>构件种类</t>
  </si>
  <si>
    <t>资源</t>
  </si>
  <si>
    <t>（构件名称）</t>
  </si>
  <si>
    <t>魔力消耗</t>
  </si>
  <si>
    <t>无</t>
  </si>
  <si>
    <t>规模</t>
  </si>
  <si>
    <t>稳态</t>
  </si>
  <si>
    <t>类型</t>
  </si>
  <si>
    <t>回转</t>
  </si>
  <si>
    <t>发动时机</t>
  </si>
  <si>
    <t>（通常只有持有[魔术师]职业特性的单位才可以建造[魔术工房]）</t>
  </si>
  <si>
    <t>（每个御主持有三个初始技能栏，每个额外技能栏需要消耗2RP购入，写作[扩容]）</t>
  </si>
  <si>
    <t>背景</t>
  </si>
  <si>
    <t>（每个御主持有一个工房构件栏，每个额外工房栏需要消耗1RP购入，写作[扩容]）</t>
  </si>
  <si>
    <t>保有技能</t>
  </si>
  <si>
    <t>礼装</t>
  </si>
  <si>
    <t>(资源名称)</t>
  </si>
  <si>
    <t>/</t>
  </si>
  <si>
    <t>(自定义技能名称)</t>
  </si>
  <si>
    <t>(资源模板的效果文本，技能消耗的资源点数，在填入等级后自动产生)</t>
  </si>
  <si>
    <t>（每名御主持有一个初始礼装栏，每个额外礼装栏需要消耗1RP购入，写作[扩容]）</t>
  </si>
  <si>
    <t>(角色与本技能对应的背景故事)</t>
  </si>
  <si>
    <t>最能代表角色的一句话:</t>
  </si>
  <si>
    <t>你的角色是为了圣杯而参战的？你投身到圣杯战争中所追求的是什么？</t>
  </si>
  <si>
    <t>“如果你不为了你自己而活的话，
所谓的幸福究竟是什么——根本不会明白！”</t>
  </si>
  <si>
    <t>（投身杀戮，冒着生命危险参加圣杯战争的原因、愿望）
（除非GM允许，否则愿望必须需要通过圣杯许愿实现）</t>
  </si>
  <si>
    <t>喜好</t>
  </si>
  <si>
    <t>宝石磨制、捉弄士郎。</t>
  </si>
  <si>
    <t>使魔外观</t>
  </si>
  <si>
    <t>猫、狗、机器、工具人</t>
  </si>
  <si>
    <t>厌恶</t>
  </si>
  <si>
    <t>全部的电子仪器、突发事件。</t>
  </si>
  <si>
    <t>技术</t>
  </si>
  <si>
    <t>魔术/科技/人脉?</t>
  </si>
  <si>
    <t>角色之核心人設</t>
  </si>
  <si>
    <t>魔术属性</t>
  </si>
  <si>
    <t>五大元素使</t>
  </si>
  <si>
    <t>图片（此处为使魔外观）</t>
  </si>
  <si>
    <t>（专注描写角色的性格、价值观的形成等等）
（不便公开的里设，与正常侦查不应该取得的情报都放置于此）
（角色简介与核心人设的内容，宜于审卡前与GM进行商确，确定什么内容置于那一面）</t>
  </si>
  <si>
    <t>魔术特性</t>
  </si>
  <si>
    <t>转换</t>
  </si>
  <si>
    <t>姓名</t>
  </si>
  <si>
    <t>远坂凛</t>
  </si>
  <si>
    <t>身份</t>
  </si>
  <si>
    <t>魔术师/冬木市地脉管理者</t>
  </si>
  <si>
    <t>穗群原学园学生</t>
  </si>
  <si>
    <t>所属</t>
  </si>
  <si>
    <t>远坂家</t>
  </si>
  <si>
    <t>女</t>
  </si>
  <si>
    <t>玩家</t>
  </si>
  <si>
    <t>年龄</t>
  </si>
  <si>
    <t>身高</t>
  </si>
  <si>
    <t>体重</t>
  </si>
  <si>
    <t>秩序-善</t>
  </si>
  <si>
    <t>已知的情报</t>
  </si>
  <si>
    <t>（写出角色的简单、可调查取得的情报。像是出身、生平与所属魔术集团中的地位、战斗风格、魔术上的研究定位）
（为保证公平性，请与GM商确清楚放置于此处的内容）
（本部份将因为详细侦查而暴露，过于核心的内容请不要填写于此处。但也不容许于此处进行严重欺骗、误导）</t>
  </si>
  <si>
    <t>社会关系/[支援伦理规则]:</t>
  </si>
  <si>
    <t>在這場聖杯戰爭中，你是否會遵守倫理的規則，不波及無辜？</t>
  </si>
  <si>
    <t>关系：</t>
  </si>
  <si>
    <t>父女</t>
  </si>
  <si>
    <t>對像：</t>
  </si>
  <si>
    <t>远坂时臣</t>
  </si>
  <si>
    <t>态度：</t>
  </si>
  <si>
    <t>亲切</t>
  </si>
  <si>
    <t>效果︰</t>
  </si>
  <si>
    <t>交集点/
关系现状:</t>
  </si>
  <si>
    <t>时臣死了。</t>
  </si>
  <si>
    <t>你的愿望是否可以放弃，如果可以，是在什么情况下？</t>
  </si>
  <si>
    <t>（除非GM允许，否则愿望无法被放弃）</t>
  </si>
  <si>
    <t>友好</t>
  </si>
  <si>
    <t>（支援伦理规则用的格子，若果GM没开这规则就不用理会）
（作为社会关系栏位时，只需填写关系、态度与交集点/现状）</t>
  </si>
  <si>
    <t>你希望拥有怎样的从者？在什么情况下你可能会违背从者的意愿进行行动？</t>
  </si>
  <si>
    <t>（本角色與指定關系人如何相遇、如何相處）</t>
  </si>
  <si>
    <t>你愿意相信什么样的人？在什么情况下你可能会将其他参赛者认作盟友？</t>
  </si>
  <si>
    <t>角色梦境:</t>
  </si>
  <si>
    <t>（与从者交换梦境用的格子，若果GM没要求就不用理会）
（梦境的内容，主要是人生态度、遭遇、生平等）
（通常御主开启梦境时，目的是用于提升和从者的相性）</t>
  </si>
  <si>
    <t>特性：</t>
  </si>
  <si>
    <r>
      <rPr>
        <charset val="134"/>
        <sz val="11"/>
        <color rgb="FF000000"/>
        <rFont val="Microsoft JhengHei"/>
      </rPr>
      <t>（例：根源的渴望）</t>
    </r>
    <r>
      <rPr>
        <charset val="134"/>
        <sz val="11"/>
        <color rgb="FFFF0000"/>
        <rFont val="Microsoft JhengHei"/>
      </rPr>
      <t>（此内容是否启用请咨询GM）</t>
    </r>
  </si>
  <si>
    <t>效果：</t>
  </si>
  <si>
    <t>（是否提供实质加成，请向GM查询自行决定，基本上无效果）</t>
  </si>
  <si>
    <t>描述：</t>
  </si>
  <si>
    <t>（对自己的愿望有什么程度的执着，会于什么原因下放弃?）
（面对其他组别会优先做出什么行动?）（在失去从者的情况下还会不会坚持不退出?）</t>
  </si>
  <si>
    <t>职业名称</t>
  </si>
  <si>
    <t>技能等级</t>
  </si>
  <si>
    <r>
      <rPr>
        <charset val="134"/>
        <sz val="12"/>
        <color rgb="FF000000"/>
        <rFont val="宋体"/>
      </rPr>
      <t>对应</t>
    </r>
    <r>
      <rPr>
        <b/>
        <charset val="134"/>
        <sz val="12"/>
        <color rgb="FF000000"/>
        <rFont val="宋体"/>
      </rPr>
      <t>RP</t>
    </r>
  </si>
  <si>
    <t>宝具等级</t>
  </si>
  <si>
    <t>御主等级</t>
  </si>
  <si>
    <t>对应RP</t>
  </si>
  <si>
    <t>20</t>
  </si>
  <si>
    <t>E</t>
  </si>
  <si>
    <t>允许执行[礼装制作,可制作基础礼装;允许执行[工房建设]。</t>
  </si>
  <si>
    <t>自阵营通过[广泛侦查]获悉某一灵脉存在[魔术结界]时，自身将知悉那个[魔术结界]的效果。</t>
  </si>
  <si>
    <t>体术师</t>
  </si>
  <si>
    <t>D</t>
  </si>
  <si>
    <t>允许执行[机动][介入]。</t>
  </si>
  <si>
    <t>咒术师</t>
  </si>
  <si>
    <t>允许自身进行[遮蔽魂食]；自阵营单位杀死其他阵营的御主单位、或进行一次成功的[魂食]时，选择本职业的任一技能，使其获得[生祭]。</t>
  </si>
  <si>
    <t>异能者</t>
  </si>
  <si>
    <t>10</t>
  </si>
  <si>
    <t>C</t>
  </si>
  <si>
    <t>获得[+10]的等级补正,且额外获得4RP;保有[魔性]特性。</t>
  </si>
  <si>
    <t>代行者</t>
  </si>
  <si>
    <t>B</t>
  </si>
  <si>
    <t>允许执行[礼装制作],可制作概念武装;获得[抗性上升：+10%]。</t>
  </si>
  <si>
    <t>魔眼使</t>
  </si>
  <si>
    <t>建卡时，获得[1]个额外技能栏位，以此方式获得的技能栏位仅能用于购入[面向：魔眼]的技能。</t>
  </si>
  <si>
    <t>退魔师</t>
  </si>
  <si>
    <t>0</t>
  </si>
  <si>
    <t>A</t>
  </si>
  <si>
    <t>将基础属性改为 10-10-10-20-0-0，失去[异能者]特性带来的额外RP点，允许将子职业[混血]的技能作为本职业技能获取，允许自身进行[机动][介入]。</t>
  </si>
  <si>
    <t>刽子手</t>
  </si>
  <si>
    <t>若自身在首次参与的战斗中战斗胜利，给予自身标记[行刑者]；若此战斗失败，给予自身标记[解脱者]。</t>
  </si>
  <si>
    <t>执法者</t>
  </si>
  <si>
    <t>EX</t>
  </si>
  <si>
    <t>建卡时，获取一件[科技造物]。允许进行[礼装制作]，但以此方式进行的礼装制作判定基础成功率为[50%]，且仅能制作[弹药包]。</t>
  </si>
  <si>
    <t>剑术师</t>
  </si>
  <si>
    <t>战斗开始时，从[剑势：辘轳势/重梅势/长生势]中选择一项获取；战斗结束时，清除自身持有的所有[剑势]。</t>
  </si>
  <si>
    <t>-(E)</t>
  </si>
  <si>
    <t>死徒</t>
  </si>
  <si>
    <t>允许执行[遮蔽魂食]。</t>
  </si>
  <si>
    <t>-(D)</t>
  </si>
  <si>
    <t>混血</t>
  </si>
  <si>
    <t>允许将子职业[死徒]除[继理血戒][死亡初拥]外的技能作为本职业技能获取，允许自身进行[遮蔽魂食]。</t>
  </si>
  <si>
    <t>-(C)</t>
  </si>
  <si>
    <t>驱魔师</t>
  </si>
  <si>
    <t>允许自身消耗行动阶段，赋予当前灵脉[魔术结界：驱魔结界]。
赋予[魔术结界：驱魔结界]以下效果：
当前灵脉发生的战斗开始时，给予灵脉上所有持有[魔性]的单位[混乱 1]。</t>
  </si>
  <si>
    <t>-(B)</t>
  </si>
  <si>
    <t>权贵</t>
  </si>
  <si>
    <t>特性：建卡时，获得[资金 10]，额外卡面不会获取此效果；每轮次结束时，获得[资金 1]。</t>
  </si>
  <si>
    <t>-(A)</t>
  </si>
  <si>
    <t>-(EX)</t>
  </si>
  <si>
    <t>E+</t>
  </si>
  <si>
    <t>D+</t>
  </si>
  <si>
    <t>C+</t>
  </si>
  <si>
    <t>B+</t>
  </si>
  <si>
    <t>A+</t>
  </si>
  <si>
    <t>E++</t>
  </si>
  <si>
    <t>D++</t>
  </si>
  <si>
    <t>C++</t>
  </si>
  <si>
    <t>B++</t>
  </si>
  <si>
    <t>A++</t>
  </si>
  <si>
    <t>E+++</t>
  </si>
  <si>
    <t>D+++</t>
  </si>
  <si>
    <t>C+++</t>
  </si>
  <si>
    <t>B+++</t>
  </si>
  <si>
    <t>A+++</t>
  </si>
  <si>
    <t>能力</t>
  </si>
  <si>
    <t>就算自身与从者不在同一个场景下，也能对其使用令咒。</t>
  </si>
  <si>
    <t>魔力额外获得[+10]的补正，该补正可以突破属性上限。并且基础技能的[类型]必须为[魔术]。</t>
  </si>
  <si>
    <t>开局可获得一个任意的基础礼装。</t>
  </si>
  <si>
    <t>人偶师</t>
  </si>
  <si>
    <t>自身的基础技能将会提升一个等级，最高为 A，但必须为[人偶制成]。</t>
  </si>
  <si>
    <t>可任意挑选[类别:魔术]以外的基础技能。并将那个技能的等级提高一个等级，最高为 A 级。</t>
  </si>
  <si>
    <t>并且额外获得[20]的可任意分配点数。</t>
  </si>
  <si>
    <t>（若是在等级骰点制的规则下，额外可任意分配点数将可以转化为自身等级骰+1。）</t>
  </si>
  <si>
    <t>注 1:这个可任意分配点数，无法使属性突破上限。</t>
  </si>
  <si>
    <t>注 2:由于御主默认没有宝具，所以也无法分配到宝具处。</t>
  </si>
  <si>
    <t>将自身的[基础技能]更替为具有[对他人产生负面效果]的[特殊技能]，该特殊技能的技能等级视为[B]。</t>
  </si>
  <si>
    <t>名字：待定 类别：一般 使用时机：初始工序</t>
  </si>
  <si>
    <t>效果：对对方战斗位的上一名御主进行一次成功率=[自身任一数值-目标任一数值]的[即死]效果，</t>
  </si>
  <si>
    <t>在判定成功的情况下，若不以一枚令咒抵消，则将会视为退场。</t>
  </si>
  <si>
    <t>在判定失败的情况下，将会给予对方[同等于即死成功率]的[胜率惩罚]。</t>
  </si>
  <si>
    <t>保菌传承者</t>
  </si>
  <si>
    <t>将自身的[基础技能]更替为与自身[魔]相同等级的[对人宝具]。在解放宝具的当下也将会获得同等的[宝]属性。</t>
  </si>
  <si>
    <t>10=E 20=D 30=C 40=B 50=A。</t>
  </si>
  <si>
    <t>该宝具一天只能释放一次，且将会消耗等同于[魔]属性的魔力。也可以将自身的魔永久[-20]，将宝具类型提升为[固有结界]。</t>
  </si>
  <si>
    <t>自身的阵营必须为[秩序]，且参加圣杯战争的目的，必须是以[将圣杯回收至教会]为主，并且为了保证[圣杯]的魔力，不会给他人对[圣杯]许愿的机会。</t>
  </si>
  <si>
    <t>可任意挑选基础技能，并将会额外获得一个礼装——[九键]，并且可以对自身使用令咒来加强自身的战斗能力。</t>
  </si>
  <si>
    <t>名称：[九键] 类型：常驻礼装 使用时机：常驻</t>
  </si>
  <si>
    <t>效果：战斗中，无条件给予自身[+15]的胜率补正。该[胜率补正]不可与其他[九键]复数叠加。</t>
  </si>
  <si>
    <t>巫术使</t>
  </si>
  <si>
    <t>该职业可任意挑选基础技能，且将会额外获得两项特殊的回合行动指令。</t>
  </si>
  <si>
    <t>诅咒：</t>
  </si>
  <si>
    <t>消耗一个行动阶段发动，选择一名被自身详细侦查成功且未被诅咒过的御主全抗性受到[-20]的削减，这个状态将持续三天。</t>
  </si>
  <si>
    <t>该行动的优先级高于袭击低于魂食。</t>
  </si>
  <si>
    <t>献祭：</t>
  </si>
  <si>
    <t>这个职业的御主每当杀死了其他御主的情况下，将可以令与自身契约的一名从者除[宝]以外的属性获得[+5]的[常驻补正]；</t>
  </si>
  <si>
    <t>或消耗一个行动阶段发动，令自身的[耐]属性受到[-20]的常驻惩罚]，令与自身契约的一名从者除[宝]以外的属性获得[+5]的[常驻补正]。</t>
  </si>
  <si>
    <t>技能资源库</t>
  </si>
  <si>
    <t>基础技能</t>
  </si>
  <si>
    <t>特化技能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</si>
  <si>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</si>
  <si>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</si>
  <si>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</si>
  <si>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</si>
  <si>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</si>
  <si>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</si>
  <si>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</si>
  <si>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</si>
  <si>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</si>
  <si>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</si>
  <si>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</si>
  <si>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</si>
  <si>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</si>
  <si>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</si>
  <si>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</si>
  <si>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</si>
  <si>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</si>
  <si>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</si>
  <si>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</si>
  <si>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</si>
  <si>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</si>
  <si>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</si>
  <si>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</si>
  <si>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</si>
  <si>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</si>
  <si>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</si>
  <si>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</si>
  <si>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</si>
  <si>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</si>
  <si>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常驻</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</si>
  <si>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</si>
  <si>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</si>
  <si>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</si>
  <si>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</si>
  <si>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</si>
  <si>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</si>
  <si>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</si>
  <si>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</si>
  <si>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</si>
  <si>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</si>
  <si>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</si>
  <si>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</si>
  <si>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</si>
  <si>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</si>
  <si>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</si>
  <si>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</si>
  <si>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</si>
  <si>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</si>
  <si>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</si>
  <si>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</si>
  <si>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</si>
  <si>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</si>
  <si>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</si>
  <si>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随时</t>
  </si>
  <si>
    <t>本次圣杯战争仅能使用一次，令与自身有关且是自身所签订的一项[契约]失效，且对方将无法察觉[契约]的失效。</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</si>
  <si>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</si>
  <si>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</si>
  <si>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</si>
  <si>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</si>
  <si>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</si>
  <si>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</si>
  <si>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</si>
  <si>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</si>
  <si>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</si>
  <si>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</si>
  <si>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</si>
  <si>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</si>
  <si>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</si>
  <si>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</si>
  <si>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</si>
  <si>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</si>
  <si>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</si>
  <si>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</si>
  <si>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</si>
  <si>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</si>
  <si>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</si>
  <si>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</si>
  <si>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</si>
  <si>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</si>
  <si>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</si>
  <si>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</si>
  <si>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</si>
  <si>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</si>
  <si>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</si>
  <si>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</si>
  <si>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</si>
  <si>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</si>
  <si>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</si>
  <si>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</si>
  <si>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</si>
  <si>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</si>
  <si>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可分配资源</t>
  </si>
  <si>
    <t>筋力：</t>
  </si>
  <si>
    <t>耐力：</t>
  </si>
  <si>
    <t>敏捷：</t>
  </si>
  <si>
    <t>魔力：</t>
  </si>
  <si>
    <t>幸运：</t>
  </si>
  <si>
    <t>回路：</t>
  </si>
  <si>
    <t>中立-善</t>
  </si>
  <si>
    <t>混沌-善</t>
  </si>
  <si>
    <t>秩序-中立</t>
  </si>
  <si>
    <t>中立-中庸</t>
  </si>
  <si>
    <t>混沌-中立</t>
  </si>
  <si>
    <t>秩序-邪</t>
  </si>
  <si>
    <t>中立-邪</t>
  </si>
  <si>
    <t>混沌-邪</t>
  </si>
  <si>
    <t>秩序-狂</t>
  </si>
  <si>
    <t>中立-狂</t>
  </si>
  <si>
    <t>混沌-狂</t>
  </si>
  <si>
    <t>空</t>
  </si>
  <si>
    <t>骰值1D8</t>
  </si>
  <si>
    <t>关系</t>
  </si>
  <si>
    <t>(态度)</t>
  </si>
  <si>
    <t>依赖</t>
  </si>
  <si>
    <t>独占欲</t>
  </si>
  <si>
    <t>等级转化资源</t>
  </si>
  <si>
    <t>轻蔑</t>
  </si>
  <si>
    <t>敌视</t>
  </si>
  <si>
    <t>仇恨</t>
  </si>
  <si>
    <t>支配欲</t>
  </si>
  <si>
    <t>伪·直死之魔眼</t>
  </si>
  <si>
    <t>战斗开始时</t>
  </si>
  <si>
    <t>[支援]
给予敌方[主力位]以[抗性下降：-25%]。
自身对其发起负面判定时，自身[筋力][敏捷][耐久]每有一项高于目标，则使此次判定获得[+10%]
最终成功率补正。</t>
  </si>
  <si>
    <t>此技能仅能在初始工序和主要工序中发动。
给予自身[筋力][耐久][敏捷]三项属性当中任一属性[+15]的属性补正；同一项属性以此法获得的
属性补正至多为[30]。
此技能至多在一场战斗中发动[6/5/4/3/2]次。
此技能在同一工序内的多次发动视为同一次发动。
特别的，圣杯战争限一次在[交流]中允许当前灵脉上任意持有[类型：魔术]技能的从者单位消耗
[90]魔力指定自身，使此技能带来的属性补正和补正上限数值永久翻倍</t>
  </si>
  <si>
    <t>天人合一</t>
  </si>
  <si>
    <t>技艺</t>
  </si>
  <si>
    <t>此技能仅能在初始工序和主要工序中发动。
给予自身[筋力][耐久][敏捷]三项属性当中任一属性[+15]的属性补正；同一项属性以此法获得的
属性补正至多为[30]。
此技能至多在一场战斗中发动[6]次。
此技能在同一工序内的多次发动视为同一次发动。
特别的，圣杯战争限一次在[交流]中允许当前灵脉上任意持有[类型：魔术]技能的从者单位消耗
[90]魔力指定自身，使此技能带来的属性补正和补正上限数值永久翻倍</t>
  </si>
  <si>
    <t>魔剑传承</t>
  </si>
  <si>
    <t>，</t>
  </si>
  <si>
    <t>建卡时，额外支付[2]RP点记为扩容，从从者资源库中获取一件[面向：魔剑]的宝具。
以此方式获取的[面向：魔剑]宝具，其不会产生首次解放带来的效果，在判定上视为 A 级的[
类型：技艺]技能，并移除[主力位]词条。
以此方式获取的[面向：魔剑]宝具，在受到使效果等级下降的效果时，每下降[1]级将令其发
起的判定受到[-20%]的成功率惩罚。
特别的，以此方式获取的[面向：魔剑]宝具，在其他单位作为额外技能获取时，其效果等级
始终下降[2]级。</t>
  </si>
  <si>
    <t>荣冠</t>
  </si>
  <si>
    <t>常柱</t>
  </si>
  <si>
    <t>无明三段突</t>
  </si>
  <si>
    <t xml:space="preserve">令敌方主力位受到三次成功率=[80%]的负面判定（视为[即死]判定），若目标[敏捷]属性不小于
[40]，则这个判定的成功率减半。
每个成功的判定，都将令目标[筋力][耐久][敏捷]三项属性中一项属性受到[-20]的属性惩罚，若
目标对应属性存在补正，则这个属性惩罚减半；
若本次解放中，此宝具判定成功数达到[3]，则额外对目标造成一次[即死]效果，若不消耗一枚令
咒抵消，则立即退场。每场战斗中，此效果仅会在此宝具首次生效时生效。
解放此宝具后，给予自身[迟滞 1]。</t>
  </si>
  <si>
    <t>对人魔剑</t>
  </si>
</sst>
</file>

<file path=xl/styles.xml><?xml version="1.0" encoding="utf-8"?>
<styleSheet xmlns="http://schemas.openxmlformats.org/spreadsheetml/2006/main">
  <numFmts count="4">
    <numFmt numFmtId="0" formatCode="General"/>
    <numFmt numFmtId="164" formatCode="[&gt;0]\ &quot;+&quot;?;[&lt;0]&quot;-&quot;?;General"/>
    <numFmt numFmtId="49" formatCode="@"/>
    <numFmt numFmtId="165" formatCode="&quot;/&quot;@"/>
  </numFmts>
  <fonts count="41">
    <font>
      <name val="宋体"/>
      <sz val="12"/>
    </font>
    <font>
      <name val="宋体"/>
      <b/>
      <charset val="136"/>
      <sz val="45"/>
      <color rgb="FFFF0000"/>
    </font>
    <font>
      <name val="新細明體"/>
      <charset val="136"/>
      <sz val="11"/>
      <color rgb="FF000000"/>
    </font>
    <font>
      <name val="宋体"/>
      <charset val="136"/>
      <sz val="12"/>
      <color rgb="FF000000"/>
    </font>
    <font>
      <name val="宋体"/>
      <charset val="136"/>
      <sz val="12"/>
    </font>
    <font>
      <name val="宋体"/>
      <b/>
      <charset val="136"/>
      <sz val="12"/>
      <color rgb="FFFF0000"/>
    </font>
    <font>
      <name val="微軟正黑體"/>
      <charset val="136"/>
      <sz val="12"/>
      <color rgb="FF000000"/>
    </font>
    <font>
      <name val="Microsoft JhengHei"/>
      <charset val="136"/>
      <sz val="12"/>
      <color rgb="FF000000"/>
    </font>
    <font>
      <name val="微软雅黑"/>
      <charset val="136"/>
      <sz val="12"/>
      <color rgb="FF000000"/>
    </font>
    <font>
      <name val="微软雅黑"/>
      <charset val="134"/>
      <sz val="11"/>
      <color rgb="FF000000"/>
    </font>
    <font>
      <name val="Microsoft JhengHei"/>
      <charset val="134"/>
      <sz val="11"/>
      <color rgb="FF000000"/>
    </font>
    <font>
      <name val="Microsoft JhengHei"/>
      <charset val="136"/>
      <sz val="11"/>
      <color rgb="FF000000"/>
    </font>
    <font>
      <name val="Microsoft JhengHei"/>
      <charset val="134"/>
      <sz val="11"/>
    </font>
    <font>
      <name val="Microsoft JhengHei"/>
      <charset val="134"/>
      <sz val="11"/>
      <color rgb="FFFFFFFF"/>
    </font>
    <font>
      <name val="Microsoft JhengHei"/>
      <charset val="134"/>
      <sz val="12"/>
    </font>
    <font>
      <name val="Microsoft JhengHei"/>
      <charset val="134"/>
      <sz val="12"/>
      <color rgb="FFFFFFFF"/>
    </font>
    <font>
      <name val="微软雅黑"/>
      <charset val="136"/>
      <sz val="12"/>
    </font>
    <font>
      <name val="Microsoft JhengHei"/>
      <charset val="134"/>
      <sz val="18"/>
      <color rgb="FF000000"/>
    </font>
    <font>
      <name val="Microsoft JhengHei"/>
      <b/>
      <charset val="136"/>
      <sz val="11"/>
      <color rgb="FF000000"/>
    </font>
    <font>
      <name val="Microsoft JhengHei"/>
      <charset val="134"/>
      <sz val="12"/>
      <color rgb="FF000000"/>
    </font>
    <font>
      <name val="Microsoft JhengHei"/>
      <b/>
      <charset val="134"/>
      <sz val="11"/>
    </font>
    <font>
      <name val="Microsoft JhengHei"/>
      <b/>
      <charset val="134"/>
      <sz val="11"/>
      <color rgb="FF000000"/>
    </font>
    <font>
      <name val="Microsoft JhengHei"/>
      <charset val="134"/>
      <sz val="10"/>
      <color rgb="FF000000"/>
    </font>
    <font>
      <name val="微软雅黑"/>
      <charset val="134"/>
      <sz val="12"/>
      <color rgb="FF000000"/>
    </font>
    <font>
      <name val="Microsoft JhengHei"/>
      <charset val="134"/>
      <sz val="18"/>
    </font>
    <font>
      <name val="Microsoft JhengHei"/>
      <b/>
      <charset val="134"/>
      <sz val="18"/>
      <color rgb="FF000000"/>
    </font>
    <font>
      <name val="KaiTi"/>
      <charset val="134"/>
      <sz val="11"/>
    </font>
    <font>
      <name val="KaiTi"/>
      <charset val="134"/>
      <sz val="12"/>
    </font>
    <font>
      <name val="宋体"/>
      <charset val="134"/>
      <sz val="12"/>
      <color rgb="FF000000"/>
    </font>
    <font>
      <name val="微軟正黑體"/>
      <charset val="134"/>
      <sz val="11"/>
      <color rgb="FF000000"/>
    </font>
    <font>
      <name val="kaiti"/>
      <charset val="136"/>
      <sz val="12"/>
      <color rgb="FF000000"/>
    </font>
    <font>
      <name val="KaiTi"/>
      <charset val="134"/>
      <sz val="11"/>
      <color rgb="FF000000"/>
    </font>
    <font>
      <name val="宋体"/>
      <charset val="134"/>
      <sz val="12"/>
    </font>
    <font>
      <name val="KaiTi"/>
      <charset val="134"/>
      <sz val="12"/>
      <color rgb="FF000000"/>
    </font>
    <font>
      <name val="微軟正黑體"/>
      <charset val="136"/>
      <sz val="12"/>
    </font>
    <font>
      <name val="宋体"/>
      <charset val="134"/>
      <sz val="12"/>
      <color rgb="FF000000"/>
    </font>
    <font>
      <name val="KaiTi"/>
      <b/>
      <charset val="134"/>
      <sz val="12"/>
      <color rgb="FF000000"/>
    </font>
    <font>
      <name val="宋体"/>
      <b/>
      <charset val="136"/>
      <sz val="11"/>
      <color rgb="FF1F497D"/>
    </font>
    <font>
      <name val="宋体"/>
      <charset val="136"/>
      <sz val="12"/>
      <color rgb="FF3F3F76"/>
    </font>
    <font>
      <name val="宋体"/>
      <charset val="136"/>
      <sz val="11"/>
      <color rgb="FF006100"/>
    </font>
    <font>
      <name val="宋体"/>
      <b/>
      <charset val="136"/>
      <sz val="15"/>
      <color rgb="FF1F497D"/>
    </font>
  </fonts>
  <fills count="29">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C4D79B"/>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DA9694"/>
        <bgColor indexed="64"/>
      </patternFill>
    </fill>
    <fill>
      <patternFill patternType="solid">
        <fgColor rgb="FFBFBFBF"/>
        <bgColor indexed="64"/>
      </patternFill>
    </fill>
    <fill>
      <patternFill patternType="solid">
        <fgColor rgb="FFFFC000"/>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8DB4E2"/>
        <bgColor indexed="64"/>
      </patternFill>
    </fill>
    <fill>
      <patternFill patternType="solid">
        <fgColor rgb="FF92D050"/>
        <bgColor indexed="64"/>
      </patternFill>
    </fill>
    <fill>
      <patternFill patternType="solid">
        <fgColor rgb="FFFFCC99"/>
        <bgColor indexed="64"/>
      </patternFill>
    </fill>
    <fill>
      <patternFill patternType="solid">
        <fgColor rgb="FFC6EFCE"/>
        <bgColor indexed="64"/>
      </patternFill>
    </fill>
  </fills>
  <borders count="84">
    <border>
      <left/>
      <right/>
      <top/>
      <bottom/>
      <diagonal/>
    </border>
    <border>
      <left/>
      <right/>
      <top/>
      <bottom style="medium">
        <color indexed="64"/>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rgb="FFBFBFBF"/>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rgb="FF7F7F7F"/>
      </right>
      <top style="thin">
        <color indexed="64"/>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medium">
        <color indexed="64"/>
      </right>
      <top style="thin">
        <color indexed="64"/>
      </top>
      <bottom style="thin">
        <color rgb="FF7F7F7F"/>
      </bottom>
      <diagonal/>
    </border>
    <border>
      <left style="medium">
        <color indexed="64"/>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thin">
        <color indexed="64"/>
      </left>
      <right/>
      <top style="thin">
        <color indexed="64"/>
      </top>
      <bottom style="medium">
        <color indexed="64"/>
      </bottom>
      <diagonal/>
    </border>
    <border>
      <left style="medium">
        <color indexed="64"/>
      </left>
      <right style="thin">
        <color rgb="FF7F7F7F"/>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rgb="FF7F7F7F"/>
      </left>
      <right/>
      <top style="thin">
        <color indexed="64"/>
      </top>
      <bottom style="thin">
        <color rgb="FF7F7F7F"/>
      </bottom>
      <diagonal/>
    </border>
    <border>
      <left style="thin">
        <color rgb="FF7F7F7F"/>
      </left>
      <right/>
      <top style="thin">
        <color rgb="FF7F7F7F"/>
      </top>
      <bottom style="thin">
        <color rgb="FF7F7F7F"/>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medium">
        <color indexed="64"/>
      </right>
      <top style="thin">
        <color rgb="FF7F7F7F"/>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bottom style="medium">
        <color rgb="FF95B3D7"/>
      </bottom>
      <diagonal/>
    </border>
    <border>
      <left/>
      <right/>
      <top/>
      <bottom style="medium">
        <color rgb="FF4F81BD"/>
      </bottom>
      <diagonal/>
    </border>
  </borders>
  <cellStyleXfs count="8">
    <xf numFmtId="0" fontId="0" fillId="0" borderId="0">
      <alignment vertical="center"/>
    </xf>
    <xf numFmtId="0" fontId="35" fillId="0" borderId="0">
      <alignment vertical="bottom"/>
      <protection locked="0" hidden="0"/>
    </xf>
    <xf numFmtId="0" fontId="37" fillId="0" borderId="0">
      <alignment vertical="bottom"/>
      <protection locked="0" hidden="0"/>
    </xf>
    <xf numFmtId="0" fontId="37" fillId="0" borderId="0">
      <alignment vertical="bottom"/>
      <protection locked="0" hidden="0"/>
    </xf>
    <xf numFmtId="0" fontId="38" fillId="27" borderId="58">
      <alignment vertical="bottom"/>
      <protection locked="0" hidden="0"/>
    </xf>
    <xf numFmtId="0" fontId="39" fillId="28" borderId="0">
      <alignment vertical="bottom"/>
      <protection locked="0" hidden="0"/>
    </xf>
    <xf numFmtId="0" fontId="37" fillId="0" borderId="82">
      <alignment vertical="bottom"/>
      <protection locked="0" hidden="0"/>
    </xf>
    <xf numFmtId="0" fontId="40" fillId="0" borderId="83">
      <alignment vertical="bottom"/>
      <protection locked="0" hidden="0"/>
    </xf>
  </cellStyleXfs>
  <cellXfs count="458">
    <xf numFmtId="0" fontId="0" fillId="0" borderId="0" xfId="0">
      <alignment vertical="center"/>
    </xf>
    <xf numFmtId="0" fontId="1" fillId="0" borderId="0" xfId="0" applyFont="1" applyAlignment="1">
      <alignment horizontal="left" vertical="top" wrapText="1"/>
    </xf>
    <xf numFmtId="0" fontId="2" fillId="0" borderId="0" xfId="0" applyFont="1">
      <alignment vertical="center"/>
    </xf>
    <xf numFmtId="0" fontId="3" fillId="0" borderId="0" xfId="0" applyFont="1" applyFill="1">
      <alignment vertical="center"/>
    </xf>
    <xf numFmtId="0" fontId="3" fillId="0" borderId="0" xfId="0" applyFont="1" applyAlignment="1">
      <alignment horizontal="center" vertical="center"/>
    </xf>
    <xf numFmtId="0" fontId="4" fillId="0" borderId="0" xfId="0" applyFont="1">
      <alignment vertical="center"/>
    </xf>
    <xf numFmtId="0" fontId="5" fillId="0" borderId="0" xfId="0" applyFont="1">
      <alignment vertical="center"/>
    </xf>
    <xf numFmtId="0" fontId="3" fillId="0" borderId="0" xfId="0" applyFont="1">
      <alignment vertical="center"/>
    </xf>
    <xf numFmtId="0" fontId="3" fillId="0" borderId="0" xfId="0" applyFont="1" applyAlignment="1">
      <alignment horizontal="center" vertical="center" wrapText="1"/>
    </xf>
    <xf numFmtId="0" fontId="6" fillId="0" borderId="0" xfId="0" applyFont="1">
      <alignment vertical="center"/>
    </xf>
    <xf numFmtId="0" fontId="7" fillId="0" borderId="0" xfId="0" applyFont="1">
      <alignment vertical="center"/>
    </xf>
    <xf numFmtId="0" fontId="2" fillId="0" borderId="0" xfId="0" applyFont="1" applyAlignment="1">
      <alignment horizontal="center" vertical="center"/>
    </xf>
    <xf numFmtId="0" fontId="8" fillId="0" borderId="0" xfId="0" applyFont="1">
      <alignment vertical="center"/>
    </xf>
    <xf numFmtId="0" fontId="8" fillId="0" borderId="1" xfId="0" applyFont="1" applyBorder="1">
      <alignment vertical="center"/>
    </xf>
    <xf numFmtId="0" fontId="8" fillId="0" borderId="1" xfId="0" applyFont="1" applyBorder="1" applyAlignment="1">
      <alignment horizontal="center" vertical="center"/>
    </xf>
    <xf numFmtId="0" fontId="9" fillId="0" borderId="0" xfId="0" applyFont="1" applyFill="1" applyAlignment="1">
      <alignment horizontal="center" vertical="center"/>
    </xf>
    <xf numFmtId="0" fontId="8" fillId="0" borderId="0" xfId="0" applyFont="1" applyFill="1">
      <alignment vertical="center"/>
    </xf>
    <xf numFmtId="0" fontId="8" fillId="0" borderId="2" xfId="0" applyFont="1" applyBorder="1">
      <alignment vertical="center"/>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5" xfId="1" applyFont="1" applyFill="1" applyBorder="1" applyAlignment="1">
      <alignment horizontal="center" vertical="center"/>
    </xf>
    <xf numFmtId="0" fontId="10" fillId="2" borderId="6" xfId="1" applyFont="1" applyFill="1" applyBorder="1" applyAlignment="1">
      <alignment horizontal="center" vertical="center"/>
    </xf>
    <xf numFmtId="0" fontId="10" fillId="2" borderId="7" xfId="1" applyFont="1" applyFill="1" applyBorder="1" applyAlignment="1">
      <alignment horizontal="center" vertical="center"/>
    </xf>
    <xf numFmtId="0" fontId="10" fillId="2" borderId="8" xfId="1" applyFont="1" applyFill="1" applyBorder="1" applyAlignment="1">
      <alignment horizontal="center" vertical="center"/>
    </xf>
    <xf numFmtId="0" fontId="10" fillId="2" borderId="9" xfId="1" applyFont="1" applyFill="1" applyBorder="1" applyAlignment="1">
      <alignment horizontal="center" vertical="center"/>
    </xf>
    <xf numFmtId="0" fontId="11" fillId="2" borderId="10" xfId="0" applyFont="1" applyFill="1" applyBorder="1" applyAlignment="1">
      <alignment horizontal="center" vertical="center"/>
    </xf>
    <xf numFmtId="164" fontId="12" fillId="3" borderId="11" xfId="1" applyNumberFormat="1" applyFont="1" applyFill="1" applyBorder="1" applyAlignment="1">
      <alignment horizontal="center" vertical="center"/>
    </xf>
    <xf numFmtId="164" fontId="13" fillId="3" borderId="12" xfId="1" applyNumberFormat="1" applyFont="1" applyFill="1" applyBorder="1" applyAlignment="1">
      <alignment horizontal="center" vertical="center"/>
    </xf>
    <xf numFmtId="164" fontId="13" fillId="3" borderId="13" xfId="1" applyNumberFormat="1" applyFont="1" applyFill="1" applyBorder="1" applyAlignment="1">
      <alignment horizontal="center" vertical="center"/>
    </xf>
    <xf numFmtId="0" fontId="7" fillId="0" borderId="0" xfId="0" applyFont="1" applyFill="1">
      <alignment vertical="center"/>
    </xf>
    <xf numFmtId="164" fontId="14" fillId="3" borderId="11" xfId="1" applyNumberFormat="1" applyFont="1" applyFill="1" applyBorder="1" applyAlignment="1">
      <alignment horizontal="center" vertical="center" wrapText="1"/>
    </xf>
    <xf numFmtId="164" fontId="15" fillId="3" borderId="12" xfId="1" applyNumberFormat="1" applyFont="1" applyFill="1" applyBorder="1" applyAlignment="1">
      <alignment horizontal="center" vertical="center" wrapText="1"/>
    </xf>
    <xf numFmtId="164" fontId="15" fillId="3" borderId="13" xfId="1" applyNumberFormat="1" applyFont="1" applyFill="1" applyBorder="1" applyAlignment="1">
      <alignment horizontal="center" vertical="center" wrapText="1"/>
    </xf>
    <xf numFmtId="0" fontId="16" fillId="0" borderId="0" xfId="0" applyFont="1">
      <alignment vertical="center"/>
    </xf>
    <xf numFmtId="0" fontId="17" fillId="0" borderId="11" xfId="1" applyFont="1" applyBorder="1" applyAlignment="1">
      <alignment horizontal="center" vertical="center"/>
    </xf>
    <xf numFmtId="0" fontId="17" fillId="0" borderId="12" xfId="1" applyFont="1" applyBorder="1" applyAlignment="1">
      <alignment horizontal="center" vertical="center"/>
    </xf>
    <xf numFmtId="0" fontId="17" fillId="0" borderId="14" xfId="1" applyFont="1" applyBorder="1" applyAlignment="1">
      <alignment horizontal="center" vertical="center"/>
    </xf>
    <xf numFmtId="49" fontId="10" fillId="4" borderId="15" xfId="1" applyNumberFormat="1" applyFont="1" applyFill="1" applyBorder="1" applyAlignment="1">
      <alignment horizontal="center" vertical="center" wrapText="1"/>
      <protection locked="0" hidden="0"/>
    </xf>
    <xf numFmtId="49" fontId="10" fillId="4" borderId="16" xfId="1" applyNumberFormat="1" applyFont="1" applyFill="1" applyBorder="1" applyAlignment="1">
      <alignment horizontal="center" vertical="center" wrapText="1"/>
      <protection locked="0" hidden="0"/>
    </xf>
    <xf numFmtId="49" fontId="10" fillId="4" borderId="17" xfId="1" applyNumberFormat="1" applyFont="1" applyFill="1" applyBorder="1" applyAlignment="1">
      <alignment horizontal="center" vertical="center" wrapText="1"/>
      <protection locked="0" hidden="0"/>
    </xf>
    <xf numFmtId="0" fontId="10" fillId="0" borderId="11" xfId="1" applyFont="1" applyBorder="1" applyAlignment="1">
      <alignment horizontal="center" vertical="center" wrapText="1"/>
      <protection locked="0" hidden="0"/>
    </xf>
    <xf numFmtId="0" fontId="10" fillId="0" borderId="12" xfId="1" applyFont="1" applyBorder="1" applyAlignment="1">
      <alignment horizontal="center" vertical="center" wrapText="1"/>
      <protection locked="0" hidden="0"/>
    </xf>
    <xf numFmtId="0" fontId="10" fillId="0" borderId="13" xfId="1" applyFont="1" applyBorder="1" applyAlignment="1">
      <alignment horizontal="center" vertical="center" wrapText="1"/>
      <protection locked="0" hidden="0"/>
    </xf>
    <xf numFmtId="0" fontId="18" fillId="2" borderId="18" xfId="0" applyFont="1" applyFill="1" applyBorder="1" applyAlignment="1">
      <alignment horizontal="center" vertical="center"/>
    </xf>
    <xf numFmtId="164" fontId="12" fillId="5" borderId="19" xfId="1" applyNumberFormat="1" applyFont="1" applyFill="1" applyBorder="1" applyAlignment="1">
      <alignment horizontal="center" vertical="center"/>
    </xf>
    <xf numFmtId="164" fontId="12" fillId="5" borderId="20" xfId="1" applyNumberFormat="1" applyFont="1" applyFill="1" applyBorder="1" applyAlignment="1">
      <alignment horizontal="center" vertical="center"/>
    </xf>
    <xf numFmtId="164" fontId="12" fillId="6" borderId="20" xfId="1" applyNumberFormat="1" applyFont="1" applyFill="1" applyBorder="1" applyAlignment="1">
      <alignment horizontal="center" vertical="center"/>
    </xf>
    <xf numFmtId="164" fontId="12" fillId="6" borderId="21" xfId="1" applyNumberFormat="1" applyFont="1" applyFill="1" applyBorder="1" applyAlignment="1">
      <alignment horizontal="center" vertical="center"/>
    </xf>
    <xf numFmtId="0" fontId="19" fillId="6" borderId="19" xfId="1" applyFont="1" applyFill="1" applyBorder="1" applyAlignment="1">
      <alignment horizontal="center" vertical="center" wrapText="1"/>
    </xf>
    <xf numFmtId="0" fontId="19" fillId="6" borderId="20" xfId="1" applyFont="1" applyFill="1" applyBorder="1" applyAlignment="1">
      <alignment horizontal="center" vertical="center" wrapText="1"/>
    </xf>
    <xf numFmtId="0" fontId="19" fillId="6" borderId="21" xfId="1" applyFont="1" applyFill="1" applyBorder="1" applyAlignment="1">
      <alignment horizontal="center" vertical="center" wrapText="1"/>
    </xf>
    <xf numFmtId="0" fontId="17" fillId="0" borderId="22" xfId="1" applyFont="1" applyBorder="1" applyAlignment="1">
      <alignment horizontal="center" vertical="center"/>
    </xf>
    <xf numFmtId="0" fontId="17" fillId="0" borderId="23" xfId="1" applyFont="1" applyBorder="1" applyAlignment="1">
      <alignment horizontal="center" vertical="center"/>
    </xf>
    <xf numFmtId="0" fontId="17" fillId="0" borderId="24" xfId="1" applyFont="1" applyBorder="1" applyAlignment="1">
      <alignment horizontal="center" vertical="center"/>
    </xf>
    <xf numFmtId="49" fontId="10" fillId="4" borderId="25" xfId="1" applyNumberFormat="1" applyFont="1" applyFill="1" applyBorder="1" applyAlignment="1">
      <alignment horizontal="center" vertical="center" wrapText="1"/>
      <protection locked="0" hidden="0"/>
    </xf>
    <xf numFmtId="49" fontId="10" fillId="4" borderId="0" xfId="1" applyNumberFormat="1" applyFont="1" applyFill="1" applyAlignment="1">
      <alignment horizontal="center" vertical="center" wrapText="1"/>
      <protection locked="0" hidden="0"/>
    </xf>
    <xf numFmtId="49" fontId="10" fillId="4" borderId="2" xfId="1" applyNumberFormat="1" applyFont="1" applyFill="1" applyBorder="1" applyAlignment="1">
      <alignment horizontal="center" vertical="center" wrapText="1"/>
      <protection locked="0" hidden="0"/>
    </xf>
    <xf numFmtId="0" fontId="10" fillId="0" borderId="19" xfId="1" applyFont="1" applyBorder="1" applyAlignment="1">
      <alignment horizontal="center" vertical="center" wrapText="1"/>
      <protection locked="0" hidden="0"/>
    </xf>
    <xf numFmtId="0" fontId="10" fillId="0" borderId="20" xfId="1" applyFont="1" applyBorder="1" applyAlignment="1">
      <alignment horizontal="center" vertical="center" wrapText="1"/>
      <protection locked="0" hidden="0"/>
    </xf>
    <xf numFmtId="0" fontId="10" fillId="0" borderId="21" xfId="1" applyFont="1" applyBorder="1" applyAlignment="1">
      <alignment horizontal="center" vertical="center" wrapText="1"/>
      <protection locked="0" hidden="0"/>
    </xf>
    <xf numFmtId="0" fontId="18" fillId="0" borderId="0" xfId="0" applyFont="1" applyFill="1" applyAlignment="1">
      <alignment horizontal="center" vertical="center"/>
    </xf>
    <xf numFmtId="0" fontId="10" fillId="5" borderId="19" xfId="1" applyFont="1" applyFill="1" applyBorder="1" applyAlignment="1">
      <alignment horizontal="center" vertical="center"/>
    </xf>
    <xf numFmtId="0" fontId="10" fillId="5" borderId="20" xfId="1" applyFont="1" applyFill="1" applyBorder="1" applyAlignment="1">
      <alignment horizontal="center" vertical="center"/>
    </xf>
    <xf numFmtId="0" fontId="10" fillId="6" borderId="20" xfId="1" applyFont="1" applyFill="1" applyBorder="1" applyAlignment="1">
      <alignment horizontal="center" vertical="center"/>
    </xf>
    <xf numFmtId="0" fontId="10" fillId="6" borderId="21" xfId="1" applyFont="1" applyFill="1" applyBorder="1" applyAlignment="1">
      <alignment horizontal="center" vertical="center"/>
    </xf>
    <xf numFmtId="0" fontId="10" fillId="2" borderId="26" xfId="1" applyFont="1" applyFill="1" applyBorder="1" applyAlignment="1">
      <alignment horizontal="center" vertical="center"/>
    </xf>
    <xf numFmtId="0" fontId="10" fillId="2" borderId="27" xfId="1" applyFont="1" applyFill="1" applyBorder="1" applyAlignment="1">
      <alignment horizontal="center" vertical="center"/>
    </xf>
    <xf numFmtId="0" fontId="10" fillId="2" borderId="28" xfId="1" applyFont="1" applyFill="1" applyBorder="1" applyAlignment="1">
      <alignment horizontal="center" vertical="center"/>
    </xf>
    <xf numFmtId="0" fontId="10" fillId="0" borderId="15" xfId="1" applyFont="1" applyBorder="1" applyAlignment="1">
      <alignment horizontal="center" vertical="center"/>
      <protection locked="0" hidden="0"/>
    </xf>
    <xf numFmtId="0" fontId="10" fillId="0" borderId="16" xfId="1" applyFont="1" applyBorder="1" applyAlignment="1">
      <alignment horizontal="center" vertical="center"/>
      <protection locked="0" hidden="0"/>
    </xf>
    <xf numFmtId="0" fontId="10" fillId="0" borderId="25" xfId="1" applyFont="1" applyBorder="1" applyAlignment="1">
      <alignment horizontal="center" vertical="center"/>
      <protection locked="0" hidden="0"/>
    </xf>
    <xf numFmtId="0" fontId="10" fillId="0" borderId="0" xfId="1" applyFont="1" applyAlignment="1">
      <alignment horizontal="center" vertical="center"/>
      <protection locked="0" hidden="0"/>
    </xf>
    <xf numFmtId="0" fontId="10" fillId="0" borderId="0" xfId="1" applyFont="1" applyBorder="1" applyAlignment="1">
      <alignment horizontal="center" vertical="center"/>
      <protection locked="0" hidden="0"/>
    </xf>
    <xf numFmtId="164" fontId="10" fillId="4" borderId="0" xfId="0" applyNumberFormat="1" applyFont="1" applyFill="1" applyAlignment="1">
      <alignment horizontal="center" vertical="center"/>
    </xf>
    <xf numFmtId="49" fontId="10" fillId="4" borderId="29" xfId="1" applyNumberFormat="1" applyFont="1" applyFill="1" applyBorder="1" applyAlignment="1">
      <alignment horizontal="center" vertical="center" wrapText="1"/>
      <protection locked="0" hidden="0"/>
    </xf>
    <xf numFmtId="49" fontId="10" fillId="4" borderId="1" xfId="1" applyNumberFormat="1" applyFont="1" applyFill="1" applyBorder="1" applyAlignment="1">
      <alignment horizontal="center" vertical="center" wrapText="1"/>
      <protection locked="0" hidden="0"/>
    </xf>
    <xf numFmtId="49" fontId="10" fillId="4" borderId="30" xfId="1" applyNumberFormat="1" applyFont="1" applyFill="1" applyBorder="1" applyAlignment="1">
      <alignment horizontal="center" vertical="center" wrapText="1"/>
      <protection locked="0" hidden="0"/>
    </xf>
    <xf numFmtId="0" fontId="10" fillId="2" borderId="11" xfId="0" applyFont="1" applyFill="1" applyBorder="1" applyAlignment="1">
      <alignment horizontal="center" vertical="center"/>
    </xf>
    <xf numFmtId="0" fontId="10" fillId="4" borderId="12" xfId="0" applyFont="1" applyFill="1" applyBorder="1" applyAlignment="1">
      <alignment horizontal="center" vertical="center"/>
      <protection locked="0" hidden="0"/>
    </xf>
    <xf numFmtId="0" fontId="10" fillId="4" borderId="13" xfId="0" applyFont="1" applyFill="1" applyBorder="1" applyAlignment="1">
      <alignment horizontal="center" vertical="center"/>
      <protection locked="0" hidden="0"/>
    </xf>
    <xf numFmtId="0" fontId="10" fillId="0" borderId="31" xfId="1" applyFont="1" applyBorder="1" applyAlignment="1">
      <alignment horizontal="center" vertical="center" wrapText="1"/>
      <protection locked="0" hidden="0"/>
    </xf>
    <xf numFmtId="164" fontId="12" fillId="5" borderId="32" xfId="1" applyNumberFormat="1" applyFont="1" applyFill="1" applyBorder="1" applyAlignment="1">
      <alignment horizontal="center" vertical="center"/>
    </xf>
    <xf numFmtId="164" fontId="12" fillId="5" borderId="33" xfId="1" applyNumberFormat="1" applyFont="1" applyFill="1" applyBorder="1" applyAlignment="1">
      <alignment horizontal="center" vertical="center"/>
    </xf>
    <xf numFmtId="164" fontId="12" fillId="6" borderId="33" xfId="1" applyNumberFormat="1" applyFont="1" applyFill="1" applyBorder="1" applyAlignment="1">
      <alignment horizontal="center" vertical="center"/>
    </xf>
    <xf numFmtId="164" fontId="12" fillId="6" borderId="34" xfId="1" applyNumberFormat="1" applyFont="1" applyFill="1" applyBorder="1" applyAlignment="1">
      <alignment horizontal="center" vertical="center"/>
    </xf>
    <xf numFmtId="0" fontId="10" fillId="2" borderId="19" xfId="0" applyFont="1" applyFill="1" applyBorder="1" applyAlignment="1">
      <alignment horizontal="center" vertical="center"/>
    </xf>
    <xf numFmtId="0" fontId="10" fillId="4" borderId="20" xfId="0" applyFont="1" applyFill="1" applyBorder="1" applyAlignment="1">
      <alignment horizontal="center" vertical="center"/>
      <protection locked="0" hidden="0"/>
    </xf>
    <xf numFmtId="0" fontId="10" fillId="4" borderId="21" xfId="0" applyFont="1" applyFill="1" applyBorder="1" applyAlignment="1">
      <alignment horizontal="center" vertical="center"/>
      <protection locked="0" hidden="0"/>
    </xf>
    <xf numFmtId="0" fontId="19" fillId="3" borderId="25" xfId="1" applyFont="1" applyFill="1" applyBorder="1" applyAlignment="1">
      <alignment horizontal="center" vertical="center"/>
    </xf>
    <xf numFmtId="0" fontId="19" fillId="3" borderId="0" xfId="1" applyFont="1" applyFill="1" applyBorder="1" applyAlignment="1">
      <alignment horizontal="center" vertical="center"/>
    </xf>
    <xf numFmtId="0" fontId="19" fillId="3" borderId="2" xfId="1" applyFont="1" applyFill="1" applyBorder="1" applyAlignment="1">
      <alignment horizontal="center" vertical="center"/>
    </xf>
    <xf numFmtId="0" fontId="10" fillId="2" borderId="22" xfId="1" applyFont="1" applyFill="1" applyBorder="1" applyAlignment="1">
      <alignment horizontal="center" vertical="center"/>
    </xf>
    <xf numFmtId="0" fontId="10" fillId="4" borderId="20" xfId="1" applyFont="1" applyFill="1" applyBorder="1" applyAlignment="1">
      <alignment horizontal="center" vertical="center"/>
      <protection locked="0" hidden="0"/>
    </xf>
    <xf numFmtId="0" fontId="10" fillId="4" borderId="21" xfId="1" applyFont="1" applyFill="1" applyBorder="1" applyAlignment="1">
      <alignment horizontal="center" vertical="center"/>
      <protection locked="0" hidden="0"/>
    </xf>
    <xf numFmtId="0" fontId="11" fillId="2" borderId="35" xfId="0" applyFont="1" applyFill="1" applyBorder="1" applyAlignment="1">
      <alignment horizontal="center" vertical="center"/>
    </xf>
    <xf numFmtId="0" fontId="12" fillId="5" borderId="19" xfId="2" applyNumberFormat="1" applyFont="1" applyFill="1" applyBorder="1" applyAlignment="1">
      <alignment horizontal="center" vertical="center"/>
    </xf>
    <xf numFmtId="164" fontId="12" fillId="5" borderId="20" xfId="2" applyNumberFormat="1" applyFont="1" applyFill="1" applyBorder="1" applyAlignment="1">
      <alignment horizontal="center" vertical="center"/>
    </xf>
    <xf numFmtId="0" fontId="12" fillId="5" borderId="20" xfId="2" applyNumberFormat="1" applyFont="1" applyFill="1" applyBorder="1" applyAlignment="1">
      <alignment horizontal="center" vertical="center"/>
    </xf>
    <xf numFmtId="0" fontId="12" fillId="5" borderId="21" xfId="2" applyNumberFormat="1" applyFont="1" applyFill="1" applyBorder="1" applyAlignment="1">
      <alignment horizontal="center" vertical="center"/>
    </xf>
    <xf numFmtId="0" fontId="10" fillId="2" borderId="36" xfId="1" applyFont="1" applyFill="1" applyBorder="1" applyAlignment="1">
      <alignment horizontal="center" vertical="center"/>
    </xf>
    <xf numFmtId="0" fontId="18" fillId="2" borderId="37" xfId="0" applyFont="1" applyFill="1" applyBorder="1" applyAlignment="1">
      <alignment horizontal="center" vertical="center"/>
    </xf>
    <xf numFmtId="0" fontId="12" fillId="5" borderId="32" xfId="2" applyNumberFormat="1" applyFont="1" applyFill="1" applyBorder="1" applyAlignment="1">
      <alignment horizontal="center" vertical="center"/>
    </xf>
    <xf numFmtId="164" fontId="12" fillId="5" borderId="33" xfId="2" applyNumberFormat="1" applyFont="1" applyFill="1" applyBorder="1" applyAlignment="1">
      <alignment horizontal="center" vertical="center"/>
    </xf>
    <xf numFmtId="0" fontId="12" fillId="5" borderId="33" xfId="2" applyNumberFormat="1" applyFont="1" applyFill="1" applyBorder="1" applyAlignment="1">
      <alignment horizontal="center" vertical="center"/>
    </xf>
    <xf numFmtId="0" fontId="12" fillId="5" borderId="34" xfId="2" applyNumberFormat="1" applyFont="1" applyFill="1" applyBorder="1" applyAlignment="1">
      <alignment horizontal="center" vertical="center"/>
    </xf>
    <xf numFmtId="0" fontId="19" fillId="6" borderId="32" xfId="1" applyFont="1" applyFill="1" applyBorder="1" applyAlignment="1">
      <alignment horizontal="center" vertical="center" wrapText="1"/>
    </xf>
    <xf numFmtId="0" fontId="19" fillId="6" borderId="33" xfId="1" applyFont="1" applyFill="1" applyBorder="1" applyAlignment="1">
      <alignment horizontal="center" vertical="center" wrapText="1"/>
    </xf>
    <xf numFmtId="0" fontId="19" fillId="6" borderId="34" xfId="1" applyFont="1" applyFill="1" applyBorder="1" applyAlignment="1">
      <alignment horizontal="center" vertical="center" wrapText="1"/>
    </xf>
    <xf numFmtId="0" fontId="10" fillId="2" borderId="19" xfId="1" applyFont="1" applyFill="1" applyBorder="1" applyAlignment="1">
      <alignment horizontal="center" vertical="center"/>
    </xf>
    <xf numFmtId="164" fontId="12" fillId="4" borderId="20" xfId="1" applyNumberFormat="1" applyFont="1" applyFill="1" applyBorder="1" applyAlignment="1">
      <alignment horizontal="center" vertical="center"/>
      <protection locked="0" hidden="0"/>
    </xf>
    <xf numFmtId="164" fontId="12" fillId="4" borderId="21" xfId="1" applyNumberFormat="1" applyFont="1" applyFill="1" applyBorder="1" applyAlignment="1">
      <alignment horizontal="center" vertical="center"/>
      <protection locked="0" hidden="0"/>
    </xf>
    <xf numFmtId="164" fontId="10" fillId="4" borderId="0" xfId="0" applyNumberFormat="1" applyFont="1" applyFill="1" applyAlignment="1">
      <alignment horizontal="center" vertical="center"/>
      <protection locked="0" hidden="0"/>
    </xf>
    <xf numFmtId="0" fontId="20" fillId="7" borderId="6" xfId="2" applyFont="1" applyFill="1" applyBorder="1" applyAlignment="1">
      <alignment horizontal="center" vertical="center"/>
    </xf>
    <xf numFmtId="0" fontId="20" fillId="7" borderId="7" xfId="2" applyNumberFormat="1" applyFont="1" applyFill="1" applyBorder="1" applyAlignment="1">
      <alignment horizontal="center" vertical="center"/>
    </xf>
    <xf numFmtId="0" fontId="20" fillId="7" borderId="7" xfId="2" applyFont="1" applyFill="1" applyBorder="1" applyAlignment="1">
      <alignment horizontal="center" vertical="center"/>
    </xf>
    <xf numFmtId="0" fontId="20" fillId="7" borderId="8" xfId="2" applyNumberFormat="1" applyFont="1" applyFill="1" applyBorder="1" applyAlignment="1">
      <alignment horizontal="center" vertical="center"/>
    </xf>
    <xf numFmtId="0" fontId="10" fillId="0" borderId="29" xfId="1" applyFont="1" applyBorder="1" applyAlignment="1">
      <alignment horizontal="center" vertical="center"/>
      <protection locked="0" hidden="0"/>
    </xf>
    <xf numFmtId="0" fontId="10" fillId="0" borderId="1" xfId="1" applyFont="1" applyBorder="1" applyAlignment="1">
      <alignment horizontal="center" vertical="center"/>
      <protection locked="0" hidden="0"/>
    </xf>
    <xf numFmtId="0" fontId="10" fillId="2" borderId="32" xfId="1" applyFont="1" applyFill="1" applyBorder="1" applyAlignment="1">
      <alignment horizontal="center" vertical="center"/>
    </xf>
    <xf numFmtId="0" fontId="7" fillId="0" borderId="33" xfId="0" applyFont="1" applyBorder="1">
      <alignment vertical="center"/>
    </xf>
    <xf numFmtId="0" fontId="7" fillId="0" borderId="34" xfId="0" applyFont="1" applyBorder="1">
      <alignment vertical="center"/>
    </xf>
    <xf numFmtId="0" fontId="10" fillId="0" borderId="38" xfId="1" applyFont="1" applyBorder="1" applyAlignment="1">
      <alignment horizontal="center" vertical="center" wrapText="1"/>
      <protection locked="0" hidden="0"/>
    </xf>
    <xf numFmtId="0" fontId="10" fillId="0" borderId="33" xfId="1" applyFont="1" applyBorder="1" applyAlignment="1">
      <alignment horizontal="center" vertical="center" wrapText="1"/>
      <protection locked="0" hidden="0"/>
    </xf>
    <xf numFmtId="0" fontId="10" fillId="0" borderId="34" xfId="1" applyFont="1" applyBorder="1" applyAlignment="1">
      <alignment horizontal="center" vertical="center" wrapText="1"/>
      <protection locked="0" hidden="0"/>
    </xf>
    <xf numFmtId="0" fontId="10" fillId="0" borderId="0" xfId="1" applyFont="1" applyFill="1" applyAlignment="1">
      <alignment horizontal="center" vertical="center"/>
    </xf>
    <xf numFmtId="0" fontId="10" fillId="7" borderId="11" xfId="2" applyFont="1" applyFill="1" applyBorder="1" applyAlignment="1">
      <alignment horizontal="center" vertical="center" wrapText="1"/>
    </xf>
    <xf numFmtId="0" fontId="10" fillId="7" borderId="12" xfId="2" applyFont="1" applyFill="1" applyBorder="1" applyAlignment="1">
      <alignment horizontal="center" vertical="center" wrapText="1"/>
    </xf>
    <xf numFmtId="0" fontId="10" fillId="2" borderId="39" xfId="0" applyFont="1" applyFill="1" applyBorder="1" applyAlignment="1">
      <alignment horizontal="center" vertical="center"/>
    </xf>
    <xf numFmtId="0" fontId="10" fillId="2" borderId="40" xfId="3" applyFont="1" applyFill="1" applyBorder="1" applyAlignment="1">
      <alignment horizontal="center" vertical="center"/>
    </xf>
    <xf numFmtId="0" fontId="10" fillId="2" borderId="41" xfId="0" applyFont="1" applyFill="1" applyBorder="1" applyAlignment="1">
      <alignment horizontal="center" vertical="center"/>
    </xf>
    <xf numFmtId="0" fontId="10" fillId="0" borderId="25" xfId="1" applyFont="1" applyFill="1" applyBorder="1" applyAlignment="1">
      <alignment horizontal="center" vertical="center"/>
      <protection locked="0" hidden="0"/>
    </xf>
    <xf numFmtId="0" fontId="10" fillId="7" borderId="19" xfId="2" applyFont="1" applyFill="1" applyBorder="1" applyAlignment="1">
      <alignment horizontal="center" vertical="center" wrapText="1"/>
    </xf>
    <xf numFmtId="0" fontId="10" fillId="7" borderId="20" xfId="2" applyFont="1" applyFill="1" applyBorder="1" applyAlignment="1">
      <alignment horizontal="center" vertical="center" wrapText="1"/>
    </xf>
    <xf numFmtId="0" fontId="10" fillId="2" borderId="31" xfId="0" applyFont="1" applyFill="1" applyBorder="1" applyAlignment="1">
      <alignment horizontal="center" vertical="center" wrapText="1"/>
    </xf>
    <xf numFmtId="0" fontId="21" fillId="2" borderId="20" xfId="0" applyNumberFormat="1" applyFont="1" applyFill="1" applyBorder="1" applyAlignment="1">
      <alignment horizontal="center" vertical="center"/>
    </xf>
    <xf numFmtId="49" fontId="21" fillId="2" borderId="20" xfId="0" applyNumberFormat="1" applyFont="1" applyFill="1" applyBorder="1" applyAlignment="1">
      <alignment horizontal="center" vertical="center"/>
    </xf>
    <xf numFmtId="0" fontId="21" fillId="2" borderId="42" xfId="0" applyFont="1" applyFill="1" applyBorder="1" applyAlignment="1">
      <alignment horizontal="center" vertical="center"/>
    </xf>
    <xf numFmtId="0" fontId="10" fillId="4" borderId="25" xfId="3" applyFont="1" applyFill="1" applyBorder="1" applyAlignment="1">
      <alignment horizontal="center" vertical="bottom" wrapText="1"/>
      <protection locked="0" hidden="0"/>
    </xf>
    <xf numFmtId="0" fontId="10" fillId="2" borderId="31" xfId="1" applyFont="1" applyFill="1" applyBorder="1" applyAlignment="1">
      <alignment horizontal="center" vertical="center" wrapText="1"/>
    </xf>
    <xf numFmtId="164" fontId="10" fillId="2" borderId="20" xfId="1" applyNumberFormat="1" applyFont="1" applyFill="1" applyBorder="1" applyAlignment="1">
      <alignment horizontal="center" vertical="center"/>
      <protection locked="0" hidden="0"/>
    </xf>
    <xf numFmtId="0" fontId="10" fillId="2" borderId="20" xfId="3" applyFont="1" applyFill="1" applyBorder="1" applyAlignment="1">
      <alignment horizontal="center" vertical="center"/>
    </xf>
    <xf numFmtId="0" fontId="10" fillId="2" borderId="20" xfId="0" applyNumberFormat="1" applyFont="1" applyFill="1" applyBorder="1" applyAlignment="1">
      <alignment horizontal="center" vertical="center"/>
    </xf>
    <xf numFmtId="0" fontId="10" fillId="2" borderId="20" xfId="0" applyFont="1" applyFill="1" applyBorder="1" applyAlignment="1">
      <alignment horizontal="center" vertical="center"/>
    </xf>
    <xf numFmtId="0" fontId="21" fillId="2" borderId="42" xfId="1" applyFont="1" applyFill="1" applyBorder="1" applyAlignment="1">
      <alignment horizontal="center" vertical="center"/>
    </xf>
    <xf numFmtId="0" fontId="7" fillId="0" borderId="25" xfId="0" applyFont="1" applyBorder="1">
      <alignment vertical="center"/>
    </xf>
    <xf numFmtId="0" fontId="10" fillId="4" borderId="20" xfId="3" applyFont="1" applyFill="1" applyBorder="1" applyAlignment="1">
      <alignment horizontal="center" vertical="center"/>
      <protection locked="0" hidden="0"/>
    </xf>
    <xf numFmtId="0" fontId="10" fillId="4" borderId="20" xfId="0" applyNumberFormat="1" applyFont="1" applyFill="1" applyBorder="1" applyAlignment="1">
      <alignment horizontal="center" vertical="center"/>
      <protection locked="0" hidden="0"/>
    </xf>
    <xf numFmtId="0" fontId="10" fillId="0" borderId="20" xfId="1" applyFont="1" applyBorder="1" applyAlignment="1">
      <alignment horizontal="center" vertical="center"/>
      <protection locked="0" hidden="0"/>
    </xf>
    <xf numFmtId="0" fontId="10" fillId="2" borderId="42" xfId="1" applyFont="1" applyFill="1" applyBorder="1" applyAlignment="1">
      <alignment horizontal="center" vertical="center"/>
    </xf>
    <xf numFmtId="0" fontId="10" fillId="2" borderId="43" xfId="0" applyFont="1" applyFill="1" applyBorder="1" applyAlignment="1">
      <alignment horizontal="center" vertical="center" wrapText="1"/>
    </xf>
    <xf numFmtId="0" fontId="10" fillId="4" borderId="23" xfId="0" applyFont="1" applyFill="1" applyBorder="1" applyAlignment="1">
      <alignment horizontal="center" vertical="center"/>
      <protection locked="0" hidden="0"/>
    </xf>
    <xf numFmtId="164" fontId="10" fillId="4" borderId="23" xfId="3" applyNumberFormat="1" applyFont="1" applyFill="1" applyBorder="1" applyAlignment="1">
      <alignment horizontal="center" vertical="center"/>
      <protection locked="0" hidden="0"/>
    </xf>
    <xf numFmtId="164" fontId="10" fillId="4" borderId="23" xfId="0" applyNumberFormat="1" applyFont="1" applyFill="1" applyBorder="1" applyAlignment="1">
      <alignment horizontal="center" vertical="center"/>
      <protection locked="0" hidden="0"/>
    </xf>
    <xf numFmtId="0" fontId="21" fillId="2" borderId="24" xfId="0" applyNumberFormat="1" applyFont="1" applyFill="1" applyBorder="1" applyAlignment="1">
      <alignment horizontal="center" vertical="center"/>
    </xf>
    <xf numFmtId="0" fontId="10" fillId="7" borderId="32" xfId="2" applyFont="1" applyFill="1" applyBorder="1" applyAlignment="1">
      <alignment horizontal="center" vertical="center" wrapText="1"/>
    </xf>
    <xf numFmtId="0" fontId="20" fillId="8" borderId="26" xfId="2" applyFont="1" applyFill="1" applyBorder="1" applyAlignment="1">
      <alignment horizontal="center" vertical="center"/>
    </xf>
    <xf numFmtId="0" fontId="20" fillId="8" borderId="27" xfId="2" applyNumberFormat="1" applyFont="1" applyFill="1" applyBorder="1" applyAlignment="1">
      <alignment horizontal="center" vertical="center"/>
    </xf>
    <xf numFmtId="0" fontId="20" fillId="8" borderId="27" xfId="2" applyFont="1" applyFill="1" applyBorder="1" applyAlignment="1">
      <alignment horizontal="center" vertical="center"/>
    </xf>
    <xf numFmtId="0" fontId="20" fillId="8" borderId="44" xfId="2" applyNumberFormat="1" applyFont="1" applyFill="1" applyBorder="1" applyAlignment="1">
      <alignment horizontal="center" vertical="center"/>
    </xf>
    <xf numFmtId="0" fontId="20" fillId="9" borderId="45" xfId="3" applyFont="1" applyFill="1" applyBorder="1" applyAlignment="1">
      <alignment horizontal="center" vertical="center"/>
    </xf>
    <xf numFmtId="0" fontId="20" fillId="9" borderId="46" xfId="3" applyFont="1" applyFill="1" applyBorder="1" applyAlignment="1">
      <alignment horizontal="center" vertical="center"/>
    </xf>
    <xf numFmtId="0" fontId="20" fillId="9" borderId="46" xfId="3" applyNumberFormat="1" applyFont="1" applyFill="1" applyBorder="1" applyAlignment="1">
      <alignment horizontal="center" vertical="center"/>
    </xf>
    <xf numFmtId="0" fontId="20" fillId="9" borderId="47" xfId="3" applyNumberFormat="1" applyFont="1" applyFill="1" applyBorder="1" applyAlignment="1">
      <alignment horizontal="center" vertical="center"/>
    </xf>
    <xf numFmtId="0" fontId="10" fillId="10" borderId="36" xfId="2" applyFont="1" applyFill="1" applyBorder="1" applyAlignment="1">
      <alignment horizontal="center" vertical="center" wrapText="1"/>
    </xf>
    <xf numFmtId="0" fontId="10" fillId="0" borderId="40" xfId="1" applyFont="1" applyBorder="1" applyAlignment="1">
      <alignment horizontal="center" vertical="center" wrapText="1"/>
      <protection locked="0" hidden="0"/>
    </xf>
    <xf numFmtId="0" fontId="10" fillId="10" borderId="40" xfId="2" applyFont="1" applyFill="1" applyBorder="1" applyAlignment="1">
      <alignment horizontal="center" vertical="center" wrapText="1"/>
    </xf>
    <xf numFmtId="0" fontId="10" fillId="4" borderId="40" xfId="2" applyFont="1" applyFill="1" applyBorder="1" applyAlignment="1">
      <alignment horizontal="center" vertical="center" wrapText="1"/>
      <protection locked="0" hidden="0"/>
    </xf>
    <xf numFmtId="0" fontId="10" fillId="10" borderId="40" xfId="2" applyFont="1" applyFill="1" applyBorder="1" applyAlignment="1">
      <alignment horizontal="center" vertical="center"/>
    </xf>
    <xf numFmtId="0" fontId="10" fillId="0" borderId="40" xfId="1" applyFont="1" applyFill="1" applyBorder="1" applyAlignment="1">
      <alignment horizontal="center" vertical="center" wrapText="1"/>
      <protection locked="0" hidden="0"/>
    </xf>
    <xf numFmtId="0" fontId="10" fillId="4" borderId="48" xfId="2" applyFont="1" applyFill="1" applyBorder="1" applyAlignment="1">
      <alignment horizontal="center" vertical="center" wrapText="1"/>
    </xf>
    <xf numFmtId="0" fontId="10" fillId="11" borderId="36" xfId="2" applyFont="1" applyFill="1" applyBorder="1" applyAlignment="1">
      <alignment horizontal="center" vertical="center" wrapText="1"/>
    </xf>
    <xf numFmtId="0" fontId="10" fillId="11" borderId="40" xfId="2" applyFont="1" applyFill="1" applyBorder="1" applyAlignment="1">
      <alignment horizontal="center" vertical="center" wrapText="1"/>
    </xf>
    <xf numFmtId="0" fontId="10" fillId="11" borderId="40" xfId="2" applyFont="1" applyFill="1" applyBorder="1" applyAlignment="1">
      <alignment horizontal="center" vertical="center"/>
    </xf>
    <xf numFmtId="0" fontId="10" fillId="10" borderId="19" xfId="2" applyFont="1" applyFill="1" applyBorder="1" applyAlignment="1">
      <alignment horizontal="center" vertical="center" wrapText="1"/>
    </xf>
    <xf numFmtId="0" fontId="7" fillId="0" borderId="0" xfId="0" applyFont="1" applyAlignment="1">
      <alignment horizontal="center" vertical="center"/>
    </xf>
    <xf numFmtId="0" fontId="10" fillId="10" borderId="4" xfId="2" applyFont="1" applyFill="1" applyBorder="1" applyAlignment="1">
      <alignment horizontal="center" vertical="center" wrapText="1"/>
    </xf>
    <xf numFmtId="0" fontId="10" fillId="4" borderId="4" xfId="2" applyFont="1" applyFill="1" applyBorder="1" applyAlignment="1">
      <alignment horizontal="center" vertical="center" wrapText="1"/>
      <protection locked="0" hidden="0"/>
    </xf>
    <xf numFmtId="0" fontId="10" fillId="10" borderId="4" xfId="2" applyFont="1" applyFill="1" applyBorder="1" applyAlignment="1">
      <alignment horizontal="center" vertical="center"/>
    </xf>
    <xf numFmtId="0" fontId="10" fillId="0" borderId="4" xfId="1" applyFont="1" applyFill="1" applyBorder="1" applyAlignment="1">
      <alignment horizontal="center" vertical="center" wrapText="1"/>
      <protection locked="0" hidden="0"/>
    </xf>
    <xf numFmtId="0" fontId="10" fillId="4" borderId="49" xfId="2" applyFont="1" applyFill="1" applyBorder="1" applyAlignment="1">
      <alignment horizontal="center" vertical="center" wrapText="1"/>
    </xf>
    <xf numFmtId="0" fontId="10" fillId="11" borderId="19" xfId="2" applyFont="1" applyFill="1" applyBorder="1" applyAlignment="1">
      <alignment horizontal="center" vertical="center" wrapText="1"/>
    </xf>
    <xf numFmtId="0" fontId="10" fillId="0" borderId="24" xfId="1" applyFont="1" applyBorder="1" applyAlignment="1">
      <alignment horizontal="center" vertical="center" wrapText="1"/>
      <protection locked="0" hidden="0"/>
    </xf>
    <xf numFmtId="0" fontId="10" fillId="0" borderId="43" xfId="1" applyFont="1" applyBorder="1" applyAlignment="1">
      <alignment horizontal="center" vertical="center" wrapText="1"/>
      <protection locked="0" hidden="0"/>
    </xf>
    <xf numFmtId="0" fontId="10" fillId="11" borderId="20" xfId="2" applyFont="1" applyFill="1" applyBorder="1" applyAlignment="1">
      <alignment horizontal="center" vertical="center" wrapText="1"/>
    </xf>
    <xf numFmtId="0" fontId="10" fillId="11" borderId="20" xfId="2" applyFont="1" applyFill="1" applyBorder="1" applyAlignment="1">
      <alignment horizontal="center" vertical="center"/>
    </xf>
    <xf numFmtId="0" fontId="10" fillId="0" borderId="42" xfId="1" applyFont="1" applyFill="1" applyBorder="1" applyAlignment="1">
      <alignment horizontal="right" vertical="center" wrapText="1"/>
      <protection locked="0" hidden="0"/>
    </xf>
    <xf numFmtId="165" fontId="10" fillId="0" borderId="50" xfId="1" applyNumberFormat="1" applyFont="1" applyBorder="1" applyAlignment="1">
      <alignment horizontal="left" vertical="center" wrapText="1"/>
      <protection locked="0" hidden="0"/>
    </xf>
    <xf numFmtId="0" fontId="10" fillId="0" borderId="41" xfId="1" applyFont="1" applyBorder="1" applyAlignment="1">
      <alignment horizontal="center" vertical="center" wrapText="1"/>
      <protection locked="0" hidden="0"/>
    </xf>
    <xf numFmtId="0" fontId="10" fillId="0" borderId="39" xfId="1" applyFont="1" applyBorder="1" applyAlignment="1">
      <alignment horizontal="center" vertical="center" wrapText="1"/>
      <protection locked="0" hidden="0"/>
    </xf>
    <xf numFmtId="0" fontId="10" fillId="0" borderId="50" xfId="1" applyFont="1" applyBorder="1" applyAlignment="1">
      <alignment horizontal="left" vertical="center" wrapText="1"/>
      <protection locked="0" hidden="0"/>
    </xf>
    <xf numFmtId="0" fontId="10" fillId="4" borderId="20" xfId="2" applyFont="1" applyFill="1" applyBorder="1" applyAlignment="1">
      <alignment horizontal="center" vertical="center" wrapText="1"/>
      <protection locked="0" hidden="0"/>
    </xf>
    <xf numFmtId="0" fontId="10" fillId="0" borderId="20" xfId="1" applyFont="1" applyFill="1" applyBorder="1" applyAlignment="1">
      <alignment horizontal="center" vertical="center" wrapText="1"/>
      <protection locked="0" hidden="0"/>
    </xf>
    <xf numFmtId="0" fontId="10" fillId="11" borderId="22" xfId="2" applyFont="1" applyFill="1" applyBorder="1" applyAlignment="1">
      <alignment horizontal="center" vertical="center" wrapText="1"/>
    </xf>
    <xf numFmtId="0" fontId="10" fillId="0" borderId="23" xfId="1" applyFont="1" applyBorder="1" applyAlignment="1">
      <alignment horizontal="center" vertical="center" wrapText="1"/>
      <protection locked="0" hidden="0"/>
    </xf>
    <xf numFmtId="0" fontId="10" fillId="0" borderId="51" xfId="1" applyFont="1" applyBorder="1" applyAlignment="1">
      <alignment horizontal="center" vertical="center" wrapText="1"/>
      <protection locked="0" hidden="0"/>
    </xf>
    <xf numFmtId="0" fontId="20" fillId="12" borderId="26" xfId="2" applyFont="1" applyFill="1" applyBorder="1" applyAlignment="1">
      <alignment horizontal="center" vertical="center"/>
    </xf>
    <xf numFmtId="0" fontId="20" fillId="12" borderId="27" xfId="2" applyFont="1" applyFill="1" applyBorder="1" applyAlignment="1">
      <alignment horizontal="center" vertical="center"/>
    </xf>
    <xf numFmtId="0" fontId="20" fillId="12" borderId="27" xfId="2" applyNumberFormat="1" applyFont="1" applyFill="1" applyBorder="1" applyAlignment="1">
      <alignment horizontal="center" vertical="center"/>
    </xf>
    <xf numFmtId="0" fontId="20" fillId="12" borderId="44" xfId="2" applyNumberFormat="1" applyFont="1" applyFill="1" applyBorder="1" applyAlignment="1">
      <alignment horizontal="center" vertical="center"/>
    </xf>
    <xf numFmtId="0" fontId="20" fillId="13" borderId="26" xfId="3" applyFont="1" applyFill="1" applyBorder="1" applyAlignment="1">
      <alignment horizontal="center" vertical="center"/>
    </xf>
    <xf numFmtId="0" fontId="20" fillId="13" borderId="27" xfId="3" applyFont="1" applyFill="1" applyBorder="1" applyAlignment="1">
      <alignment horizontal="center" vertical="center"/>
    </xf>
    <xf numFmtId="0" fontId="20" fillId="13" borderId="27" xfId="3" applyNumberFormat="1" applyFont="1" applyFill="1" applyBorder="1" applyAlignment="1">
      <alignment horizontal="center" vertical="center"/>
    </xf>
    <xf numFmtId="0" fontId="20" fillId="13" borderId="44" xfId="3" applyNumberFormat="1" applyFont="1" applyFill="1" applyBorder="1" applyAlignment="1">
      <alignment horizontal="center" vertical="center"/>
    </xf>
    <xf numFmtId="0" fontId="10" fillId="14" borderId="19" xfId="2" applyFont="1" applyFill="1" applyBorder="1" applyAlignment="1">
      <alignment horizontal="center" vertical="center" wrapText="1"/>
    </xf>
    <xf numFmtId="0" fontId="10" fillId="14" borderId="20" xfId="2" applyFont="1" applyFill="1" applyBorder="1" applyAlignment="1">
      <alignment horizontal="center" vertical="center" wrapText="1"/>
    </xf>
    <xf numFmtId="0" fontId="10" fillId="14" borderId="20" xfId="2" applyFont="1" applyFill="1" applyBorder="1" applyAlignment="1">
      <alignment horizontal="center" vertical="center"/>
    </xf>
    <xf numFmtId="0" fontId="10" fillId="6" borderId="19" xfId="2" applyFont="1" applyFill="1" applyBorder="1" applyAlignment="1">
      <alignment horizontal="center" vertical="center" wrapText="1"/>
    </xf>
    <xf numFmtId="0" fontId="10" fillId="6" borderId="20" xfId="2" applyFont="1" applyFill="1" applyBorder="1" applyAlignment="1">
      <alignment horizontal="center" vertical="center" wrapText="1"/>
    </xf>
    <xf numFmtId="0" fontId="10" fillId="6" borderId="20" xfId="2" applyFont="1" applyFill="1" applyBorder="1" applyAlignment="1">
      <alignment horizontal="center" vertical="center"/>
    </xf>
    <xf numFmtId="0" fontId="22" fillId="0" borderId="20" xfId="1" applyFont="1" applyBorder="1" applyAlignment="1">
      <alignment horizontal="center" vertical="center" wrapText="1"/>
      <protection locked="0" hidden="0"/>
    </xf>
    <xf numFmtId="0" fontId="22" fillId="0" borderId="21" xfId="1" applyFont="1" applyBorder="1" applyAlignment="1">
      <alignment horizontal="center" vertical="center" wrapText="1"/>
      <protection locked="0" hidden="0"/>
    </xf>
    <xf numFmtId="0" fontId="10" fillId="14" borderId="32" xfId="2" applyFont="1" applyFill="1" applyBorder="1" applyAlignment="1">
      <alignment horizontal="center" vertical="center" wrapText="1"/>
    </xf>
    <xf numFmtId="0" fontId="10" fillId="6" borderId="32" xfId="2" applyFont="1" applyFill="1" applyBorder="1" applyAlignment="1">
      <alignment horizontal="center" vertical="center" wrapText="1"/>
    </xf>
    <xf numFmtId="0" fontId="23" fillId="0" borderId="0" xfId="1" applyFont="1" applyFill="1">
      <alignment vertical="center"/>
    </xf>
    <xf numFmtId="0" fontId="12" fillId="15" borderId="11" xfId="3" applyFont="1" applyFill="1" applyBorder="1" applyAlignment="1">
      <alignment horizontal="center" vertical="center"/>
    </xf>
    <xf numFmtId="0" fontId="12" fillId="15" borderId="12" xfId="3" applyFont="1" applyFill="1" applyBorder="1" applyAlignment="1">
      <alignment horizontal="center" vertical="center"/>
    </xf>
    <xf numFmtId="0" fontId="12" fillId="15" borderId="14" xfId="3" applyFont="1" applyFill="1" applyBorder="1" applyAlignment="1">
      <alignment horizontal="center" vertical="center"/>
    </xf>
    <xf numFmtId="0" fontId="7" fillId="0" borderId="52" xfId="0" applyFont="1" applyFill="1" applyBorder="1">
      <alignment vertical="center"/>
    </xf>
    <xf numFmtId="0" fontId="14" fillId="14" borderId="15" xfId="3" applyFont="1" applyFill="1" applyBorder="1" applyAlignment="1">
      <alignment horizontal="center" vertical="center" wrapText="1"/>
    </xf>
    <xf numFmtId="0" fontId="14" fillId="14" borderId="16" xfId="3" applyFont="1" applyFill="1" applyBorder="1" applyAlignment="1">
      <alignment horizontal="center" vertical="center" wrapText="1"/>
    </xf>
    <xf numFmtId="0" fontId="14" fillId="14" borderId="17" xfId="3" applyFont="1" applyFill="1" applyBorder="1" applyAlignment="1">
      <alignment horizontal="center" vertical="center" wrapText="1"/>
    </xf>
    <xf numFmtId="0" fontId="24" fillId="0" borderId="19" xfId="4" applyFont="1" applyFill="1" applyBorder="1" applyAlignment="1">
      <alignment horizontal="center" vertical="center" wrapText="1"/>
      <protection locked="0" hidden="0"/>
    </xf>
    <xf numFmtId="0" fontId="24" fillId="0" borderId="20" xfId="4" applyFont="1" applyFill="1" applyBorder="1" applyAlignment="1">
      <alignment horizontal="center" vertical="center" wrapText="1"/>
      <protection locked="0" hidden="0"/>
    </xf>
    <xf numFmtId="0" fontId="24" fillId="0" borderId="42" xfId="4" applyFont="1" applyFill="1" applyBorder="1" applyAlignment="1">
      <alignment horizontal="center" vertical="center" wrapText="1"/>
      <protection locked="0" hidden="0"/>
    </xf>
    <xf numFmtId="0" fontId="7" fillId="0" borderId="53" xfId="0" applyFont="1" applyFill="1" applyBorder="1">
      <alignment vertical="center"/>
    </xf>
    <xf numFmtId="0" fontId="14" fillId="0" borderId="54" xfId="4" applyFont="1" applyFill="1" applyBorder="1" applyAlignment="1">
      <alignment horizontal="center" vertical="center" wrapText="1"/>
      <protection locked="0" hidden="0"/>
    </xf>
    <xf numFmtId="0" fontId="14" fillId="0" borderId="55" xfId="4" applyFont="1" applyFill="1" applyBorder="1" applyAlignment="1">
      <alignment horizontal="center" vertical="center" wrapText="1"/>
      <protection locked="0" hidden="0"/>
    </xf>
    <xf numFmtId="0" fontId="14" fillId="0" borderId="56" xfId="4" applyFont="1" applyFill="1" applyBorder="1" applyAlignment="1">
      <alignment horizontal="center" vertical="center" wrapText="1"/>
      <protection locked="0" hidden="0"/>
    </xf>
    <xf numFmtId="0" fontId="14" fillId="0" borderId="57" xfId="4" applyFont="1" applyFill="1" applyBorder="1" applyAlignment="1">
      <alignment horizontal="center" vertical="center" wrapText="1"/>
      <protection locked="0" hidden="0"/>
    </xf>
    <xf numFmtId="0" fontId="14" fillId="0" borderId="58" xfId="4" applyFont="1" applyFill="1" applyAlignment="1">
      <alignment horizontal="center" vertical="center" wrapText="1"/>
      <protection locked="0" hidden="0"/>
    </xf>
    <xf numFmtId="0" fontId="14" fillId="0" borderId="59" xfId="4" applyFont="1" applyFill="1" applyBorder="1" applyAlignment="1">
      <alignment horizontal="center" vertical="center" wrapText="1"/>
      <protection locked="0" hidden="0"/>
    </xf>
    <xf numFmtId="0" fontId="24" fillId="0" borderId="32" xfId="4" applyFont="1" applyFill="1" applyBorder="1" applyAlignment="1">
      <alignment horizontal="center" vertical="center" wrapText="1"/>
      <protection locked="0" hidden="0"/>
    </xf>
    <xf numFmtId="0" fontId="24" fillId="0" borderId="33" xfId="4" applyFont="1" applyFill="1" applyBorder="1" applyAlignment="1">
      <alignment horizontal="center" vertical="center" wrapText="1"/>
      <protection locked="0" hidden="0"/>
    </xf>
    <xf numFmtId="0" fontId="24" fillId="0" borderId="60" xfId="4" applyFont="1" applyFill="1" applyBorder="1" applyAlignment="1">
      <alignment horizontal="center" vertical="center" wrapText="1"/>
      <protection locked="0" hidden="0"/>
    </xf>
    <xf numFmtId="0" fontId="19" fillId="14" borderId="36" xfId="0" applyFont="1" applyFill="1" applyBorder="1" applyAlignment="1">
      <alignment horizontal="center" vertical="center"/>
      <protection locked="0" hidden="0"/>
    </xf>
    <xf numFmtId="0" fontId="19" fillId="14" borderId="40" xfId="0" applyFont="1" applyFill="1" applyBorder="1" applyAlignment="1">
      <alignment horizontal="center" vertical="center"/>
      <protection locked="0" hidden="0"/>
    </xf>
    <xf numFmtId="0" fontId="19" fillId="0" borderId="40" xfId="0" applyFont="1" applyBorder="1" applyAlignment="1">
      <alignment horizontal="center" vertical="center"/>
      <protection locked="0" hidden="0"/>
    </xf>
    <xf numFmtId="0" fontId="19" fillId="0" borderId="40" xfId="0" applyFont="1" applyFill="1" applyBorder="1" applyAlignment="1">
      <alignment horizontal="center" vertical="center"/>
      <protection locked="0" hidden="0"/>
    </xf>
    <xf numFmtId="0" fontId="14" fillId="10" borderId="40" xfId="0" applyFont="1" applyFill="1" applyBorder="1">
      <alignment vertical="center"/>
    </xf>
    <xf numFmtId="0" fontId="14" fillId="0" borderId="40" xfId="0" applyFont="1" applyFill="1" applyBorder="1" applyAlignment="1">
      <alignment horizontal="center" vertical="center"/>
      <protection locked="0" hidden="0"/>
    </xf>
    <xf numFmtId="0" fontId="14" fillId="0" borderId="41" xfId="0" applyFont="1" applyFill="1" applyBorder="1" applyAlignment="1">
      <alignment horizontal="center" vertical="center"/>
      <protection locked="0" hidden="0"/>
    </xf>
    <xf numFmtId="0" fontId="14" fillId="0" borderId="61" xfId="4" applyFont="1" applyFill="1" applyBorder="1" applyAlignment="1">
      <alignment horizontal="center" vertical="center" wrapText="1"/>
      <protection locked="0" hidden="0"/>
    </xf>
    <xf numFmtId="0" fontId="14" fillId="0" borderId="62" xfId="4" applyFont="1" applyFill="1" applyBorder="1" applyAlignment="1">
      <alignment horizontal="center" vertical="center" wrapText="1"/>
      <protection locked="0" hidden="0"/>
    </xf>
    <xf numFmtId="0" fontId="14" fillId="0" borderId="63" xfId="4" applyFont="1" applyFill="1" applyBorder="1" applyAlignment="1">
      <alignment horizontal="center" vertical="center" wrapText="1"/>
      <protection locked="0" hidden="0"/>
    </xf>
    <xf numFmtId="0" fontId="19" fillId="14" borderId="19" xfId="0" applyFont="1" applyFill="1" applyBorder="1" applyAlignment="1">
      <alignment horizontal="center" vertical="center"/>
    </xf>
    <xf numFmtId="0" fontId="19" fillId="14" borderId="20" xfId="0" applyFont="1" applyFill="1" applyBorder="1" applyAlignment="1">
      <alignment horizontal="center" vertical="center"/>
    </xf>
    <xf numFmtId="0" fontId="19" fillId="0" borderId="20" xfId="0" applyFont="1" applyBorder="1" applyAlignment="1">
      <alignment horizontal="center" vertical="center"/>
      <protection locked="0" hidden="0"/>
    </xf>
    <xf numFmtId="0" fontId="19" fillId="0" borderId="20" xfId="0" applyFont="1" applyFill="1" applyBorder="1" applyAlignment="1">
      <alignment horizontal="center" vertical="center"/>
      <protection locked="0" hidden="0"/>
    </xf>
    <xf numFmtId="0" fontId="14" fillId="10" borderId="20" xfId="0" applyFont="1" applyFill="1" applyBorder="1">
      <alignment vertical="center"/>
    </xf>
    <xf numFmtId="0" fontId="19" fillId="0" borderId="42" xfId="0" applyFont="1" applyFill="1" applyBorder="1" applyAlignment="1">
      <alignment horizontal="center" vertical="center"/>
      <protection locked="0" hidden="0"/>
    </xf>
    <xf numFmtId="0" fontId="12" fillId="14" borderId="11" xfId="3" applyFont="1" applyFill="1" applyBorder="1" applyAlignment="1">
      <alignment horizontal="center" vertical="center"/>
    </xf>
    <xf numFmtId="0" fontId="12" fillId="14" borderId="12" xfId="3" applyFont="1" applyFill="1" applyBorder="1" applyAlignment="1">
      <alignment horizontal="center" vertical="center"/>
    </xf>
    <xf numFmtId="0" fontId="12" fillId="14" borderId="13" xfId="3" applyFont="1" applyFill="1" applyBorder="1" applyAlignment="1">
      <alignment horizontal="center" vertical="center"/>
    </xf>
    <xf numFmtId="164" fontId="14" fillId="4" borderId="20" xfId="0" applyNumberFormat="1" applyFont="1" applyFill="1" applyBorder="1" applyAlignment="1">
      <alignment horizontal="center" vertical="center"/>
      <protection locked="0" hidden="0"/>
    </xf>
    <xf numFmtId="164" fontId="14" fillId="4" borderId="42" xfId="0" applyNumberFormat="1" applyFont="1" applyFill="1" applyBorder="1" applyAlignment="1">
      <alignment horizontal="center" vertical="center"/>
      <protection locked="0" hidden="0"/>
    </xf>
    <xf numFmtId="0" fontId="14" fillId="0" borderId="25" xfId="5" applyFont="1" applyFill="1" applyBorder="1" applyAlignment="1">
      <alignment horizontal="center" vertical="center" wrapText="1"/>
      <protection locked="0" hidden="0"/>
    </xf>
    <xf numFmtId="0" fontId="14" fillId="0" borderId="0" xfId="5" applyFont="1" applyFill="1" applyAlignment="1">
      <alignment horizontal="center" vertical="center" wrapText="1"/>
      <protection locked="0" hidden="0"/>
    </xf>
    <xf numFmtId="0" fontId="14" fillId="0" borderId="2" xfId="5" applyFont="1" applyFill="1" applyBorder="1" applyAlignment="1">
      <alignment horizontal="center" vertical="center" wrapText="1"/>
      <protection locked="0" hidden="0"/>
    </xf>
    <xf numFmtId="0" fontId="14" fillId="0" borderId="19" xfId="5" applyFont="1" applyFill="1" applyBorder="1" applyAlignment="1">
      <alignment horizontal="center" vertical="center" wrapText="1"/>
      <protection locked="0" hidden="0"/>
    </xf>
    <xf numFmtId="0" fontId="14" fillId="0" borderId="20" xfId="5" applyFont="1" applyFill="1" applyBorder="1" applyAlignment="1">
      <alignment horizontal="center" vertical="center" wrapText="1"/>
      <protection locked="0" hidden="0"/>
    </xf>
    <xf numFmtId="0" fontId="14" fillId="0" borderId="21" xfId="5" applyFont="1" applyFill="1" applyBorder="1" applyAlignment="1">
      <alignment horizontal="center" vertical="center" wrapText="1"/>
      <protection locked="0" hidden="0"/>
    </xf>
    <xf numFmtId="0" fontId="19" fillId="0" borderId="20" xfId="0" applyFont="1" applyFill="1" applyBorder="1" applyAlignment="1">
      <alignment horizontal="center" vertical="center"/>
    </xf>
    <xf numFmtId="0" fontId="23" fillId="0" borderId="0" xfId="0" applyFont="1" applyFill="1">
      <alignment vertical="center"/>
    </xf>
    <xf numFmtId="0" fontId="10" fillId="14" borderId="20" xfId="0" applyFont="1" applyFill="1" applyBorder="1" applyAlignment="1">
      <alignment horizontal="center" vertical="center"/>
      <protection locked="0" hidden="0"/>
    </xf>
    <xf numFmtId="0" fontId="7" fillId="0" borderId="20" xfId="0" applyFont="1" applyFill="1" applyBorder="1" applyAlignment="1">
      <alignment horizontal="center" vertical="center"/>
    </xf>
    <xf numFmtId="0" fontId="10" fillId="14" borderId="20" xfId="6" applyFont="1" applyFill="1" applyBorder="1" applyAlignment="1">
      <alignment horizontal="center" vertical="center"/>
    </xf>
    <xf numFmtId="0" fontId="25" fillId="0" borderId="20" xfId="0" applyFont="1" applyBorder="1" applyAlignment="1">
      <alignment horizontal="center" vertical="center"/>
      <protection locked="0" hidden="0"/>
    </xf>
    <xf numFmtId="0" fontId="19" fillId="14" borderId="19" xfId="0" applyFont="1" applyFill="1" applyBorder="1" applyAlignment="1">
      <alignment horizontal="center" vertical="center"/>
      <protection locked="0" hidden="0"/>
    </xf>
    <xf numFmtId="0" fontId="19" fillId="14" borderId="20" xfId="0" applyFont="1" applyFill="1" applyBorder="1" applyAlignment="1">
      <alignment horizontal="center" vertical="center"/>
      <protection locked="0" hidden="0"/>
    </xf>
    <xf numFmtId="0" fontId="25" fillId="0" borderId="20" xfId="0" applyFont="1" applyFill="1" applyBorder="1" applyAlignment="1">
      <alignment horizontal="center" vertical="center"/>
      <protection locked="0" hidden="0"/>
    </xf>
    <xf numFmtId="164" fontId="14" fillId="0" borderId="55" xfId="4" applyNumberFormat="1" applyFont="1" applyFill="1" applyBorder="1" applyAlignment="1">
      <alignment horizontal="center" vertical="center" wrapText="1"/>
      <protection locked="0" hidden="0"/>
    </xf>
    <xf numFmtId="164" fontId="14" fillId="0" borderId="64" xfId="4" applyNumberFormat="1" applyFont="1" applyFill="1" applyBorder="1" applyAlignment="1">
      <alignment horizontal="center" vertical="center" wrapText="1"/>
      <protection locked="0" hidden="0"/>
    </xf>
    <xf numFmtId="164" fontId="14" fillId="0" borderId="58" xfId="4" applyNumberFormat="1" applyFont="1" applyFill="1" applyAlignment="1">
      <alignment horizontal="center" vertical="center" wrapText="1"/>
      <protection locked="0" hidden="0"/>
    </xf>
    <xf numFmtId="164" fontId="14" fillId="0" borderId="65" xfId="4" applyNumberFormat="1" applyFont="1" applyFill="1" applyBorder="1" applyAlignment="1">
      <alignment horizontal="center" vertical="center" wrapText="1"/>
      <protection locked="0" hidden="0"/>
    </xf>
    <xf numFmtId="0" fontId="14" fillId="0" borderId="65" xfId="4" applyFont="1" applyFill="1" applyBorder="1" applyAlignment="1">
      <alignment horizontal="center" vertical="center" wrapText="1"/>
      <protection locked="0" hidden="0"/>
    </xf>
    <xf numFmtId="0" fontId="14" fillId="0" borderId="66" xfId="4" applyFont="1" applyFill="1" applyBorder="1" applyAlignment="1">
      <alignment horizontal="center" vertical="center" wrapText="1"/>
      <protection locked="0" hidden="0"/>
    </xf>
    <xf numFmtId="0" fontId="14" fillId="0" borderId="67" xfId="4" applyFont="1" applyFill="1" applyBorder="1" applyAlignment="1">
      <alignment horizontal="center" vertical="center" wrapText="1"/>
      <protection locked="0" hidden="0"/>
    </xf>
    <xf numFmtId="0" fontId="14" fillId="0" borderId="68" xfId="4" applyFont="1" applyFill="1" applyBorder="1" applyAlignment="1">
      <alignment horizontal="center" vertical="center" wrapText="1"/>
      <protection locked="0" hidden="0"/>
    </xf>
    <xf numFmtId="0" fontId="21" fillId="16" borderId="11" xfId="3" applyFont="1" applyFill="1" applyBorder="1" applyAlignment="1">
      <alignment horizontal="center" vertical="center" wrapText="1"/>
    </xf>
    <xf numFmtId="0" fontId="21" fillId="16" borderId="12" xfId="3" applyFont="1" applyFill="1" applyBorder="1" applyAlignment="1">
      <alignment horizontal="center" vertical="center" wrapText="1"/>
    </xf>
    <xf numFmtId="0" fontId="21" fillId="16" borderId="14" xfId="3" applyFont="1" applyFill="1" applyBorder="1" applyAlignment="1">
      <alignment horizontal="center" vertical="center" wrapText="1"/>
    </xf>
    <xf numFmtId="0" fontId="12" fillId="14" borderId="19" xfId="3" applyFont="1" applyFill="1" applyBorder="1" applyAlignment="1">
      <alignment horizontal="center" vertical="center"/>
    </xf>
    <xf numFmtId="0" fontId="12" fillId="14" borderId="20" xfId="3" applyFont="1" applyFill="1" applyBorder="1" applyAlignment="1">
      <alignment horizontal="center" vertical="center"/>
    </xf>
    <xf numFmtId="0" fontId="12" fillId="14" borderId="21" xfId="3" applyFont="1" applyFill="1" applyBorder="1" applyAlignment="1">
      <alignment horizontal="center" vertical="center"/>
    </xf>
    <xf numFmtId="0" fontId="10" fillId="3" borderId="19" xfId="3" applyFont="1" applyFill="1" applyBorder="1" applyAlignment="1">
      <alignment horizontal="center" vertical="center" wrapText="1"/>
    </xf>
    <xf numFmtId="0" fontId="10" fillId="0" borderId="42" xfId="0" applyFont="1" applyFill="1" applyBorder="1" applyAlignment="1">
      <alignment horizontal="center" vertical="center" wrapText="1"/>
      <protection locked="0" hidden="0"/>
    </xf>
    <xf numFmtId="0" fontId="10" fillId="0" borderId="31" xfId="0" applyFont="1" applyFill="1" applyBorder="1" applyAlignment="1">
      <alignment horizontal="center" vertical="center" wrapText="1"/>
      <protection locked="0" hidden="0"/>
    </xf>
    <xf numFmtId="0" fontId="10" fillId="3" borderId="20" xfId="3" applyFont="1" applyFill="1" applyBorder="1" applyAlignment="1">
      <alignment horizontal="center" vertical="center" wrapText="1"/>
    </xf>
    <xf numFmtId="0" fontId="10" fillId="0" borderId="20" xfId="3" applyFont="1" applyFill="1" applyBorder="1" applyAlignment="1">
      <alignment horizontal="center" vertical="center" wrapText="1"/>
    </xf>
    <xf numFmtId="0" fontId="10" fillId="0" borderId="42" xfId="3" applyFont="1" applyFill="1" applyBorder="1" applyAlignment="1">
      <alignment horizontal="center" vertical="center" wrapText="1"/>
    </xf>
    <xf numFmtId="0" fontId="10" fillId="3" borderId="20" xfId="3" applyFont="1" applyFill="1" applyBorder="1" applyAlignment="1">
      <alignment horizontal="center" vertical="center"/>
    </xf>
    <xf numFmtId="0" fontId="10" fillId="0" borderId="69" xfId="0" applyFont="1" applyFill="1" applyBorder="1" applyAlignment="1">
      <alignment horizontal="center" vertical="center" wrapText="1"/>
      <protection locked="0" hidden="0"/>
    </xf>
    <xf numFmtId="0" fontId="14" fillId="0" borderId="54" xfId="4" applyFont="1" applyFill="1" applyBorder="1" applyAlignment="1">
      <alignment horizontal="center" vertical="center"/>
      <protection locked="0" hidden="0"/>
    </xf>
    <xf numFmtId="0" fontId="14" fillId="0" borderId="55" xfId="4" applyFont="1" applyFill="1" applyBorder="1" applyAlignment="1">
      <alignment horizontal="center" vertical="center"/>
      <protection locked="0" hidden="0"/>
    </xf>
    <xf numFmtId="0" fontId="14" fillId="0" borderId="56" xfId="4" applyFont="1" applyFill="1" applyBorder="1" applyAlignment="1">
      <alignment horizontal="center" vertical="center"/>
      <protection locked="0" hidden="0"/>
    </xf>
    <xf numFmtId="0" fontId="10" fillId="0" borderId="24" xfId="0" applyFont="1" applyFill="1" applyBorder="1" applyAlignment="1">
      <alignment horizontal="center" vertical="center" wrapText="1"/>
      <protection locked="0" hidden="0"/>
    </xf>
    <xf numFmtId="0" fontId="10" fillId="0" borderId="70" xfId="0" applyFont="1" applyFill="1" applyBorder="1" applyAlignment="1">
      <alignment horizontal="center" vertical="center" wrapText="1"/>
      <protection locked="0" hidden="0"/>
    </xf>
    <xf numFmtId="0" fontId="14" fillId="0" borderId="57" xfId="4" applyFont="1" applyFill="1" applyBorder="1" applyAlignment="1">
      <alignment horizontal="center" vertical="center"/>
      <protection locked="0" hidden="0"/>
    </xf>
    <xf numFmtId="0" fontId="14" fillId="0" borderId="58" xfId="4" applyFont="1" applyFill="1" applyAlignment="1">
      <alignment horizontal="center" vertical="center"/>
      <protection locked="0" hidden="0"/>
    </xf>
    <xf numFmtId="0" fontId="14" fillId="0" borderId="59" xfId="4" applyFont="1" applyFill="1" applyBorder="1" applyAlignment="1">
      <alignment horizontal="center" vertical="center"/>
      <protection locked="0" hidden="0"/>
    </xf>
    <xf numFmtId="0" fontId="10" fillId="0" borderId="41" xfId="0" applyFont="1" applyFill="1" applyBorder="1" applyAlignment="1">
      <alignment horizontal="center" vertical="center" wrapText="1"/>
      <protection locked="0" hidden="0"/>
    </xf>
    <xf numFmtId="0" fontId="10" fillId="0" borderId="71" xfId="0" applyFont="1" applyFill="1" applyBorder="1" applyAlignment="1">
      <alignment horizontal="center" vertical="center" wrapText="1"/>
      <protection locked="0" hidden="0"/>
    </xf>
    <xf numFmtId="0" fontId="14" fillId="0" borderId="72" xfId="4" applyFont="1" applyFill="1" applyBorder="1" applyAlignment="1">
      <alignment horizontal="center" vertical="center"/>
      <protection locked="0" hidden="0"/>
    </xf>
    <xf numFmtId="0" fontId="14" fillId="0" borderId="73" xfId="4" applyFont="1" applyFill="1" applyBorder="1" applyAlignment="1">
      <alignment horizontal="center" vertical="center"/>
      <protection locked="0" hidden="0"/>
    </xf>
    <xf numFmtId="0" fontId="14" fillId="0" borderId="74" xfId="4" applyFont="1" applyFill="1" applyBorder="1" applyAlignment="1">
      <alignment horizontal="center" vertical="center"/>
      <protection locked="0" hidden="0"/>
    </xf>
    <xf numFmtId="0" fontId="10" fillId="0" borderId="5" xfId="0" applyFont="1" applyFill="1" applyBorder="1" applyAlignment="1">
      <alignment horizontal="center" vertical="center" wrapText="1"/>
      <protection locked="0" hidden="0"/>
    </xf>
    <xf numFmtId="0" fontId="10" fillId="0" borderId="0" xfId="0" applyFont="1" applyFill="1" applyAlignment="1">
      <alignment horizontal="center" vertical="center" wrapText="1"/>
      <protection locked="0" hidden="0"/>
    </xf>
    <xf numFmtId="0" fontId="14" fillId="0" borderId="72" xfId="4" applyFont="1" applyFill="1" applyBorder="1" applyAlignment="1">
      <alignment horizontal="center" vertical="center" wrapText="1"/>
      <protection locked="0" hidden="0"/>
    </xf>
    <xf numFmtId="0" fontId="14" fillId="0" borderId="73" xfId="4" applyFont="1" applyFill="1" applyBorder="1" applyAlignment="1">
      <alignment horizontal="center" vertical="center" wrapText="1"/>
      <protection locked="0" hidden="0"/>
    </xf>
    <xf numFmtId="0" fontId="14" fillId="0" borderId="74" xfId="4" applyFont="1" applyFill="1" applyBorder="1" applyAlignment="1">
      <alignment horizontal="center" vertical="center" wrapText="1"/>
      <protection locked="0" hidden="0"/>
    </xf>
    <xf numFmtId="0" fontId="14" fillId="0" borderId="61" xfId="4" applyFont="1" applyFill="1" applyBorder="1" applyAlignment="1">
      <alignment horizontal="center" vertical="center"/>
      <protection locked="0" hidden="0"/>
    </xf>
    <xf numFmtId="0" fontId="14" fillId="0" borderId="62" xfId="4" applyFont="1" applyFill="1" applyBorder="1" applyAlignment="1">
      <alignment horizontal="center" vertical="center"/>
      <protection locked="0" hidden="0"/>
    </xf>
    <xf numFmtId="0" fontId="14" fillId="0" borderId="63" xfId="4" applyFont="1" applyFill="1" applyBorder="1" applyAlignment="1">
      <alignment horizontal="center" vertical="center"/>
      <protection locked="0" hidden="0"/>
    </xf>
    <xf numFmtId="0" fontId="12" fillId="17" borderId="75" xfId="3" applyFont="1" applyFill="1" applyBorder="1" applyAlignment="1">
      <alignment horizontal="center" vertical="center"/>
    </xf>
    <xf numFmtId="0" fontId="12" fillId="17" borderId="71" xfId="3" applyFont="1" applyFill="1" applyBorder="1" applyAlignment="1">
      <alignment horizontal="center" vertical="center"/>
    </xf>
    <xf numFmtId="0" fontId="12" fillId="17" borderId="76" xfId="3" applyFont="1" applyFill="1" applyBorder="1" applyAlignment="1">
      <alignment horizontal="center" vertical="center"/>
    </xf>
    <xf numFmtId="0" fontId="14" fillId="0" borderId="77" xfId="5" applyFont="1" applyFill="1" applyBorder="1" applyAlignment="1">
      <alignment horizontal="center" vertical="center" wrapText="1"/>
      <protection locked="0" hidden="0"/>
    </xf>
    <xf numFmtId="0" fontId="14" fillId="0" borderId="70" xfId="5" applyFont="1" applyFill="1" applyBorder="1" applyAlignment="1">
      <alignment horizontal="center" vertical="center"/>
      <protection locked="0" hidden="0"/>
    </xf>
    <xf numFmtId="0" fontId="14" fillId="0" borderId="78" xfId="5" applyFont="1" applyFill="1" applyBorder="1" applyAlignment="1">
      <alignment horizontal="center" vertical="center"/>
      <protection locked="0" hidden="0"/>
    </xf>
    <xf numFmtId="0" fontId="14" fillId="0" borderId="25" xfId="5" applyFont="1" applyFill="1" applyBorder="1" applyAlignment="1">
      <alignment horizontal="center" vertical="center"/>
      <protection locked="0" hidden="0"/>
    </xf>
    <xf numFmtId="0" fontId="14" fillId="0" borderId="0" xfId="5" applyFont="1" applyFill="1" applyAlignment="1">
      <alignment horizontal="center" vertical="center"/>
      <protection locked="0" hidden="0"/>
    </xf>
    <xf numFmtId="0" fontId="14" fillId="0" borderId="2" xfId="5" applyFont="1" applyFill="1" applyBorder="1" applyAlignment="1">
      <alignment horizontal="center" vertical="center"/>
      <protection locked="0" hidden="0"/>
    </xf>
    <xf numFmtId="0" fontId="10" fillId="3" borderId="32" xfId="3" applyFont="1" applyFill="1" applyBorder="1" applyAlignment="1">
      <alignment horizontal="center" vertical="center" wrapText="1"/>
    </xf>
    <xf numFmtId="0" fontId="10" fillId="0" borderId="79" xfId="0" applyFont="1" applyFill="1" applyBorder="1" applyAlignment="1">
      <alignment horizontal="center" vertical="center" wrapText="1"/>
      <protection locked="0" hidden="0"/>
    </xf>
    <xf numFmtId="0" fontId="10" fillId="0" borderId="1" xfId="0" applyFont="1" applyFill="1" applyBorder="1" applyAlignment="1">
      <alignment horizontal="center" vertical="center" wrapText="1"/>
      <protection locked="0" hidden="0"/>
    </xf>
    <xf numFmtId="0" fontId="10" fillId="18" borderId="11" xfId="7" applyFont="1" applyFill="1" applyBorder="1" applyAlignment="1">
      <alignment horizontal="center" vertical="center"/>
    </xf>
    <xf numFmtId="0" fontId="10" fillId="0" borderId="12" xfId="3" applyFont="1" applyFill="1" applyBorder="1" applyAlignment="1">
      <alignment horizontal="center" vertical="center"/>
      <protection locked="0" hidden="0"/>
    </xf>
    <xf numFmtId="0" fontId="10" fillId="0" borderId="14" xfId="3" applyFont="1" applyFill="1" applyBorder="1" applyAlignment="1">
      <alignment horizontal="center" vertical="center"/>
      <protection locked="0" hidden="0"/>
    </xf>
    <xf numFmtId="0" fontId="10" fillId="18" borderId="19" xfId="3" applyFont="1" applyFill="1" applyBorder="1" applyAlignment="1">
      <alignment horizontal="center" vertical="center" wrapText="1"/>
    </xf>
    <xf numFmtId="0" fontId="10" fillId="18" borderId="19" xfId="3" applyFont="1" applyFill="1" applyBorder="1" applyAlignment="1">
      <alignment horizontal="center" vertical="center"/>
    </xf>
    <xf numFmtId="0" fontId="10" fillId="18" borderId="32" xfId="3" applyFont="1" applyFill="1" applyBorder="1" applyAlignment="1">
      <alignment horizontal="center" vertical="center"/>
    </xf>
    <xf numFmtId="0" fontId="7" fillId="0" borderId="80" xfId="0" applyFont="1" applyFill="1" applyBorder="1">
      <alignment vertical="center"/>
    </xf>
    <xf numFmtId="0" fontId="14" fillId="0" borderId="29" xfId="5" applyFont="1" applyFill="1" applyBorder="1" applyAlignment="1">
      <alignment horizontal="center" vertical="center"/>
      <protection locked="0" hidden="0"/>
    </xf>
    <xf numFmtId="0" fontId="14" fillId="0" borderId="1" xfId="5" applyFont="1" applyFill="1" applyBorder="1" applyAlignment="1">
      <alignment horizontal="center" vertical="center"/>
      <protection locked="0" hidden="0"/>
    </xf>
    <xf numFmtId="0" fontId="14" fillId="0" borderId="30" xfId="5" applyFont="1" applyFill="1" applyBorder="1" applyAlignment="1">
      <alignment horizontal="center" vertical="center"/>
      <protection locked="0" hidden="0"/>
    </xf>
    <xf numFmtId="0" fontId="26" fillId="0" borderId="20" xfId="3" applyFont="1" applyBorder="1">
      <alignment vertical="center"/>
    </xf>
    <xf numFmtId="0" fontId="27" fillId="14" borderId="20" xfId="4" applyFont="1" applyFill="1" applyBorder="1">
      <alignment vertical="center"/>
      <protection locked="0" hidden="0"/>
    </xf>
    <xf numFmtId="0" fontId="27" fillId="14" borderId="20" xfId="4" applyFont="1" applyFill="1" applyBorder="1" applyAlignment="1">
      <alignment vertical="center" wrapText="1"/>
      <protection locked="0" hidden="0"/>
    </xf>
    <xf numFmtId="0" fontId="28" fillId="19" borderId="20" xfId="0" applyFont="1" applyFill="1" applyBorder="1" applyAlignment="1">
      <alignment horizontal="center" vertical="center"/>
    </xf>
    <xf numFmtId="0" fontId="29" fillId="19" borderId="20" xfId="3" applyFont="1" applyFill="1" applyBorder="1" applyAlignment="1">
      <alignment horizontal="center" vertical="center"/>
    </xf>
    <xf numFmtId="0" fontId="28" fillId="19" borderId="20" xfId="0" applyFont="1" applyFill="1" applyBorder="1">
      <alignment vertical="center"/>
    </xf>
    <xf numFmtId="0" fontId="29" fillId="19" borderId="20" xfId="0" applyNumberFormat="1" applyFont="1" applyFill="1" applyBorder="1" applyAlignment="1">
      <alignment horizontal="center" vertical="center"/>
    </xf>
    <xf numFmtId="0" fontId="28" fillId="19" borderId="20" xfId="0" applyFont="1" applyFill="1" applyBorder="1" applyAlignment="1">
      <alignment horizontal="center" vertical="center" wrapText="1"/>
    </xf>
    <xf numFmtId="49" fontId="29" fillId="19" borderId="20" xfId="0" applyNumberFormat="1" applyFont="1" applyFill="1" applyBorder="1" applyAlignment="1">
      <alignment horizontal="center" vertical="center"/>
    </xf>
    <xf numFmtId="0" fontId="29" fillId="19" borderId="20" xfId="1" applyFont="1" applyFill="1" applyBorder="1" applyAlignment="1">
      <alignment horizontal="center" vertical="center"/>
    </xf>
    <xf numFmtId="0" fontId="29" fillId="19" borderId="20" xfId="0" applyFont="1" applyFill="1" applyBorder="1" applyAlignment="1">
      <alignment horizontal="center" vertical="center"/>
    </xf>
    <xf numFmtId="49" fontId="29" fillId="19" borderId="20" xfId="3" applyNumberFormat="1" applyFont="1" applyFill="1" applyBorder="1" applyAlignment="1">
      <alignment horizontal="center" vertical="center"/>
    </xf>
    <xf numFmtId="0" fontId="30" fillId="0" borderId="0" xfId="0" applyFont="1">
      <alignment vertical="center"/>
    </xf>
    <xf numFmtId="0" fontId="30" fillId="2" borderId="81" xfId="0" applyFont="1" applyFill="1" applyBorder="1">
      <alignment vertical="center"/>
    </xf>
    <xf numFmtId="0" fontId="30" fillId="2" borderId="10" xfId="0" applyFont="1" applyFill="1" applyBorder="1">
      <alignment vertical="center"/>
    </xf>
    <xf numFmtId="0" fontId="30" fillId="2" borderId="14" xfId="0" applyFont="1" applyFill="1" applyBorder="1">
      <alignment vertical="center"/>
    </xf>
    <xf numFmtId="0" fontId="30" fillId="2" borderId="35" xfId="0" applyFont="1" applyFill="1" applyBorder="1">
      <alignment vertical="center"/>
    </xf>
    <xf numFmtId="0" fontId="30" fillId="0" borderId="75" xfId="0" applyFont="1" applyBorder="1">
      <alignment vertical="center"/>
    </xf>
    <xf numFmtId="0" fontId="30" fillId="0" borderId="71" xfId="0" applyFont="1" applyBorder="1">
      <alignment vertical="center"/>
    </xf>
    <xf numFmtId="0" fontId="30" fillId="0" borderId="5" xfId="0" applyFont="1" applyBorder="1">
      <alignment vertical="center"/>
    </xf>
    <xf numFmtId="0" fontId="30" fillId="0" borderId="2" xfId="0" applyFont="1" applyBorder="1">
      <alignment vertical="center"/>
    </xf>
    <xf numFmtId="0" fontId="30" fillId="0" borderId="25" xfId="0" applyFont="1" applyBorder="1">
      <alignment vertical="center"/>
    </xf>
    <xf numFmtId="0" fontId="30" fillId="0" borderId="42" xfId="0" applyFont="1" applyBorder="1">
      <alignment vertical="center"/>
    </xf>
    <xf numFmtId="0" fontId="30" fillId="0" borderId="24" xfId="0" applyFont="1" applyBorder="1">
      <alignment vertical="center"/>
    </xf>
    <xf numFmtId="0" fontId="30" fillId="0" borderId="70" xfId="0" applyFont="1" applyBorder="1">
      <alignment vertical="center"/>
    </xf>
    <xf numFmtId="0" fontId="30" fillId="0" borderId="78" xfId="0" applyFont="1" applyBorder="1">
      <alignment vertical="center"/>
    </xf>
    <xf numFmtId="0" fontId="30" fillId="0" borderId="41" xfId="0" applyFont="1" applyBorder="1">
      <alignment vertical="center"/>
    </xf>
    <xf numFmtId="0" fontId="30" fillId="0" borderId="76" xfId="0" applyFont="1" applyBorder="1">
      <alignment vertical="center"/>
    </xf>
    <xf numFmtId="0" fontId="30" fillId="0" borderId="77" xfId="0" applyFont="1" applyBorder="1">
      <alignment vertical="center"/>
    </xf>
    <xf numFmtId="0" fontId="30" fillId="0" borderId="29" xfId="0" applyFont="1" applyBorder="1">
      <alignment vertical="center"/>
    </xf>
    <xf numFmtId="0" fontId="30" fillId="0" borderId="79" xfId="0" applyFont="1" applyBorder="1">
      <alignment vertical="center"/>
    </xf>
    <xf numFmtId="0" fontId="30" fillId="0" borderId="1" xfId="0" applyFont="1" applyBorder="1">
      <alignment vertical="center"/>
    </xf>
    <xf numFmtId="0" fontId="30" fillId="0" borderId="30" xfId="0" applyFont="1" applyBorder="1">
      <alignment vertical="center"/>
    </xf>
    <xf numFmtId="0" fontId="30" fillId="20" borderId="11" xfId="0" applyFont="1" applyFill="1" applyBorder="1" applyAlignment="1">
      <alignment horizontal="center" vertical="center"/>
    </xf>
    <xf numFmtId="0" fontId="30" fillId="20" borderId="12" xfId="0" applyFont="1" applyFill="1" applyBorder="1" applyAlignment="1">
      <alignment horizontal="center" vertical="center"/>
    </xf>
    <xf numFmtId="0" fontId="30" fillId="20" borderId="13" xfId="0" applyFont="1" applyFill="1" applyBorder="1" applyAlignment="1">
      <alignment horizontal="center" vertical="center"/>
    </xf>
    <xf numFmtId="0" fontId="30" fillId="21" borderId="19" xfId="0" applyFont="1" applyFill="1" applyBorder="1" applyAlignment="1">
      <alignment horizontal="center" vertical="center"/>
    </xf>
    <xf numFmtId="0" fontId="30" fillId="21" borderId="20" xfId="0" applyFont="1" applyFill="1" applyBorder="1" applyAlignment="1">
      <alignment horizontal="center" vertical="center"/>
    </xf>
    <xf numFmtId="0" fontId="30" fillId="21" borderId="21" xfId="0" applyFont="1" applyFill="1" applyBorder="1" applyAlignment="1">
      <alignment horizontal="center" vertical="center"/>
    </xf>
    <xf numFmtId="0" fontId="30" fillId="8" borderId="19" xfId="0" applyFont="1" applyFill="1" applyBorder="1" applyAlignment="1">
      <alignment horizontal="center" vertical="center"/>
    </xf>
    <xf numFmtId="0" fontId="30" fillId="8" borderId="20" xfId="0" applyFont="1" applyFill="1" applyBorder="1" applyAlignment="1">
      <alignment horizontal="center" vertical="center"/>
    </xf>
    <xf numFmtId="0" fontId="30" fillId="8" borderId="21" xfId="0" applyFont="1" applyFill="1" applyBorder="1" applyAlignment="1">
      <alignment horizontal="center" vertical="center"/>
    </xf>
    <xf numFmtId="0" fontId="31" fillId="10" borderId="19" xfId="3" applyFont="1" applyFill="1" applyBorder="1" applyAlignment="1">
      <alignment horizontal="center" vertical="center" wrapText="1"/>
    </xf>
    <xf numFmtId="0" fontId="31" fillId="0" borderId="20" xfId="0" applyFont="1" applyBorder="1" applyAlignment="1">
      <alignment horizontal="center" vertical="center" wrapText="1"/>
      <protection locked="0" hidden="0"/>
    </xf>
    <xf numFmtId="0" fontId="31" fillId="10" borderId="20" xfId="3" applyFont="1" applyFill="1" applyBorder="1" applyAlignment="1">
      <alignment horizontal="center" vertical="center" wrapText="1"/>
    </xf>
    <xf numFmtId="0" fontId="31" fillId="10" borderId="20" xfId="3" applyFont="1" applyFill="1" applyBorder="1" applyAlignment="1">
      <alignment horizontal="center" vertical="center"/>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0" fillId="0" borderId="20" xfId="0" applyFont="1" applyBorder="1" applyAlignment="1">
      <alignment horizontal="center" vertical="center" wrapText="1"/>
    </xf>
    <xf numFmtId="0" fontId="30" fillId="0" borderId="21" xfId="0" applyFont="1" applyBorder="1" applyAlignment="1">
      <alignment horizontal="center" vertical="center" wrapText="1"/>
    </xf>
    <xf numFmtId="0" fontId="31" fillId="10" borderId="32" xfId="3" applyFont="1" applyFill="1" applyBorder="1" applyAlignment="1">
      <alignment horizontal="center" vertical="center" wrapText="1"/>
    </xf>
    <xf numFmtId="0" fontId="30" fillId="0" borderId="33" xfId="0" applyFont="1" applyBorder="1" applyAlignment="1">
      <alignment horizontal="center" vertical="center"/>
    </xf>
    <xf numFmtId="0" fontId="31" fillId="10" borderId="33" xfId="3"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22" borderId="6" xfId="0" applyFont="1" applyFill="1" applyBorder="1" applyAlignment="1">
      <alignment horizontal="center" vertical="center"/>
    </xf>
    <xf numFmtId="0" fontId="30" fillId="22" borderId="7" xfId="0" applyFont="1" applyFill="1" applyBorder="1" applyAlignment="1">
      <alignment horizontal="center" vertical="center"/>
    </xf>
    <xf numFmtId="0" fontId="30" fillId="22" borderId="8" xfId="0" applyFont="1" applyFill="1" applyBorder="1" applyAlignment="1">
      <alignment horizontal="center" vertical="center"/>
    </xf>
    <xf numFmtId="0" fontId="30" fillId="23" borderId="19" xfId="0" applyFont="1" applyFill="1" applyBorder="1" applyAlignment="1">
      <alignment horizontal="center" vertical="center"/>
    </xf>
    <xf numFmtId="0" fontId="30" fillId="23" borderId="20" xfId="0" applyFont="1" applyFill="1" applyBorder="1" applyAlignment="1">
      <alignment horizontal="center" vertical="center"/>
    </xf>
    <xf numFmtId="0" fontId="30" fillId="23" borderId="31" xfId="0" applyFont="1" applyFill="1" applyBorder="1" applyAlignment="1">
      <alignment horizontal="center" vertical="center"/>
    </xf>
    <xf numFmtId="0" fontId="30" fillId="23" borderId="21" xfId="0" applyFont="1" applyFill="1" applyBorder="1" applyAlignment="1">
      <alignment horizontal="center" vertical="center"/>
    </xf>
    <xf numFmtId="0" fontId="31" fillId="24" borderId="19" xfId="3" applyFont="1" applyFill="1" applyBorder="1" applyAlignment="1">
      <alignment horizontal="center" vertical="center" wrapText="1"/>
    </xf>
    <xf numFmtId="0" fontId="31" fillId="24" borderId="20" xfId="3" applyFont="1" applyFill="1" applyBorder="1" applyAlignment="1">
      <alignment horizontal="center" vertical="center" wrapText="1"/>
    </xf>
    <xf numFmtId="0" fontId="31" fillId="24" borderId="20" xfId="3" applyFont="1" applyFill="1" applyBorder="1" applyAlignment="1">
      <alignment horizontal="center" vertical="center"/>
    </xf>
    <xf numFmtId="0" fontId="31" fillId="24" borderId="31" xfId="3" applyFont="1" applyFill="1" applyBorder="1" applyAlignment="1">
      <alignment horizontal="center" vertical="center" wrapText="1"/>
    </xf>
    <xf numFmtId="0" fontId="31" fillId="0" borderId="21" xfId="0" applyFont="1" applyBorder="1" applyAlignment="1">
      <alignment horizontal="center" vertical="center" wrapText="1"/>
      <protection locked="0" hidden="0"/>
    </xf>
    <xf numFmtId="0" fontId="31" fillId="0" borderId="24" xfId="0" applyFont="1" applyBorder="1" applyAlignment="1">
      <alignment horizontal="center" vertical="center" wrapText="1"/>
      <protection locked="0" hidden="0"/>
    </xf>
    <xf numFmtId="0" fontId="31" fillId="0" borderId="70" xfId="0" applyFont="1" applyBorder="1" applyAlignment="1">
      <alignment horizontal="center" vertical="center" wrapText="1"/>
      <protection locked="0" hidden="0"/>
    </xf>
    <xf numFmtId="0" fontId="31" fillId="0" borderId="43" xfId="0" applyFont="1" applyBorder="1" applyAlignment="1">
      <alignment horizontal="center" vertical="center" wrapText="1"/>
      <protection locked="0" hidden="0"/>
    </xf>
    <xf numFmtId="0" fontId="31" fillId="0" borderId="78" xfId="0" applyFont="1" applyBorder="1" applyAlignment="1">
      <alignment horizontal="center" vertical="center" wrapText="1"/>
      <protection locked="0" hidden="0"/>
    </xf>
    <xf numFmtId="0" fontId="31" fillId="0" borderId="5" xfId="0" applyFont="1" applyBorder="1" applyAlignment="1">
      <alignment horizontal="center" vertical="center" wrapText="1"/>
      <protection locked="0" hidden="0"/>
    </xf>
    <xf numFmtId="0" fontId="31" fillId="0" borderId="0" xfId="0" applyFont="1" applyAlignment="1">
      <alignment horizontal="center" vertical="center" wrapText="1"/>
      <protection locked="0" hidden="0"/>
    </xf>
    <xf numFmtId="0" fontId="31" fillId="0" borderId="3" xfId="0" applyFont="1" applyBorder="1" applyAlignment="1">
      <alignment horizontal="center" vertical="center" wrapText="1"/>
      <protection locked="0" hidden="0"/>
    </xf>
    <xf numFmtId="0" fontId="31" fillId="0" borderId="2" xfId="0" applyFont="1" applyBorder="1" applyAlignment="1">
      <alignment horizontal="center" vertical="center" wrapText="1"/>
      <protection locked="0" hidden="0"/>
    </xf>
    <xf numFmtId="0" fontId="31" fillId="0" borderId="41" xfId="0" applyFont="1" applyBorder="1" applyAlignment="1">
      <alignment horizontal="center" vertical="center" wrapText="1"/>
      <protection locked="0" hidden="0"/>
    </xf>
    <xf numFmtId="0" fontId="31" fillId="0" borderId="71" xfId="0" applyFont="1" applyBorder="1" applyAlignment="1">
      <alignment horizontal="center" vertical="center" wrapText="1"/>
      <protection locked="0" hidden="0"/>
    </xf>
    <xf numFmtId="0" fontId="31" fillId="0" borderId="39" xfId="0" applyFont="1" applyBorder="1" applyAlignment="1">
      <alignment horizontal="center" vertical="center" wrapText="1"/>
      <protection locked="0" hidden="0"/>
    </xf>
    <xf numFmtId="0" fontId="31" fillId="0" borderId="76" xfId="0" applyFont="1" applyBorder="1" applyAlignment="1">
      <alignment horizontal="center" vertical="center" wrapText="1"/>
      <protection locked="0" hidden="0"/>
    </xf>
    <xf numFmtId="0" fontId="31" fillId="24" borderId="32" xfId="3" applyFont="1" applyFill="1" applyBorder="1" applyAlignment="1">
      <alignment horizontal="center" vertical="center" wrapText="1"/>
    </xf>
    <xf numFmtId="0" fontId="31" fillId="0" borderId="33" xfId="0" applyFont="1" applyBorder="1" applyAlignment="1">
      <alignment horizontal="center" vertical="center" wrapText="1"/>
      <protection locked="0" hidden="0"/>
    </xf>
    <xf numFmtId="0" fontId="31" fillId="0" borderId="34" xfId="0" applyFont="1" applyBorder="1" applyAlignment="1">
      <alignment horizontal="center" vertical="center" wrapText="1"/>
      <protection locked="0" hidden="0"/>
    </xf>
    <xf numFmtId="0" fontId="32" fillId="0" borderId="15" xfId="0" applyFont="1" applyFill="1" applyBorder="1">
      <alignment vertical="center"/>
    </xf>
    <xf numFmtId="0" fontId="3" fillId="0" borderId="17" xfId="0" applyFont="1" applyFill="1" applyBorder="1">
      <alignment vertical="center"/>
    </xf>
    <xf numFmtId="0" fontId="33" fillId="0" borderId="0" xfId="0" applyFont="1">
      <alignment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25" borderId="15" xfId="0" applyFont="1" applyFill="1" applyBorder="1">
      <alignment vertical="center"/>
    </xf>
    <xf numFmtId="0" fontId="9" fillId="25" borderId="14" xfId="3" applyFont="1" applyFill="1" applyBorder="1">
      <alignment vertical="center"/>
      <protection locked="0" hidden="0"/>
    </xf>
    <xf numFmtId="0" fontId="9" fillId="25" borderId="14" xfId="3" applyFont="1" applyFill="1" applyBorder="1">
      <alignment vertical="center"/>
    </xf>
    <xf numFmtId="0" fontId="3" fillId="0" borderId="25" xfId="0" applyFont="1" applyFill="1" applyBorder="1">
      <alignment vertical="center"/>
    </xf>
    <xf numFmtId="0" fontId="32" fillId="0" borderId="2" xfId="0" applyFont="1" applyFill="1" applyBorder="1">
      <alignment vertical="center"/>
    </xf>
    <xf numFmtId="0" fontId="34" fillId="0" borderId="25" xfId="0" applyFont="1" applyFill="1" applyBorder="1">
      <alignment vertical="center"/>
      <protection locked="0" hidden="0"/>
    </xf>
    <xf numFmtId="0" fontId="34" fillId="0" borderId="2" xfId="0" applyFont="1" applyFill="1" applyBorder="1">
      <alignment vertical="center"/>
      <protection locked="0" hidden="0"/>
    </xf>
    <xf numFmtId="0" fontId="3" fillId="0" borderId="25" xfId="0" applyFont="1" applyBorder="1">
      <alignment vertical="center"/>
    </xf>
    <xf numFmtId="0" fontId="3" fillId="0" borderId="2" xfId="0" applyFont="1" applyBorder="1">
      <alignment vertical="center"/>
    </xf>
    <xf numFmtId="0" fontId="6" fillId="0" borderId="25" xfId="0" applyFont="1" applyBorder="1">
      <alignment vertical="center"/>
      <protection locked="0" hidden="0"/>
    </xf>
    <xf numFmtId="0" fontId="3" fillId="0" borderId="0" xfId="0" applyFont="1">
      <alignment vertical="center"/>
      <protection locked="0" hidden="0"/>
    </xf>
    <xf numFmtId="0" fontId="35" fillId="0" borderId="25" xfId="0" applyFont="1" applyBorder="1">
      <alignment vertical="center"/>
      <protection locked="0" hidden="0"/>
    </xf>
    <xf numFmtId="0" fontId="32" fillId="0" borderId="25" xfId="0" applyFont="1" applyBorder="1">
      <alignment vertical="center"/>
      <protection locked="0" hidden="0"/>
    </xf>
    <xf numFmtId="0" fontId="33" fillId="0" borderId="25" xfId="0" applyFont="1" applyBorder="1">
      <alignment vertical="center"/>
    </xf>
    <xf numFmtId="0" fontId="33" fillId="0" borderId="2" xfId="0" applyFont="1" applyBorder="1">
      <alignment vertical="center"/>
    </xf>
    <xf numFmtId="0" fontId="33" fillId="0" borderId="25" xfId="0" applyFont="1" applyBorder="1">
      <alignment vertical="center"/>
      <protection locked="0" hidden="0"/>
    </xf>
    <xf numFmtId="0" fontId="33" fillId="0" borderId="2" xfId="0" applyFont="1" applyBorder="1">
      <alignment vertical="center"/>
      <protection locked="0" hidden="0"/>
    </xf>
    <xf numFmtId="0" fontId="33" fillId="0" borderId="29" xfId="0" applyFont="1" applyBorder="1">
      <alignment vertical="center"/>
      <protection locked="0" hidden="0"/>
    </xf>
    <xf numFmtId="0" fontId="33" fillId="0" borderId="30" xfId="0" applyFont="1" applyBorder="1">
      <alignment vertical="center"/>
      <protection locked="0" hidden="0"/>
    </xf>
    <xf numFmtId="0" fontId="32" fillId="0" borderId="25" xfId="0" applyFont="1" applyFill="1" applyBorder="1">
      <alignment vertical="center"/>
      <protection locked="0" hidden="0"/>
    </xf>
    <xf numFmtId="0" fontId="32" fillId="0" borderId="2" xfId="0" applyFont="1" applyFill="1" applyBorder="1">
      <alignment vertical="center"/>
      <protection locked="0" hidden="0"/>
    </xf>
    <xf numFmtId="0" fontId="3" fillId="0" borderId="25" xfId="0" applyFont="1" applyBorder="1">
      <alignment vertical="center"/>
      <protection locked="0" hidden="0"/>
    </xf>
    <xf numFmtId="0" fontId="33" fillId="0" borderId="15" xfId="0" applyFont="1" applyBorder="1" applyAlignment="1">
      <alignment horizontal="center" vertical="center"/>
    </xf>
    <xf numFmtId="0" fontId="33" fillId="0" borderId="16" xfId="0" applyFont="1" applyBorder="1" applyAlignment="1">
      <alignment horizontal="center" vertical="center"/>
    </xf>
    <xf numFmtId="0" fontId="33" fillId="0" borderId="0" xfId="0" applyFont="1" applyAlignment="1">
      <alignment horizontal="center" vertical="center"/>
    </xf>
    <xf numFmtId="0" fontId="33" fillId="0" borderId="25" xfId="0" applyFont="1" applyBorder="1" applyAlignment="1">
      <alignment horizontal="center" vertical="center"/>
    </xf>
    <xf numFmtId="0" fontId="33" fillId="26" borderId="0" xfId="0" applyFont="1" applyFill="1" applyAlignment="1">
      <alignment horizontal="center" vertical="center"/>
    </xf>
    <xf numFmtId="0" fontId="3" fillId="0" borderId="29" xfId="0" applyFont="1" applyBorder="1">
      <alignment vertical="center"/>
      <protection locked="0" hidden="0"/>
    </xf>
    <xf numFmtId="0" fontId="3" fillId="0" borderId="1" xfId="0" applyFont="1" applyBorder="1">
      <alignment vertical="center"/>
      <protection locked="0" hidden="0"/>
    </xf>
    <xf numFmtId="0" fontId="33" fillId="0" borderId="29" xfId="0" applyFont="1" applyBorder="1" applyAlignment="1">
      <alignment horizontal="center" vertical="center"/>
    </xf>
    <xf numFmtId="0" fontId="33" fillId="0" borderId="1" xfId="0" applyFont="1" applyBorder="1" applyAlignment="1">
      <alignment horizontal="center" vertical="center"/>
    </xf>
    <xf numFmtId="0" fontId="3" fillId="0" borderId="25" xfId="0" applyFont="1" applyFill="1" applyBorder="1">
      <alignment vertical="center"/>
      <protection locked="0" hidden="0"/>
    </xf>
    <xf numFmtId="0" fontId="3" fillId="0" borderId="2" xfId="0" applyFont="1" applyFill="1" applyBorder="1">
      <alignment vertical="center"/>
      <protection locked="0" hidden="0"/>
    </xf>
    <xf numFmtId="0" fontId="36" fillId="0" borderId="0" xfId="0" applyFont="1" applyFill="1">
      <alignment vertical="center"/>
    </xf>
    <xf numFmtId="0" fontId="3" fillId="0" borderId="29" xfId="0" applyFont="1" applyFill="1" applyBorder="1">
      <alignment vertical="center"/>
      <protection locked="0" hidden="0"/>
    </xf>
    <xf numFmtId="0" fontId="3" fillId="0" borderId="30" xfId="0" applyFont="1" applyFill="1" applyBorder="1">
      <alignment vertical="center"/>
      <protection locked="0" hidden="0"/>
    </xf>
  </cellXfs>
  <cellStyles count="8">
    <cellStyle name="常规" xfId="0" builtinId="0"/>
    <cellStyle name="一般 2" xfId="1"/>
    <cellStyle name="標題 4 2" xfId="2"/>
    <cellStyle name="标题 4" xfId="3"/>
    <cellStyle name="输入" xfId="4"/>
    <cellStyle name="好" xfId="5"/>
    <cellStyle name="标题 3" xfId="6"/>
    <cellStyle name="标题 1" xfId="7"/>
  </cellStyles>
  <dxfs count="27">
    <dxf>
      <font>
        <color rgb="FFFFFFFF"/>
      </font>
    </dxf>
    <dxf>
      <font>
        <color rgb="FFFFFFFF"/>
      </font>
    </dxf>
    <dxf>
      <font>
        <color rgb="FFFFFFFF"/>
      </font>
    </dxf>
    <dxf>
      <font>
        <color rgb="FFFFFFFF"/>
      </font>
    </dxf>
    <dxf>
      <font>
        <color rgb="FFFFFFFF"/>
      </font>
    </dxf>
    <dxf>
      <fill>
        <patternFill patternType="solid">
          <bgColor rgb="FFDCE6F1"/>
        </patternFill>
      </fill>
    </dxf>
    <dxf>
      <font>
        <color rgb="FFFFFFFF"/>
      </font>
    </dxf>
    <dxf>
      <font>
        <color rgb="FFFFFFFF"/>
      </font>
    </dxf>
    <dxf>
      <font>
        <color rgb="FFFFFFFF"/>
      </font>
    </dxf>
    <dxf>
      <font>
        <color rgb="FFFFFFFF"/>
      </font>
    </dxf>
    <dxf>
      <font>
        <color rgb="FFFFFFFF"/>
      </font>
    </dxf>
    <dxf>
      <font>
        <color rgb="FFF2F2F2"/>
      </font>
    </dxf>
    <dxf>
      <font>
        <color rgb="FFFFFFFF"/>
      </font>
    </dxf>
    <dxf>
      <fill>
        <patternFill patternType="solid">
          <bgColor rgb="FFC5D9F1"/>
        </patternFill>
      </fill>
    </dxf>
    <dxf>
      <fill>
        <patternFill patternType="solid">
          <bgColor rgb="FFDCE6F1"/>
        </patternFill>
      </fill>
    </dxf>
    <dxf>
      <font>
        <i val="0"/>
        <b/>
      </font>
      <fill>
        <patternFill patternType="solid">
          <bgColor rgb="FFC5D9F1"/>
        </patternFill>
      </fill>
    </dxf>
    <dxf>
      <font>
        <i val="0"/>
        <b/>
      </font>
      <fill>
        <patternFill patternType="solid">
          <bgColor rgb="FFC5D9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17"/>
      <tableStyleElement type="totalRow" dxfId="18"/>
      <tableStyleElement type="firstRowStripe" dxfId="19"/>
      <tableStyleElement type="firstColumnStripe" dxfId="20"/>
      <tableStyleElement type="firstSubtotalRow" dxfId="21"/>
      <tableStyleElement type="secondSubtotalRow" dxfId="22"/>
      <tableStyleElement type="firstRowSubheading" dxfId="23"/>
      <tableStyleElement type="secondRowSubheading" dxfId="24"/>
      <tableStyleElement type="pageFieldLabels" dxfId="25"/>
      <tableStyleElement type="pageFieldValues" dxfId="26"/>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www.wps.cn/officeDocument/2020/cellImage" Target="cellimages.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 Id="rId1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37</xdr:row>
      <xdr:rowOff>0</xdr:rowOff>
    </xdr:from>
    <xdr:to>
      <xdr:col>12</xdr:col>
      <xdr:colOff>322611</xdr:colOff>
      <xdr:row>45</xdr:row>
      <xdr:rowOff>0</xdr:rowOff>
    </xdr:to>
    <xdr:pic>
      <xdr:nvPicPr>
        <xdr:cNvPr id="2" name="图片 2" descr=" "/>
        <xdr:cNvPicPr/>
      </xdr:nvPicPr>
      <xdr:blipFill>
        <a:blip xmlns:r="http://schemas.openxmlformats.org/officeDocument/2006/relationships" r:embed="rId1"/>
        <a:srcRect/>
        <a:stretch>
          <a:fillRect/>
        </a:stretch>
      </xdr:blipFill>
      <xdr:spPr>
        <a:xfrm>
          <a:off x="0" y="7344410"/>
          <a:ext cx="8666480" cy="1572895"/>
        </a:xfrm>
        <a:prstGeom prst="rect">
          <a:avLst/>
        </a:prstGeom>
        <a:noFill/>
        <a:ln w="9525" cap="flat" cmpd="sng">
          <a:noFill/>
          <a:prstDash val="solid"/>
          <a:miter/>
        </a:ln>
        <a:effectLst/>
      </xdr:spPr>
    </xdr:pic>
    <xdr:clientData/>
  </xdr:twoCellAnchor>
  <xdr:twoCellAnchor>
    <xdr:from>
      <xdr:col>0</xdr:col>
      <xdr:colOff>23281</xdr:colOff>
      <xdr:row>35</xdr:row>
      <xdr:rowOff>0</xdr:rowOff>
    </xdr:from>
    <xdr:to>
      <xdr:col>1</xdr:col>
      <xdr:colOff>498446</xdr:colOff>
      <xdr:row>37</xdr:row>
      <xdr:rowOff>0</xdr:rowOff>
    </xdr:to>
    <xdr:pic>
      <xdr:nvPicPr>
        <xdr:cNvPr id="3" name="图片 3" descr=" "/>
        <xdr:cNvPicPr/>
      </xdr:nvPicPr>
      <xdr:blipFill>
        <a:blip xmlns:r="http://schemas.openxmlformats.org/officeDocument/2006/relationships" r:embed="rId2"/>
        <a:srcRect/>
        <a:stretch>
          <a:fillRect/>
        </a:stretch>
      </xdr:blipFill>
      <xdr:spPr>
        <a:xfrm>
          <a:off x="28575" y="6936105"/>
          <a:ext cx="1161415" cy="47117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354;&#24819;SP1.159&#20174;&#32773;&#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说明"/>
      <sheetName val="角色卡 "/>
      <sheetName val="角色經歷"/>
      <sheetName val="调卡用表"/>
      <sheetName val="建卡用参考资源"/>
      <sheetName val="技能&amp;宝具资源库"/>
      <sheetName val="數值參考"/>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R74"/>
  <sheetViews>
    <sheetView workbookViewId="0">
      <selection activeCell="O24" sqref="O24"/>
    </sheetView>
  </sheetViews>
  <sheetFormatPr defaultRowHeight="15.6" defaultColWidth="9"/>
  <cols>
    <col min="2" max="2" customWidth="1" width="10.5" style="0"/>
  </cols>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7" spans="8:8" ht="15.75" customHeight="1">
      <c r="A7" s="2" t="s">
        <v>1</v>
      </c>
    </row>
    <row r="8" spans="8:8">
      <c r="A8">
        <v>5.0</v>
      </c>
      <c r="B8" t="s">
        <v>2</v>
      </c>
    </row>
    <row r="9" spans="8:8">
      <c r="B9" t="s">
        <v>3</v>
      </c>
    </row>
    <row r="10" spans="8:8">
      <c r="B10" t="s">
        <v>4</v>
      </c>
    </row>
    <row r="11" spans="8:8">
      <c r="A11" s="3">
        <v>5.1</v>
      </c>
      <c r="B11" s="3" t="s">
        <v>5</v>
      </c>
    </row>
    <row r="12" spans="8:8">
      <c r="A12" s="4">
        <v>5.2</v>
      </c>
      <c r="B12" t="s">
        <v>6</v>
      </c>
    </row>
    <row r="13" spans="8:8">
      <c r="A13" s="4"/>
      <c r="B13" t="s">
        <v>7</v>
      </c>
    </row>
    <row r="14" spans="8:8">
      <c r="A14" s="4">
        <v>5.3</v>
      </c>
      <c r="B14" s="5" t="s">
        <v>8</v>
      </c>
    </row>
    <row r="15" spans="8:8">
      <c r="A15" s="4"/>
      <c r="B15" t="s">
        <v>9</v>
      </c>
    </row>
    <row r="16" spans="8:8">
      <c r="A16" s="4">
        <v>5.31</v>
      </c>
      <c r="B16" t="s">
        <v>10</v>
      </c>
    </row>
    <row r="17" spans="8:8">
      <c r="A17" s="4"/>
      <c r="B17" t="s">
        <v>11</v>
      </c>
    </row>
    <row r="18" spans="8:8">
      <c r="A18">
        <v>5.4</v>
      </c>
      <c r="B18" s="6" t="s">
        <v>12</v>
      </c>
    </row>
    <row r="19" spans="8:8">
      <c r="B19" t="s">
        <v>13</v>
      </c>
    </row>
    <row r="20" spans="8:8">
      <c r="A20">
        <v>5.5</v>
      </c>
      <c r="B20" t="s">
        <v>14</v>
      </c>
    </row>
    <row r="21" spans="8:8">
      <c r="B21" t="s">
        <v>15</v>
      </c>
    </row>
    <row r="22" spans="8:8">
      <c r="B22" t="s">
        <v>16</v>
      </c>
    </row>
    <row r="23" spans="8:8">
      <c r="A23">
        <v>5.51</v>
      </c>
      <c r="B23" s="7" t="s">
        <v>17</v>
      </c>
    </row>
    <row r="24" spans="8:8">
      <c r="B24" s="7" t="s">
        <v>18</v>
      </c>
    </row>
    <row r="25" spans="8:8">
      <c r="A25" s="8">
        <v>6.0</v>
      </c>
      <c r="B25" s="9" t="s">
        <v>19</v>
      </c>
    </row>
    <row r="26" spans="8:8">
      <c r="A26" s="8"/>
      <c r="B26" s="9" t="s">
        <v>20</v>
      </c>
    </row>
    <row r="27" spans="8:8">
      <c r="A27" s="7"/>
      <c r="B27" s="9" t="s">
        <v>21</v>
      </c>
    </row>
    <row r="28" spans="8:8">
      <c r="A28" s="7"/>
      <c r="B28" s="9" t="s">
        <v>22</v>
      </c>
    </row>
    <row r="29" spans="8:8">
      <c r="A29" s="7"/>
      <c r="B29" s="9" t="s">
        <v>23</v>
      </c>
    </row>
    <row r="30" spans="8:8">
      <c r="A30" s="7"/>
      <c r="B30" s="9" t="s">
        <v>24</v>
      </c>
    </row>
    <row r="31" spans="8:8">
      <c r="A31" s="7">
        <v>6.01</v>
      </c>
      <c r="B31" s="10" t="s">
        <v>25</v>
      </c>
    </row>
    <row r="32" spans="8:8">
      <c r="B32" t="s">
        <v>26</v>
      </c>
    </row>
    <row r="34" spans="8:8">
      <c r="A34" s="11" t="s">
        <v>27</v>
      </c>
      <c r="B34" s="11"/>
      <c r="C34" s="11"/>
      <c r="D34" s="11"/>
      <c r="E34" s="11"/>
      <c r="F34" s="11"/>
      <c r="G34" s="11"/>
    </row>
    <row r="35" spans="8:8">
      <c r="A35" s="11"/>
      <c r="B35" s="11"/>
      <c r="C35" s="11"/>
      <c r="D35" s="11"/>
      <c r="E35" s="11"/>
      <c r="F35" s="11"/>
      <c r="G35" s="11"/>
    </row>
    <row r="39" spans="8:8">
      <c r="A39" t="s">
        <v>28</v>
      </c>
    </row>
    <row r="40" spans="8:8">
      <c r="A40" s="2"/>
      <c r="B40" s="2"/>
    </row>
    <row r="41" spans="8:8">
      <c r="A41" s="2"/>
      <c r="B41" s="2"/>
    </row>
    <row r="42" spans="8:8">
      <c r="A42" s="2"/>
      <c r="B42" s="2"/>
    </row>
    <row r="43" spans="8:8">
      <c r="A43" s="2"/>
      <c r="B43" s="2"/>
    </row>
    <row r="62" spans="8:8">
      <c r="A62" s="2" t="s">
        <v>29</v>
      </c>
    </row>
    <row r="63" spans="8:8">
      <c r="A63" s="2" t="s">
        <v>30</v>
      </c>
    </row>
    <row r="64" spans="8:8">
      <c r="A64" s="2"/>
    </row>
    <row r="65" spans="8:8">
      <c r="A65" s="2" t="s">
        <v>31</v>
      </c>
    </row>
    <row r="66" spans="8:8">
      <c r="A66" s="9" t="s">
        <v>32</v>
      </c>
      <c r="B66">
        <v>3.10690935E8</v>
      </c>
    </row>
    <row r="71" spans="8:8">
      <c r="C71" s="2"/>
      <c r="D71" s="2"/>
    </row>
    <row r="72" spans="8:8">
      <c r="C72" s="2"/>
      <c r="D72" s="2"/>
    </row>
    <row r="73" spans="8:8">
      <c r="C73" s="2"/>
      <c r="D73" s="2"/>
    </row>
    <row r="74" spans="8:8">
      <c r="C74" s="2"/>
      <c r="D74" s="2"/>
    </row>
  </sheetData>
  <mergeCells count="5">
    <mergeCell ref="A12:A13"/>
    <mergeCell ref="A16:A17"/>
    <mergeCell ref="A25:A26"/>
    <mergeCell ref="A34:G35"/>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AM122"/>
  <sheetViews>
    <sheetView tabSelected="1" workbookViewId="0" topLeftCell="L31" showGridLines="0" zoomScale="47">
      <selection activeCell="S51" sqref="S51"/>
    </sheetView>
  </sheetViews>
  <sheetFormatPr defaultRowHeight="17.4" defaultColWidth="9"/>
  <cols>
    <col min="1" max="1" customWidth="1" width="5.5390625" style="12"/>
    <col min="2" max="21" customWidth="1" width="9.0" style="12"/>
    <col min="22" max="16384" customWidth="0" width="9.0" style="12"/>
  </cols>
  <sheetData>
    <row r="1" spans="8:8" ht="15.6" customHeight="1">
      <c r="B1" s="13"/>
      <c r="C1" s="13"/>
      <c r="D1" s="14"/>
      <c r="P1" s="15"/>
      <c r="Q1" s="16"/>
      <c r="R1" s="16"/>
      <c r="S1" s="16"/>
      <c r="T1" s="16"/>
    </row>
    <row r="2" spans="8:8" ht="15.6" customHeight="1">
      <c r="A2" s="17"/>
      <c r="B2" s="18" t="s">
        <v>33</v>
      </c>
      <c r="C2" s="19"/>
      <c r="D2" s="20"/>
      <c r="E2" s="21" t="s">
        <v>34</v>
      </c>
      <c r="F2" s="22"/>
      <c r="G2" s="23"/>
      <c r="H2" s="24" t="s">
        <v>35</v>
      </c>
      <c r="I2" s="22"/>
      <c r="J2" s="23"/>
      <c r="K2" s="25" t="s">
        <v>36</v>
      </c>
      <c r="L2" s="26" t="s">
        <v>37</v>
      </c>
      <c r="M2" s="27"/>
      <c r="N2" s="27"/>
      <c r="O2" s="28"/>
      <c r="P2" s="29"/>
      <c r="Q2" s="30" t="s">
        <v>38</v>
      </c>
      <c r="R2" s="31"/>
      <c r="S2" s="31"/>
      <c r="T2" s="32"/>
      <c r="V2" s="33"/>
    </row>
    <row r="3" spans="8:8" ht="15.6" customHeight="1">
      <c r="B3" s="34" t="str">
        <f>角色經歷!E15</f>
        <v>秩序-善</v>
      </c>
      <c r="C3" s="35"/>
      <c r="D3" s="36"/>
      <c r="E3" s="37" t="s">
        <v>39</v>
      </c>
      <c r="F3" s="38"/>
      <c r="G3" s="39"/>
      <c r="H3" s="40" t="s">
        <v>40</v>
      </c>
      <c r="I3" s="41"/>
      <c r="J3" s="42"/>
      <c r="K3" s="43">
        <f>12+VLOOKUP(C18,'（调卡用表）'!P3:Q7,2,0)</f>
        <v>24.0</v>
      </c>
      <c r="L3" s="44" t="s">
        <v>41</v>
      </c>
      <c r="M3" s="45"/>
      <c r="N3" s="46" t="str">
        <f>F9</f>
        <v>体术师</v>
      </c>
      <c r="O3" s="47"/>
      <c r="P3" s="29"/>
      <c r="Q3" s="48" t="str">
        <f>VLOOKUP(F9,'（调卡用表）'!S3:T15,2,0)</f>
        <v>允许执行[机动][介入]。</v>
      </c>
      <c r="R3" s="49"/>
      <c r="S3" s="49"/>
      <c r="T3" s="50"/>
    </row>
    <row r="4" spans="8:8" ht="15.6" customHeight="1">
      <c r="B4" s="51"/>
      <c r="C4" s="52"/>
      <c r="D4" s="53"/>
      <c r="E4" s="54"/>
      <c r="F4" s="55"/>
      <c r="G4" s="56"/>
      <c r="H4" s="57"/>
      <c r="I4" s="58"/>
      <c r="J4" s="59"/>
      <c r="K4" s="60"/>
      <c r="L4" s="61" t="s">
        <v>42</v>
      </c>
      <c r="M4" s="62"/>
      <c r="N4" s="63" t="str">
        <f>F10</f>
        <v>结界师</v>
      </c>
      <c r="O4" s="64"/>
      <c r="P4" s="29"/>
      <c r="Q4" s="48"/>
      <c r="R4" s="49"/>
      <c r="S4" s="49"/>
      <c r="T4" s="50"/>
    </row>
    <row r="5" spans="8:8" ht="15.6" customHeight="1">
      <c r="B5" s="65" t="s">
        <v>43</v>
      </c>
      <c r="C5" s="66"/>
      <c r="D5" s="67"/>
      <c r="E5" s="54"/>
      <c r="F5" s="55"/>
      <c r="G5" s="56"/>
      <c r="H5" s="57"/>
      <c r="I5" s="58"/>
      <c r="J5" s="59"/>
      <c r="K5" s="25" t="s">
        <v>44</v>
      </c>
      <c r="L5" s="44" t="s">
        <v>33</v>
      </c>
      <c r="M5" s="45"/>
      <c r="N5" s="46" t="str">
        <f>角色經歷!E15</f>
        <v>秩序-善</v>
      </c>
      <c r="O5" s="47"/>
      <c r="P5" s="29"/>
      <c r="Q5" s="48"/>
      <c r="R5" s="49"/>
      <c r="S5" s="49"/>
      <c r="T5" s="50"/>
    </row>
    <row r="6" spans="8:8" ht="15.6" customHeight="1">
      <c r="B6" s="68" t="s">
        <v>45</v>
      </c>
      <c r="C6" s="69"/>
      <c r="D6" s="69"/>
      <c r="E6" s="54"/>
      <c r="F6" s="55"/>
      <c r="G6" s="56"/>
      <c r="H6" s="57"/>
      <c r="I6" s="58"/>
      <c r="J6" s="59"/>
      <c r="K6" s="43">
        <f>K3-IF(J19&gt;0,K9,K9-J19/20)</f>
        <v>-2.0</v>
      </c>
      <c r="L6" s="61" t="s">
        <v>46</v>
      </c>
      <c r="M6" s="62"/>
      <c r="N6" s="63" t="str">
        <f>F11</f>
        <v>人型</v>
      </c>
      <c r="O6" s="64">
        <f>G11</f>
        <v>0.0</v>
      </c>
      <c r="P6" s="29"/>
      <c r="Q6" s="48"/>
      <c r="R6" s="49"/>
      <c r="S6" s="49"/>
      <c r="T6" s="50"/>
    </row>
    <row r="7" spans="8:8" ht="15.6" customHeight="1">
      <c r="B7" s="70"/>
      <c r="C7" s="71"/>
      <c r="D7" s="72"/>
      <c r="E7" s="54"/>
      <c r="F7" s="55"/>
      <c r="G7" s="56"/>
      <c r="H7" s="57"/>
      <c r="I7" s="58"/>
      <c r="J7" s="59"/>
      <c r="K7" s="73"/>
      <c r="L7" s="61"/>
      <c r="M7" s="62"/>
      <c r="N7" s="63">
        <f>F12</f>
        <v>0.0</v>
      </c>
      <c r="O7" s="64">
        <f>G12</f>
        <v>0.0</v>
      </c>
      <c r="P7" s="29"/>
      <c r="Q7" s="48"/>
      <c r="R7" s="49"/>
      <c r="S7" s="49"/>
      <c r="T7" s="50"/>
    </row>
    <row r="8" spans="8:8" ht="15.6" customHeight="1">
      <c r="B8" s="70"/>
      <c r="C8" s="71"/>
      <c r="D8" s="72"/>
      <c r="E8" s="74"/>
      <c r="F8" s="75"/>
      <c r="G8" s="76"/>
      <c r="H8" s="57"/>
      <c r="I8" s="58"/>
      <c r="J8" s="59"/>
      <c r="K8" s="25" t="s">
        <v>47</v>
      </c>
      <c r="L8" s="44" t="s">
        <v>48</v>
      </c>
      <c r="M8" s="45"/>
      <c r="N8" s="46" t="str">
        <f>角色經歷!C12</f>
        <v>女</v>
      </c>
      <c r="O8" s="47"/>
      <c r="P8" s="29"/>
      <c r="Q8" s="48" t="str">
        <f>VLOOKUP(F10,'（调卡用表）'!V3:W15,2,0)</f>
        <v>自阵营通过[广泛侦查]获悉某一灵脉存在[魔术结界]时，自身将知悉那个[魔术结界]的效果。</v>
      </c>
      <c r="R8" s="49"/>
      <c r="S8" s="49"/>
      <c r="T8" s="50"/>
    </row>
    <row r="9" spans="8:8" ht="15.6" customHeight="1">
      <c r="B9" s="70"/>
      <c r="C9" s="71"/>
      <c r="D9" s="72"/>
      <c r="E9" s="77" t="s">
        <v>49</v>
      </c>
      <c r="F9" s="78" t="s">
        <v>174</v>
      </c>
      <c r="G9" s="79"/>
      <c r="H9" s="80"/>
      <c r="I9" s="58"/>
      <c r="J9" s="59"/>
      <c r="K9" s="43">
        <f>J21+H30+H39+AE30+AE37+J49+J58+J67+T21+T30+T39+T49+T58+T67+K12</f>
        <v>17.0</v>
      </c>
      <c r="L9" s="81" t="s">
        <v>51</v>
      </c>
      <c r="M9" s="82"/>
      <c r="N9" s="83" t="str">
        <f>F13</f>
        <v>通常</v>
      </c>
      <c r="O9" s="84"/>
      <c r="P9" s="29"/>
      <c r="Q9" s="48"/>
      <c r="R9" s="49"/>
      <c r="S9" s="49"/>
      <c r="T9" s="50"/>
    </row>
    <row r="10" spans="8:8" ht="15.6" customHeight="1">
      <c r="B10" s="70"/>
      <c r="C10" s="71"/>
      <c r="D10" s="72"/>
      <c r="E10" s="85" t="s">
        <v>52</v>
      </c>
      <c r="F10" s="86" t="s">
        <v>53</v>
      </c>
      <c r="G10" s="87"/>
      <c r="H10" s="80"/>
      <c r="I10" s="58"/>
      <c r="J10" s="59"/>
      <c r="K10" s="73"/>
      <c r="L10" s="88" t="s">
        <v>54</v>
      </c>
      <c r="M10" s="89"/>
      <c r="N10" s="89"/>
      <c r="O10" s="90"/>
      <c r="P10" s="29"/>
      <c r="Q10" s="48"/>
      <c r="R10" s="49"/>
      <c r="S10" s="49"/>
      <c r="T10" s="50"/>
    </row>
    <row r="11" spans="8:8" ht="15.6" customHeight="1">
      <c r="B11" s="70"/>
      <c r="C11" s="71"/>
      <c r="D11" s="72"/>
      <c r="E11" s="91" t="s">
        <v>46</v>
      </c>
      <c r="F11" s="92" t="s">
        <v>55</v>
      </c>
      <c r="G11" s="93"/>
      <c r="H11" s="80"/>
      <c r="I11" s="58"/>
      <c r="J11" s="59"/>
      <c r="K11" s="94" t="s">
        <v>56</v>
      </c>
      <c r="L11" s="95" t="s">
        <v>57</v>
      </c>
      <c r="M11" s="96"/>
      <c r="N11" s="97"/>
      <c r="O11" s="98"/>
      <c r="P11" s="29"/>
      <c r="Q11" s="48"/>
      <c r="R11" s="49"/>
      <c r="S11" s="49"/>
      <c r="T11" s="50"/>
    </row>
    <row r="12" spans="8:8" ht="15.6" customHeight="1">
      <c r="B12" s="70"/>
      <c r="C12" s="71"/>
      <c r="D12" s="72"/>
      <c r="E12" s="99"/>
      <c r="F12" s="92"/>
      <c r="G12" s="93"/>
      <c r="H12" s="80"/>
      <c r="I12" s="58"/>
      <c r="J12" s="59"/>
      <c r="K12" s="100">
        <f>H21+AC30+AC37+H49+H58+H67+R21+R30+R39+R49+R58+R67</f>
        <v>2.0</v>
      </c>
      <c r="L12" s="101"/>
      <c r="M12" s="102"/>
      <c r="N12" s="103"/>
      <c r="O12" s="104"/>
      <c r="P12" s="29"/>
      <c r="Q12" s="105"/>
      <c r="R12" s="106"/>
      <c r="S12" s="106"/>
      <c r="T12" s="107"/>
    </row>
    <row r="13" spans="8:8" ht="15.6" customHeight="1">
      <c r="B13" s="70"/>
      <c r="C13" s="71"/>
      <c r="D13" s="72"/>
      <c r="E13" s="108" t="s">
        <v>51</v>
      </c>
      <c r="F13" s="109" t="s">
        <v>58</v>
      </c>
      <c r="G13" s="110"/>
      <c r="H13" s="80"/>
      <c r="I13" s="58"/>
      <c r="J13" s="59"/>
      <c r="K13" s="111"/>
      <c r="L13" s="112" t="s">
        <v>59</v>
      </c>
      <c r="M13" s="113"/>
      <c r="N13" s="113"/>
      <c r="O13" s="113"/>
      <c r="P13" s="114"/>
      <c r="Q13" s="113"/>
      <c r="R13" s="113"/>
      <c r="S13" s="113"/>
      <c r="T13" s="115"/>
    </row>
    <row r="14" spans="8:8" ht="15.6" customHeight="1">
      <c r="B14" s="116"/>
      <c r="C14" s="117"/>
      <c r="D14" s="117"/>
      <c r="E14" s="118" t="s">
        <v>60</v>
      </c>
      <c r="F14" s="119"/>
      <c r="G14" s="120"/>
      <c r="H14" s="121"/>
      <c r="I14" s="122"/>
      <c r="J14" s="123"/>
      <c r="K14" s="124"/>
      <c r="L14" s="125" t="s">
        <v>61</v>
      </c>
      <c r="M14" s="41"/>
      <c r="N14" s="41"/>
      <c r="O14" s="126" t="s">
        <v>62</v>
      </c>
      <c r="P14" s="41"/>
      <c r="Q14" s="41"/>
      <c r="R14" s="41"/>
      <c r="S14" s="41"/>
      <c r="T14" s="42"/>
    </row>
    <row r="15" spans="8:8" ht="15.6" customHeight="1">
      <c r="A15" s="17"/>
      <c r="B15" s="127" t="s">
        <v>63</v>
      </c>
      <c r="C15" s="128" t="s">
        <v>64</v>
      </c>
      <c r="D15" s="128" t="s">
        <v>65</v>
      </c>
      <c r="E15" s="128" t="s">
        <v>66</v>
      </c>
      <c r="F15" s="128" t="s">
        <v>67</v>
      </c>
      <c r="G15" s="128" t="s">
        <v>68</v>
      </c>
      <c r="H15" s="128" t="s">
        <v>69</v>
      </c>
      <c r="I15" s="128" t="s">
        <v>70</v>
      </c>
      <c r="J15" s="129" t="s">
        <v>71</v>
      </c>
      <c r="K15" s="130"/>
      <c r="L15" s="131"/>
      <c r="M15" s="58"/>
      <c r="N15" s="58"/>
      <c r="O15" s="132"/>
      <c r="P15" s="58"/>
      <c r="Q15" s="58"/>
      <c r="R15" s="58"/>
      <c r="S15" s="58"/>
      <c r="T15" s="59"/>
    </row>
    <row r="16" spans="8:8" ht="15.6" customHeight="1">
      <c r="A16" s="17"/>
      <c r="B16" s="133" t="s">
        <v>72</v>
      </c>
      <c r="C16" s="134">
        <f t="shared" si="0" ref="C16:I16">C17+C18+C19</f>
        <v>40.0</v>
      </c>
      <c r="D16" s="134">
        <f t="shared" si="0"/>
        <v>80.0</v>
      </c>
      <c r="E16" s="134">
        <f t="shared" si="0"/>
        <v>80.0</v>
      </c>
      <c r="F16" s="134">
        <f t="shared" si="0"/>
        <v>60.0</v>
      </c>
      <c r="G16" s="134">
        <f t="shared" si="0"/>
        <v>20.0</v>
      </c>
      <c r="H16" s="134">
        <f t="shared" si="0"/>
        <v>40.0</v>
      </c>
      <c r="I16" s="135">
        <f t="shared" si="0"/>
        <v>70.0</v>
      </c>
      <c r="J16" s="136">
        <v>80.0</v>
      </c>
      <c r="K16" s="137"/>
      <c r="L16" s="131" t="s">
        <v>73</v>
      </c>
      <c r="M16" s="58" t="s">
        <v>74</v>
      </c>
      <c r="N16" s="58"/>
      <c r="O16" s="58"/>
      <c r="P16" s="58"/>
      <c r="Q16" s="58"/>
      <c r="R16" s="58"/>
      <c r="S16" s="58"/>
      <c r="T16" s="59"/>
    </row>
    <row r="17" spans="8:8" ht="15.6" customHeight="1">
      <c r="A17" s="17"/>
      <c r="B17" s="138" t="s">
        <v>41</v>
      </c>
      <c r="C17" s="139"/>
      <c r="D17" s="140">
        <f>VLOOKUP(F9,'（调卡用表）'!B3:H13,2,0)</f>
        <v>20.0</v>
      </c>
      <c r="E17" s="141">
        <f>VLOOKUP(F9,'（调卡用表）'!B3:H13,3,0)</f>
        <v>20.0</v>
      </c>
      <c r="F17" s="141">
        <f>VLOOKUP(F9,'（调卡用表）'!B3:H13,4,0)</f>
        <v>20.0</v>
      </c>
      <c r="G17" s="141">
        <f>VLOOKUP(F9,'（调卡用表）'!B3:H13,5,0)</f>
        <v>0.0</v>
      </c>
      <c r="H17" s="142">
        <f>VLOOKUP(F9,'（调卡用表）'!B3:H13,6,0)</f>
        <v>10.0</v>
      </c>
      <c r="I17" s="142">
        <f>VLOOKUP(F9,'（调卡用表）'!B3:I13,7,0)</f>
        <v>0.0</v>
      </c>
      <c r="J17" s="143">
        <f>D17+E17+F17+G17+H17+I17</f>
        <v>70.0</v>
      </c>
      <c r="K17" s="144"/>
      <c r="L17" s="131"/>
      <c r="M17" s="58"/>
      <c r="N17" s="58"/>
      <c r="O17" s="58"/>
      <c r="P17" s="58"/>
      <c r="Q17" s="58"/>
      <c r="R17" s="58"/>
      <c r="S17" s="58"/>
      <c r="T17" s="59"/>
    </row>
    <row r="18" spans="8:8" ht="15.6" customHeight="1">
      <c r="A18" s="17"/>
      <c r="B18" s="133" t="s">
        <v>75</v>
      </c>
      <c r="C18" s="86">
        <v>40.0</v>
      </c>
      <c r="D18" s="145">
        <v>60.0</v>
      </c>
      <c r="E18" s="146">
        <v>60.0</v>
      </c>
      <c r="F18" s="146">
        <v>40.0</v>
      </c>
      <c r="G18" s="147">
        <v>20.0</v>
      </c>
      <c r="H18" s="86">
        <v>30.0</v>
      </c>
      <c r="I18" s="86">
        <v>50.0</v>
      </c>
      <c r="J18" s="148" t="s">
        <v>76</v>
      </c>
      <c r="K18" s="144"/>
      <c r="L18" s="131"/>
      <c r="M18" s="58"/>
      <c r="N18" s="58"/>
      <c r="O18" s="58"/>
      <c r="P18" s="58"/>
      <c r="Q18" s="58"/>
      <c r="R18" s="58"/>
      <c r="S18" s="58"/>
      <c r="T18" s="59"/>
    </row>
    <row r="19" spans="8:8" ht="15.6" customHeight="1">
      <c r="A19" s="17"/>
      <c r="B19" s="149" t="s">
        <v>77</v>
      </c>
      <c r="C19" s="150"/>
      <c r="D19" s="151"/>
      <c r="E19" s="152"/>
      <c r="F19" s="152"/>
      <c r="G19" s="152"/>
      <c r="H19" s="152"/>
      <c r="I19" s="152">
        <v>20.0</v>
      </c>
      <c r="J19" s="153">
        <f>J16-SUM(D18:I18)</f>
        <v>-180.0</v>
      </c>
      <c r="K19" s="144"/>
      <c r="L19" s="154"/>
      <c r="M19" s="122"/>
      <c r="N19" s="122"/>
      <c r="O19" s="122"/>
      <c r="P19" s="122"/>
      <c r="Q19" s="122"/>
      <c r="R19" s="122"/>
      <c r="S19" s="122"/>
      <c r="T19" s="123"/>
    </row>
    <row r="20" spans="8:8" ht="15.6" customHeight="1">
      <c r="B20" s="155" t="s">
        <v>78</v>
      </c>
      <c r="C20" s="156"/>
      <c r="D20" s="156"/>
      <c r="E20" s="156"/>
      <c r="F20" s="157"/>
      <c r="G20" s="156"/>
      <c r="H20" s="156"/>
      <c r="I20" s="156"/>
      <c r="J20" s="158"/>
      <c r="K20" s="10"/>
      <c r="L20" s="159" t="s">
        <v>79</v>
      </c>
      <c r="M20" s="160"/>
      <c r="N20" s="161"/>
      <c r="O20" s="161"/>
      <c r="P20" s="161"/>
      <c r="Q20" s="161"/>
      <c r="R20" s="161"/>
      <c r="S20" s="161"/>
      <c r="T20" s="162"/>
    </row>
    <row r="21" spans="8:8" ht="15.6" customHeight="1">
      <c r="B21" s="163" t="s">
        <v>80</v>
      </c>
      <c r="C21" s="164" t="s">
        <v>81</v>
      </c>
      <c r="D21" s="164"/>
      <c r="E21" s="165" t="s">
        <v>82</v>
      </c>
      <c r="F21" s="166"/>
      <c r="G21" s="167" t="s">
        <v>56</v>
      </c>
      <c r="H21" s="168"/>
      <c r="I21" s="167" t="s">
        <v>83</v>
      </c>
      <c r="J21" s="169"/>
      <c r="K21" s="10"/>
      <c r="L21" s="170" t="s">
        <v>80</v>
      </c>
      <c r="M21" s="164"/>
      <c r="N21" s="164"/>
      <c r="O21" s="171" t="s">
        <v>64</v>
      </c>
      <c r="P21" s="166"/>
      <c r="Q21" s="172" t="s">
        <v>56</v>
      </c>
      <c r="R21" s="168"/>
      <c r="S21" s="172" t="s">
        <v>83</v>
      </c>
      <c r="T21" s="169">
        <f>_xlfn.IFNA(VLOOKUP(P21,'（调卡用表）'!$J$3:$K$33,2,0),0)</f>
        <v>0.0</v>
      </c>
    </row>
    <row r="22" spans="8:8" ht="15.6" customHeight="1">
      <c r="B22" s="173" t="s">
        <v>61</v>
      </c>
      <c r="C22" s="174" t="s">
        <v>84</v>
      </c>
      <c r="D22" s="174"/>
      <c r="E22" s="175" t="s">
        <v>85</v>
      </c>
      <c r="F22" s="176" t="s">
        <v>86</v>
      </c>
      <c r="G22" s="177" t="s">
        <v>87</v>
      </c>
      <c r="H22" s="178"/>
      <c r="I22" s="177" t="s">
        <v>88</v>
      </c>
      <c r="J22" s="179"/>
      <c r="K22" s="10"/>
      <c r="L22" s="180" t="s">
        <v>61</v>
      </c>
      <c r="M22" s="181"/>
      <c r="N22" s="182"/>
      <c r="O22" s="183" t="s">
        <v>89</v>
      </c>
      <c r="P22" s="58"/>
      <c r="Q22" s="58"/>
      <c r="R22" s="184" t="s">
        <v>90</v>
      </c>
      <c r="S22" s="185"/>
      <c r="T22" s="186"/>
    </row>
    <row r="23" spans="8:8" ht="15.6" customHeight="1">
      <c r="B23" s="173"/>
      <c r="C23" s="174"/>
      <c r="D23" s="174"/>
      <c r="E23" s="165"/>
      <c r="F23" s="166"/>
      <c r="G23" s="167"/>
      <c r="H23" s="168"/>
      <c r="I23" s="167"/>
      <c r="J23" s="169"/>
      <c r="K23" s="10"/>
      <c r="L23" s="180"/>
      <c r="M23" s="187"/>
      <c r="N23" s="188"/>
      <c r="O23" s="184" t="s">
        <v>91</v>
      </c>
      <c r="P23" s="58"/>
      <c r="Q23" s="58"/>
      <c r="R23" s="184" t="s">
        <v>85</v>
      </c>
      <c r="S23" s="185"/>
      <c r="T23" s="189" t="str">
        <f>IF(P23="常驻","每日","每次")</f>
        <v>每次</v>
      </c>
    </row>
    <row r="24" spans="8:8" ht="15.6" customHeight="1">
      <c r="B24" s="173" t="s">
        <v>73</v>
      </c>
      <c r="C24" s="58" t="s">
        <v>92</v>
      </c>
      <c r="D24" s="58"/>
      <c r="E24" s="58"/>
      <c r="F24" s="58"/>
      <c r="G24" s="58"/>
      <c r="H24" s="58"/>
      <c r="I24" s="58"/>
      <c r="J24" s="59"/>
      <c r="K24" s="10"/>
      <c r="L24" s="180" t="s">
        <v>73</v>
      </c>
      <c r="M24" s="58" t="s">
        <v>93</v>
      </c>
      <c r="N24" s="58"/>
      <c r="O24" s="58"/>
      <c r="P24" s="58"/>
      <c r="Q24" s="58"/>
      <c r="R24" s="58"/>
      <c r="S24" s="58"/>
      <c r="T24" s="59"/>
    </row>
    <row r="25" spans="8:8" ht="15.6" customHeight="1">
      <c r="B25" s="173"/>
      <c r="C25" s="58"/>
      <c r="D25" s="58"/>
      <c r="E25" s="58"/>
      <c r="F25" s="58"/>
      <c r="G25" s="58"/>
      <c r="H25" s="58"/>
      <c r="I25" s="58"/>
      <c r="J25" s="59"/>
      <c r="K25" s="10"/>
      <c r="L25" s="180"/>
      <c r="M25" s="58"/>
      <c r="N25" s="58"/>
      <c r="O25" s="58"/>
      <c r="P25" s="58"/>
      <c r="Q25" s="58"/>
      <c r="R25" s="58"/>
      <c r="S25" s="58"/>
      <c r="T25" s="59"/>
    </row>
    <row r="26" spans="8:8" ht="15.6" customHeight="1">
      <c r="B26" s="173"/>
      <c r="C26" s="58"/>
      <c r="D26" s="58"/>
      <c r="E26" s="58"/>
      <c r="F26" s="58"/>
      <c r="G26" s="58"/>
      <c r="H26" s="58"/>
      <c r="I26" s="58"/>
      <c r="J26" s="59"/>
      <c r="K26" s="10"/>
      <c r="L26" s="180"/>
      <c r="M26" s="58"/>
      <c r="N26" s="58"/>
      <c r="O26" s="58"/>
      <c r="P26" s="58"/>
      <c r="Q26" s="58"/>
      <c r="R26" s="58"/>
      <c r="S26" s="58"/>
      <c r="T26" s="59"/>
      <c r="V26"/>
      <c r="W26"/>
      <c r="X26"/>
      <c r="Y26"/>
      <c r="Z26"/>
      <c r="AA26"/>
      <c r="AB26"/>
      <c r="AC26"/>
      <c r="AD26"/>
      <c r="AE26"/>
      <c r="AF26"/>
    </row>
    <row r="27" spans="8:8" ht="15.6" customHeight="1">
      <c r="B27" s="173" t="s">
        <v>94</v>
      </c>
      <c r="C27" s="58"/>
      <c r="D27" s="58"/>
      <c r="E27" s="58"/>
      <c r="F27" s="58"/>
      <c r="G27" s="58"/>
      <c r="H27" s="58"/>
      <c r="I27" s="58"/>
      <c r="J27" s="59"/>
      <c r="K27" s="10"/>
      <c r="L27" s="180" t="s">
        <v>94</v>
      </c>
      <c r="M27" s="58"/>
      <c r="N27" s="58"/>
      <c r="O27" s="58"/>
      <c r="P27" s="58"/>
      <c r="Q27" s="58"/>
      <c r="R27" s="58"/>
      <c r="S27" s="58"/>
      <c r="T27" s="59"/>
      <c r="V27"/>
      <c r="W27"/>
      <c r="X27"/>
      <c r="Y27"/>
      <c r="Z27"/>
      <c r="AA27"/>
      <c r="AB27"/>
      <c r="AC27"/>
      <c r="AD27"/>
      <c r="AE27"/>
      <c r="AF27"/>
    </row>
    <row r="28" spans="8:8" ht="15.6" customHeight="1">
      <c r="B28" s="173"/>
      <c r="C28" s="58"/>
      <c r="D28" s="58"/>
      <c r="E28" s="58"/>
      <c r="F28" s="58"/>
      <c r="G28" s="58"/>
      <c r="H28" s="58"/>
      <c r="I28" s="58"/>
      <c r="J28" s="59"/>
      <c r="K28" s="10"/>
      <c r="L28" s="180"/>
      <c r="M28" s="58"/>
      <c r="N28" s="58"/>
      <c r="O28" s="58"/>
      <c r="P28" s="58"/>
      <c r="Q28" s="58"/>
      <c r="R28" s="58"/>
      <c r="S28" s="58"/>
      <c r="T28" s="59"/>
      <c r="V28"/>
      <c r="W28"/>
      <c r="X28"/>
      <c r="Y28"/>
      <c r="Z28"/>
      <c r="AA28"/>
      <c r="AB28"/>
      <c r="AC28"/>
      <c r="AD28"/>
      <c r="AE28"/>
      <c r="AF28"/>
    </row>
    <row r="29" spans="8:8" ht="15.6" customHeight="1">
      <c r="B29" s="173"/>
      <c r="C29" s="58"/>
      <c r="D29" s="58"/>
      <c r="E29" s="58"/>
      <c r="F29" s="58"/>
      <c r="G29" s="58"/>
      <c r="H29" s="58"/>
      <c r="I29" s="58"/>
      <c r="J29" s="59"/>
      <c r="K29" s="10"/>
      <c r="L29" s="180"/>
      <c r="M29" s="58"/>
      <c r="N29" s="58"/>
      <c r="O29" s="58"/>
      <c r="P29" s="58"/>
      <c r="Q29" s="58"/>
      <c r="R29" s="58"/>
      <c r="S29" s="58"/>
      <c r="T29" s="59"/>
      <c r="V29"/>
      <c r="W29"/>
      <c r="X29"/>
      <c r="Y29"/>
      <c r="Z29"/>
      <c r="AA29"/>
      <c r="AB29"/>
      <c r="AC29"/>
      <c r="AD29"/>
      <c r="AE29"/>
      <c r="AF29"/>
    </row>
    <row r="30" spans="8:8" ht="15.6" customHeight="1">
      <c r="B30" s="163" t="s">
        <v>80</v>
      </c>
      <c r="C30" s="164"/>
      <c r="D30" s="164"/>
      <c r="E30" s="165" t="s">
        <v>82</v>
      </c>
      <c r="F30" s="166"/>
      <c r="G30" s="167" t="s">
        <v>56</v>
      </c>
      <c r="H30" s="168"/>
      <c r="I30" s="167" t="s">
        <v>83</v>
      </c>
      <c r="J30" s="169"/>
      <c r="K30" s="10"/>
      <c r="L30" s="180" t="s">
        <v>80</v>
      </c>
      <c r="M30" s="58"/>
      <c r="N30" s="58"/>
      <c r="O30" s="183" t="s">
        <v>64</v>
      </c>
      <c r="P30" s="190"/>
      <c r="Q30" s="184" t="s">
        <v>56</v>
      </c>
      <c r="R30" s="191"/>
      <c r="S30" s="184" t="s">
        <v>83</v>
      </c>
      <c r="T30" s="169">
        <f>_xlfn.IFNA(VLOOKUP(P30,'（调卡用表）'!$J$3:$K$33,2,0),0)</f>
        <v>0.0</v>
      </c>
      <c r="V30"/>
      <c r="W30"/>
      <c r="X30"/>
      <c r="Y30"/>
      <c r="Z30"/>
      <c r="AA30"/>
      <c r="AB30"/>
      <c r="AC30"/>
      <c r="AD30"/>
      <c r="AE30"/>
      <c r="AF30"/>
    </row>
    <row r="31" spans="8:8" ht="15.6" customHeight="1">
      <c r="B31" s="173" t="s">
        <v>61</v>
      </c>
      <c r="C31" s="174"/>
      <c r="D31" s="174"/>
      <c r="E31" s="175" t="s">
        <v>85</v>
      </c>
      <c r="F31" s="176"/>
      <c r="G31" s="177" t="s">
        <v>87</v>
      </c>
      <c r="H31" s="178"/>
      <c r="I31" s="177" t="s">
        <v>88</v>
      </c>
      <c r="J31" s="179"/>
      <c r="K31" s="10"/>
      <c r="L31" s="180" t="s">
        <v>61</v>
      </c>
      <c r="M31" s="181"/>
      <c r="N31" s="182"/>
      <c r="O31" s="183" t="s">
        <v>89</v>
      </c>
      <c r="P31" s="58"/>
      <c r="Q31" s="58"/>
      <c r="R31" s="184" t="s">
        <v>90</v>
      </c>
      <c r="S31" s="185"/>
      <c r="T31" s="186"/>
      <c r="V31"/>
      <c r="W31"/>
      <c r="X31"/>
      <c r="Y31"/>
      <c r="Z31"/>
      <c r="AA31"/>
      <c r="AB31"/>
      <c r="AC31"/>
      <c r="AD31"/>
      <c r="AE31"/>
      <c r="AF31"/>
    </row>
    <row r="32" spans="8:8" ht="15.6" customHeight="1">
      <c r="B32" s="173"/>
      <c r="C32" s="174"/>
      <c r="D32" s="174"/>
      <c r="E32" s="165"/>
      <c r="F32" s="166"/>
      <c r="G32" s="167"/>
      <c r="H32" s="168"/>
      <c r="I32" s="167"/>
      <c r="J32" s="169"/>
      <c r="K32" s="10"/>
      <c r="L32" s="180"/>
      <c r="M32" s="187"/>
      <c r="N32" s="188"/>
      <c r="O32" s="184" t="s">
        <v>91</v>
      </c>
      <c r="P32" s="58"/>
      <c r="Q32" s="58"/>
      <c r="R32" s="184" t="s">
        <v>85</v>
      </c>
      <c r="S32" s="185"/>
      <c r="T32" s="189" t="str">
        <f>IF(P32="常驻","每日","每次")</f>
        <v>每次</v>
      </c>
      <c r="V32"/>
      <c r="W32"/>
      <c r="X32"/>
      <c r="Y32"/>
      <c r="Z32"/>
      <c r="AA32"/>
      <c r="AB32"/>
      <c r="AC32"/>
      <c r="AD32"/>
      <c r="AE32"/>
      <c r="AF32"/>
    </row>
    <row r="33" spans="8:8" ht="15.6" customHeight="1">
      <c r="B33" s="173" t="s">
        <v>73</v>
      </c>
      <c r="C33" s="58" t="s">
        <v>95</v>
      </c>
      <c r="D33" s="58"/>
      <c r="E33" s="58"/>
      <c r="F33" s="58"/>
      <c r="G33" s="58"/>
      <c r="H33" s="58"/>
      <c r="I33" s="58"/>
      <c r="J33" s="59"/>
      <c r="K33" s="10"/>
      <c r="L33" s="180" t="s">
        <v>73</v>
      </c>
      <c r="M33" s="58"/>
      <c r="N33" s="58"/>
      <c r="O33" s="58"/>
      <c r="P33" s="58"/>
      <c r="Q33" s="58"/>
      <c r="R33" s="58"/>
      <c r="S33" s="58"/>
      <c r="T33" s="59"/>
      <c r="V33"/>
      <c r="W33"/>
      <c r="X33"/>
      <c r="Y33"/>
      <c r="Z33"/>
      <c r="AA33"/>
      <c r="AB33"/>
      <c r="AC33"/>
      <c r="AD33"/>
      <c r="AE33"/>
      <c r="AF33"/>
    </row>
    <row r="34" spans="8:8" ht="15.6" customHeight="1">
      <c r="B34" s="173"/>
      <c r="C34" s="58"/>
      <c r="D34" s="58"/>
      <c r="E34" s="58"/>
      <c r="F34" s="58"/>
      <c r="G34" s="58"/>
      <c r="H34" s="58"/>
      <c r="I34" s="58"/>
      <c r="J34" s="59"/>
      <c r="K34" s="10"/>
      <c r="L34" s="180"/>
      <c r="M34" s="58"/>
      <c r="N34" s="58"/>
      <c r="O34" s="58"/>
      <c r="P34" s="58"/>
      <c r="Q34" s="58"/>
      <c r="R34" s="58"/>
      <c r="S34" s="58"/>
      <c r="T34" s="59"/>
      <c r="V34"/>
      <c r="W34"/>
      <c r="X34"/>
      <c r="Y34"/>
      <c r="Z34"/>
      <c r="AA34"/>
      <c r="AB34"/>
      <c r="AC34"/>
      <c r="AD34"/>
      <c r="AE34"/>
      <c r="AF34"/>
    </row>
    <row r="35" spans="8:8" ht="15.6" customHeight="1">
      <c r="B35" s="173"/>
      <c r="C35" s="58"/>
      <c r="D35" s="58"/>
      <c r="E35" s="58"/>
      <c r="F35" s="58"/>
      <c r="G35" s="58"/>
      <c r="H35" s="58"/>
      <c r="I35" s="58"/>
      <c r="J35" s="59"/>
      <c r="K35" s="10"/>
      <c r="L35" s="180"/>
      <c r="M35" s="58"/>
      <c r="N35" s="58"/>
      <c r="O35" s="58"/>
      <c r="P35" s="58"/>
      <c r="Q35" s="58"/>
      <c r="R35" s="58"/>
      <c r="S35" s="58"/>
      <c r="T35" s="59"/>
      <c r="V35"/>
      <c r="W35"/>
      <c r="X35"/>
      <c r="Y35"/>
      <c r="Z35"/>
      <c r="AA35"/>
      <c r="AB35"/>
      <c r="AC35"/>
      <c r="AD35"/>
      <c r="AE35"/>
      <c r="AF35"/>
    </row>
    <row r="36" spans="8:8" ht="15.6" customHeight="1">
      <c r="B36" s="173" t="s">
        <v>94</v>
      </c>
      <c r="C36" s="58"/>
      <c r="D36" s="58"/>
      <c r="E36" s="58"/>
      <c r="F36" s="58"/>
      <c r="G36" s="58"/>
      <c r="H36" s="58"/>
      <c r="I36" s="58"/>
      <c r="J36" s="59"/>
      <c r="K36" s="10"/>
      <c r="L36" s="180" t="s">
        <v>94</v>
      </c>
      <c r="M36" s="58"/>
      <c r="N36" s="58"/>
      <c r="O36" s="58"/>
      <c r="P36" s="58"/>
      <c r="Q36" s="58"/>
      <c r="R36" s="58"/>
      <c r="S36" s="58"/>
      <c r="T36" s="59"/>
      <c r="V36"/>
      <c r="W36"/>
      <c r="X36"/>
      <c r="Y36"/>
      <c r="Z36"/>
      <c r="AA36"/>
      <c r="AB36"/>
      <c r="AC36"/>
      <c r="AD36"/>
      <c r="AE36"/>
      <c r="AF36"/>
    </row>
    <row r="37" spans="8:8" ht="15.6" customHeight="1">
      <c r="B37" s="173"/>
      <c r="C37" s="58"/>
      <c r="D37" s="58"/>
      <c r="E37" s="58"/>
      <c r="F37" s="58"/>
      <c r="G37" s="58"/>
      <c r="H37" s="58"/>
      <c r="I37" s="58"/>
      <c r="J37" s="59"/>
      <c r="K37" s="10"/>
      <c r="L37" s="180"/>
      <c r="M37" s="58"/>
      <c r="N37" s="58"/>
      <c r="O37" s="58"/>
      <c r="P37" s="58"/>
      <c r="Q37" s="58"/>
      <c r="R37" s="58"/>
      <c r="S37" s="58"/>
      <c r="T37" s="59"/>
      <c r="V37"/>
      <c r="W37"/>
      <c r="X37"/>
      <c r="Y37"/>
      <c r="Z37"/>
      <c r="AA37"/>
      <c r="AB37"/>
      <c r="AC37"/>
      <c r="AD37"/>
      <c r="AE37"/>
      <c r="AF37"/>
    </row>
    <row r="38" spans="8:8" ht="15.6" customHeight="1">
      <c r="B38" s="173"/>
      <c r="C38" s="58"/>
      <c r="D38" s="58"/>
      <c r="E38" s="58"/>
      <c r="F38" s="58"/>
      <c r="G38" s="58"/>
      <c r="H38" s="58"/>
      <c r="I38" s="58"/>
      <c r="J38" s="59"/>
      <c r="K38" s="10"/>
      <c r="L38" s="180"/>
      <c r="M38" s="58"/>
      <c r="N38" s="58"/>
      <c r="O38" s="58"/>
      <c r="P38" s="58"/>
      <c r="Q38" s="58"/>
      <c r="R38" s="58"/>
      <c r="S38" s="58"/>
      <c r="T38" s="59"/>
      <c r="V38"/>
      <c r="W38"/>
      <c r="X38"/>
      <c r="Y38"/>
      <c r="Z38"/>
      <c r="AA38"/>
      <c r="AB38"/>
      <c r="AC38"/>
      <c r="AD38"/>
      <c r="AE38"/>
      <c r="AF38"/>
    </row>
    <row r="39" spans="8:8" ht="15.6" customHeight="1">
      <c r="B39" s="163" t="s">
        <v>80</v>
      </c>
      <c r="C39" s="164"/>
      <c r="D39" s="164"/>
      <c r="E39" s="165" t="s">
        <v>82</v>
      </c>
      <c r="F39" s="166"/>
      <c r="G39" s="167" t="s">
        <v>56</v>
      </c>
      <c r="H39" s="168"/>
      <c r="I39" s="167" t="s">
        <v>83</v>
      </c>
      <c r="J39" s="169"/>
      <c r="K39" s="10"/>
      <c r="L39" s="180" t="s">
        <v>80</v>
      </c>
      <c r="M39" s="58"/>
      <c r="N39" s="58"/>
      <c r="O39" s="183" t="s">
        <v>64</v>
      </c>
      <c r="P39" s="190"/>
      <c r="Q39" s="184" t="s">
        <v>56</v>
      </c>
      <c r="R39" s="191"/>
      <c r="S39" s="184" t="s">
        <v>83</v>
      </c>
      <c r="T39" s="169">
        <f>_xlfn.IFNA(VLOOKUP(P39,'（调卡用表）'!$J$3:$K$33,2,0),0)</f>
        <v>0.0</v>
      </c>
      <c r="V39"/>
      <c r="W39"/>
      <c r="X39"/>
      <c r="Y39"/>
      <c r="Z39"/>
      <c r="AA39"/>
      <c r="AB39"/>
      <c r="AC39"/>
      <c r="AD39"/>
      <c r="AE39"/>
      <c r="AF39"/>
    </row>
    <row r="40" spans="8:8" ht="15.6" customHeight="1">
      <c r="B40" s="173" t="s">
        <v>61</v>
      </c>
      <c r="C40" s="174"/>
      <c r="D40" s="174"/>
      <c r="E40" s="175" t="s">
        <v>85</v>
      </c>
      <c r="F40" s="176"/>
      <c r="G40" s="177" t="s">
        <v>87</v>
      </c>
      <c r="H40" s="178"/>
      <c r="I40" s="177" t="s">
        <v>88</v>
      </c>
      <c r="J40" s="179"/>
      <c r="K40" s="10"/>
      <c r="L40" s="180" t="s">
        <v>61</v>
      </c>
      <c r="M40" s="181"/>
      <c r="N40" s="182"/>
      <c r="O40" s="183" t="s">
        <v>89</v>
      </c>
      <c r="P40" s="58"/>
      <c r="Q40" s="58"/>
      <c r="R40" s="184" t="s">
        <v>90</v>
      </c>
      <c r="S40" s="185"/>
      <c r="T40" s="186"/>
      <c r="V40"/>
      <c r="W40"/>
      <c r="X40"/>
      <c r="Y40"/>
      <c r="Z40"/>
      <c r="AA40"/>
      <c r="AB40"/>
      <c r="AC40"/>
      <c r="AD40"/>
      <c r="AE40"/>
      <c r="AF40"/>
    </row>
    <row r="41" spans="8:8" ht="15.6" customHeight="1">
      <c r="B41" s="173"/>
      <c r="C41" s="174"/>
      <c r="D41" s="174"/>
      <c r="E41" s="165"/>
      <c r="F41" s="166"/>
      <c r="G41" s="167"/>
      <c r="H41" s="168"/>
      <c r="I41" s="167"/>
      <c r="J41" s="169"/>
      <c r="K41" s="10"/>
      <c r="L41" s="180"/>
      <c r="M41" s="187"/>
      <c r="N41" s="188"/>
      <c r="O41" s="184" t="s">
        <v>91</v>
      </c>
      <c r="P41" s="58"/>
      <c r="Q41" s="58"/>
      <c r="R41" s="184" t="s">
        <v>85</v>
      </c>
      <c r="S41" s="185"/>
      <c r="T41" s="189" t="str">
        <f>IF(P41="常驻","每日","每次")</f>
        <v>每次</v>
      </c>
      <c r="V41"/>
      <c r="W41"/>
      <c r="X41"/>
      <c r="Y41"/>
      <c r="Z41"/>
      <c r="AA41"/>
      <c r="AB41"/>
      <c r="AC41"/>
      <c r="AD41"/>
      <c r="AE41"/>
      <c r="AF41"/>
    </row>
    <row r="42" spans="8:8" ht="15.6" customHeight="1">
      <c r="B42" s="173" t="s">
        <v>73</v>
      </c>
      <c r="C42" s="58"/>
      <c r="D42" s="58"/>
      <c r="E42" s="58"/>
      <c r="F42" s="58"/>
      <c r="G42" s="58"/>
      <c r="H42" s="58"/>
      <c r="I42" s="58"/>
      <c r="J42" s="59"/>
      <c r="K42" s="10"/>
      <c r="L42" s="180" t="s">
        <v>73</v>
      </c>
      <c r="M42" s="58"/>
      <c r="N42" s="58"/>
      <c r="O42" s="58"/>
      <c r="P42" s="58"/>
      <c r="Q42" s="58"/>
      <c r="R42" s="58"/>
      <c r="S42" s="58"/>
      <c r="T42" s="59"/>
      <c r="V42"/>
      <c r="W42"/>
      <c r="X42"/>
      <c r="Y42"/>
      <c r="Z42"/>
      <c r="AA42"/>
      <c r="AB42"/>
      <c r="AC42"/>
      <c r="AD42"/>
      <c r="AE42"/>
      <c r="AF42"/>
    </row>
    <row r="43" spans="8:8" ht="15.6" customHeight="1">
      <c r="B43" s="173"/>
      <c r="C43" s="58"/>
      <c r="D43" s="58"/>
      <c r="E43" s="58"/>
      <c r="F43" s="58"/>
      <c r="G43" s="58"/>
      <c r="H43" s="58"/>
      <c r="I43" s="58"/>
      <c r="J43" s="59"/>
      <c r="K43" s="10"/>
      <c r="L43" s="180"/>
      <c r="M43" s="58"/>
      <c r="N43" s="58"/>
      <c r="O43" s="58"/>
      <c r="P43" s="58"/>
      <c r="Q43" s="58"/>
      <c r="R43" s="58"/>
      <c r="S43" s="58"/>
      <c r="T43" s="59"/>
      <c r="V43"/>
      <c r="W43"/>
      <c r="X43"/>
      <c r="Y43"/>
      <c r="Z43"/>
      <c r="AA43"/>
      <c r="AB43"/>
      <c r="AC43"/>
      <c r="AD43"/>
      <c r="AE43"/>
      <c r="AF43"/>
    </row>
    <row r="44" spans="8:8" ht="15.6" customHeight="1">
      <c r="B44" s="173"/>
      <c r="C44" s="58"/>
      <c r="D44" s="58"/>
      <c r="E44" s="58"/>
      <c r="F44" s="58"/>
      <c r="G44" s="58"/>
      <c r="H44" s="58"/>
      <c r="I44" s="58"/>
      <c r="J44" s="59"/>
      <c r="K44" s="10"/>
      <c r="L44" s="180"/>
      <c r="M44" s="58"/>
      <c r="N44" s="58"/>
      <c r="O44" s="58"/>
      <c r="P44" s="58"/>
      <c r="Q44" s="58"/>
      <c r="R44" s="58"/>
      <c r="S44" s="58"/>
      <c r="T44" s="59"/>
      <c r="V44"/>
      <c r="W44"/>
      <c r="X44"/>
      <c r="Y44"/>
      <c r="Z44"/>
      <c r="AA44"/>
      <c r="AB44"/>
      <c r="AC44"/>
      <c r="AD44"/>
      <c r="AE44"/>
      <c r="AF44"/>
    </row>
    <row r="45" spans="8:8" ht="15.6" customHeight="1">
      <c r="B45" s="173" t="s">
        <v>94</v>
      </c>
      <c r="C45" s="58"/>
      <c r="D45" s="58"/>
      <c r="E45" s="58"/>
      <c r="F45" s="58"/>
      <c r="G45" s="58"/>
      <c r="H45" s="58"/>
      <c r="I45" s="58"/>
      <c r="J45" s="59"/>
      <c r="K45" s="10"/>
      <c r="L45" s="180" t="s">
        <v>94</v>
      </c>
      <c r="M45" s="58"/>
      <c r="N45" s="58"/>
      <c r="O45" s="58"/>
      <c r="P45" s="58"/>
      <c r="Q45" s="58"/>
      <c r="R45" s="58"/>
      <c r="S45" s="58"/>
      <c r="T45" s="59"/>
      <c r="V45"/>
      <c r="W45"/>
      <c r="X45"/>
      <c r="Y45"/>
      <c r="Z45"/>
      <c r="AA45"/>
      <c r="AB45"/>
      <c r="AC45"/>
      <c r="AD45"/>
      <c r="AE45"/>
      <c r="AF45"/>
    </row>
    <row r="46" spans="8:8" ht="15.6" customHeight="1">
      <c r="B46" s="173"/>
      <c r="C46" s="58"/>
      <c r="D46" s="58"/>
      <c r="E46" s="58"/>
      <c r="F46" s="58"/>
      <c r="G46" s="58"/>
      <c r="H46" s="58"/>
      <c r="I46" s="58"/>
      <c r="J46" s="59"/>
      <c r="K46" s="10"/>
      <c r="L46" s="180"/>
      <c r="M46" s="58"/>
      <c r="N46" s="58"/>
      <c r="O46" s="58"/>
      <c r="P46" s="58"/>
      <c r="Q46" s="58"/>
      <c r="R46" s="58"/>
      <c r="S46" s="58"/>
      <c r="T46" s="59"/>
      <c r="V46"/>
      <c r="W46"/>
      <c r="X46"/>
      <c r="Y46"/>
      <c r="Z46"/>
      <c r="AA46"/>
      <c r="AB46"/>
      <c r="AC46"/>
      <c r="AD46"/>
      <c r="AE46"/>
      <c r="AF46"/>
    </row>
    <row r="47" spans="8:8" ht="15.6" customHeight="1">
      <c r="B47" s="173"/>
      <c r="C47" s="58"/>
      <c r="D47" s="58"/>
      <c r="E47" s="58"/>
      <c r="F47" s="58"/>
      <c r="G47" s="58"/>
      <c r="H47" s="58"/>
      <c r="I47" s="58"/>
      <c r="J47" s="59"/>
      <c r="K47" s="10"/>
      <c r="L47" s="192"/>
      <c r="M47" s="193"/>
      <c r="N47" s="193"/>
      <c r="O47" s="193"/>
      <c r="P47" s="193"/>
      <c r="Q47" s="193"/>
      <c r="R47" s="193"/>
      <c r="S47" s="193"/>
      <c r="T47" s="194"/>
    </row>
    <row r="48" spans="8:8" ht="15.6" customHeight="1">
      <c r="B48" s="195" t="s">
        <v>96</v>
      </c>
      <c r="C48" s="196"/>
      <c r="D48" s="197"/>
      <c r="E48" s="197"/>
      <c r="F48" s="197"/>
      <c r="G48" s="197"/>
      <c r="H48" s="197"/>
      <c r="I48" s="197"/>
      <c r="J48" s="198"/>
      <c r="K48" s="10"/>
      <c r="L48" s="199" t="s">
        <v>97</v>
      </c>
      <c r="M48" s="200"/>
      <c r="N48" s="201"/>
      <c r="O48" s="201"/>
      <c r="P48" s="201"/>
      <c r="Q48" s="201"/>
      <c r="R48" s="201"/>
      <c r="S48" s="201"/>
      <c r="T48" s="202"/>
    </row>
    <row r="49" spans="8:8" ht="15.6" customHeight="1">
      <c r="B49" s="203" t="s">
        <v>80</v>
      </c>
      <c r="C49" s="58" t="s">
        <v>390</v>
      </c>
      <c r="D49" s="58"/>
      <c r="E49" s="204" t="s">
        <v>64</v>
      </c>
      <c r="F49" s="190" t="s">
        <v>190</v>
      </c>
      <c r="G49" s="205" t="s">
        <v>56</v>
      </c>
      <c r="H49" s="191">
        <v>2.0</v>
      </c>
      <c r="I49" s="205" t="s">
        <v>83</v>
      </c>
      <c r="J49" s="169">
        <f>_xlfn.IFNA(VLOOKUP(F49,'（调卡用表）'!$J$3:$K$33,2,0),0)</f>
        <v>5.0</v>
      </c>
      <c r="K49" s="10"/>
      <c r="L49" s="206" t="s">
        <v>80</v>
      </c>
      <c r="M49" s="58" t="s">
        <v>395</v>
      </c>
      <c r="N49" s="58"/>
      <c r="O49" s="207" t="s">
        <v>64</v>
      </c>
      <c r="P49" s="190" t="s">
        <v>99</v>
      </c>
      <c r="Q49" s="208" t="s">
        <v>56</v>
      </c>
      <c r="R49" s="191"/>
      <c r="S49" s="208" t="s">
        <v>83</v>
      </c>
      <c r="T49" s="169"/>
    </row>
    <row r="50" spans="8:8" ht="15.6" customHeight="1">
      <c r="B50" s="203" t="s">
        <v>61</v>
      </c>
      <c r="C50" s="181" t="s">
        <v>100</v>
      </c>
      <c r="D50" s="182"/>
      <c r="E50" s="204" t="s">
        <v>89</v>
      </c>
      <c r="F50" s="58" t="s">
        <v>393</v>
      </c>
      <c r="G50" s="58"/>
      <c r="H50" s="205" t="s">
        <v>90</v>
      </c>
      <c r="I50" s="185">
        <v>0.0</v>
      </c>
      <c r="J50" s="186"/>
      <c r="K50" s="10"/>
      <c r="L50" s="206" t="s">
        <v>61</v>
      </c>
      <c r="M50" s="181"/>
      <c r="N50" s="182"/>
      <c r="O50" s="207" t="s">
        <v>89</v>
      </c>
      <c r="P50" s="58" t="s">
        <v>397</v>
      </c>
      <c r="Q50" s="58"/>
      <c r="R50" s="208" t="s">
        <v>90</v>
      </c>
      <c r="S50" s="185">
        <v>3.0</v>
      </c>
      <c r="T50" s="186"/>
    </row>
    <row r="51" spans="8:8" ht="15.6" customHeight="1">
      <c r="B51" s="203"/>
      <c r="C51" s="187"/>
      <c r="D51" s="188"/>
      <c r="E51" s="205" t="s">
        <v>91</v>
      </c>
      <c r="F51" s="58" t="s">
        <v>394</v>
      </c>
      <c r="G51" s="58"/>
      <c r="H51" s="205" t="s">
        <v>85</v>
      </c>
      <c r="I51" s="185">
        <v>0.0</v>
      </c>
      <c r="J51" s="189" t="str">
        <f>IF(F51="常驻","每日","每次")</f>
        <v>每次</v>
      </c>
      <c r="K51" s="10"/>
      <c r="L51" s="206"/>
      <c r="M51" s="187"/>
      <c r="N51" s="188"/>
      <c r="O51" s="208" t="s">
        <v>91</v>
      </c>
      <c r="P51" s="58" t="s">
        <v>316</v>
      </c>
      <c r="Q51" s="58"/>
      <c r="R51" s="208" t="s">
        <v>85</v>
      </c>
      <c r="S51" s="185">
        <v>10.0</v>
      </c>
      <c r="T51" s="189" t="str">
        <f>IF(P51="常驻","每日","每次")</f>
        <v>每次</v>
      </c>
    </row>
    <row r="52" spans="8:8" ht="15.6" customHeight="1">
      <c r="B52" s="203" t="s">
        <v>73</v>
      </c>
      <c r="C52" s="58" t="s">
        <v>392</v>
      </c>
      <c r="D52" s="58"/>
      <c r="E52" s="58"/>
      <c r="F52" s="58"/>
      <c r="G52" s="58"/>
      <c r="H52" s="58"/>
      <c r="I52" s="58"/>
      <c r="J52" s="59"/>
      <c r="K52" s="10"/>
      <c r="L52" s="206" t="s">
        <v>73</v>
      </c>
      <c r="M52" s="58" t="s">
        <v>396</v>
      </c>
      <c r="N52" s="58"/>
      <c r="O52" s="58"/>
      <c r="P52" s="58"/>
      <c r="Q52" s="58"/>
      <c r="R52" s="58"/>
      <c r="S52" s="58"/>
      <c r="T52" s="59"/>
    </row>
    <row r="53" spans="8:8" ht="86.7" customHeight="1">
      <c r="B53" s="203"/>
      <c r="C53" s="58"/>
      <c r="D53" s="58"/>
      <c r="E53" s="58"/>
      <c r="F53" s="58"/>
      <c r="G53" s="58"/>
      <c r="H53" s="58"/>
      <c r="I53" s="58"/>
      <c r="J53" s="59"/>
      <c r="K53" s="10"/>
      <c r="L53" s="206"/>
      <c r="M53" s="58"/>
      <c r="N53" s="58"/>
      <c r="O53" s="58"/>
      <c r="P53" s="58"/>
      <c r="Q53" s="58"/>
      <c r="R53" s="58"/>
      <c r="S53" s="58"/>
      <c r="T53" s="59"/>
    </row>
    <row r="54" spans="8:8" ht="15.6" customHeight="1">
      <c r="B54" s="203"/>
      <c r="C54" s="58"/>
      <c r="D54" s="58"/>
      <c r="E54" s="58"/>
      <c r="F54" s="58"/>
      <c r="G54" s="58"/>
      <c r="H54" s="58"/>
      <c r="I54" s="58"/>
      <c r="J54" s="59"/>
      <c r="K54" s="10"/>
      <c r="L54" s="206"/>
      <c r="M54" s="58"/>
      <c r="N54" s="58"/>
      <c r="O54" s="58"/>
      <c r="P54" s="58"/>
      <c r="Q54" s="58"/>
      <c r="R54" s="58"/>
      <c r="S54" s="58"/>
      <c r="T54" s="59"/>
    </row>
    <row r="55" spans="8:8" ht="15.6" customHeight="1">
      <c r="B55" s="203" t="s">
        <v>94</v>
      </c>
      <c r="C55" s="209" t="s">
        <v>391</v>
      </c>
      <c r="D55" s="209"/>
      <c r="E55" s="209"/>
      <c r="F55" s="209"/>
      <c r="G55" s="209"/>
      <c r="H55" s="209"/>
      <c r="I55" s="209"/>
      <c r="J55" s="210"/>
      <c r="K55" s="10"/>
      <c r="L55" s="206" t="s">
        <v>94</v>
      </c>
      <c r="M55" s="58"/>
      <c r="N55" s="58"/>
      <c r="O55" s="58"/>
      <c r="P55" s="58"/>
      <c r="Q55" s="58"/>
      <c r="R55" s="58"/>
      <c r="S55" s="58"/>
      <c r="T55" s="59"/>
    </row>
    <row r="56" spans="8:8" ht="15.6" customHeight="1">
      <c r="B56" s="203"/>
      <c r="C56" s="209"/>
      <c r="D56" s="209"/>
      <c r="E56" s="209"/>
      <c r="F56" s="209"/>
      <c r="G56" s="209"/>
      <c r="H56" s="209"/>
      <c r="I56" s="209"/>
      <c r="J56" s="210"/>
      <c r="K56" s="10"/>
      <c r="L56" s="206"/>
      <c r="M56" s="58"/>
      <c r="N56" s="58"/>
      <c r="O56" s="58"/>
      <c r="P56" s="58"/>
      <c r="Q56" s="58"/>
      <c r="R56" s="58"/>
      <c r="S56" s="58"/>
      <c r="T56" s="59"/>
    </row>
    <row r="57" spans="8:8" ht="15.6" customHeight="1">
      <c r="B57" s="203"/>
      <c r="C57" s="209"/>
      <c r="D57" s="209"/>
      <c r="E57" s="209"/>
      <c r="F57" s="209"/>
      <c r="G57" s="209"/>
      <c r="H57" s="209"/>
      <c r="I57" s="209"/>
      <c r="J57" s="210"/>
      <c r="K57" s="10"/>
      <c r="L57" s="206"/>
      <c r="M57" s="58"/>
      <c r="N57" s="58"/>
      <c r="O57" s="58"/>
      <c r="P57" s="58"/>
      <c r="Q57" s="58"/>
      <c r="R57" s="58"/>
      <c r="S57" s="58"/>
      <c r="T57" s="59"/>
    </row>
    <row r="58" spans="8:8" ht="15.6" customHeight="1">
      <c r="B58" s="203" t="s">
        <v>80</v>
      </c>
      <c r="C58" s="58" t="s">
        <v>387</v>
      </c>
      <c r="D58" s="58"/>
      <c r="E58" s="204" t="s">
        <v>64</v>
      </c>
      <c r="F58" s="190" t="s">
        <v>190</v>
      </c>
      <c r="G58" s="205" t="s">
        <v>56</v>
      </c>
      <c r="H58" s="191"/>
      <c r="I58" s="205" t="s">
        <v>83</v>
      </c>
      <c r="J58" s="169">
        <f>_xlfn.IFNA(VLOOKUP(F58,'（调卡用表）'!$J$3:$K$33,2,0),0)</f>
        <v>5.0</v>
      </c>
      <c r="K58" s="10"/>
      <c r="L58" s="206" t="s">
        <v>80</v>
      </c>
      <c r="M58" s="58"/>
      <c r="N58" s="58"/>
      <c r="O58" s="207" t="s">
        <v>64</v>
      </c>
      <c r="P58" s="190" t="s">
        <v>99</v>
      </c>
      <c r="Q58" s="208" t="s">
        <v>56</v>
      </c>
      <c r="R58" s="191"/>
      <c r="S58" s="208" t="s">
        <v>83</v>
      </c>
      <c r="T58" s="169"/>
    </row>
    <row r="59" spans="8:8" ht="15.6" customHeight="1">
      <c r="B59" s="203" t="s">
        <v>61</v>
      </c>
      <c r="C59" s="181"/>
      <c r="D59" s="182"/>
      <c r="E59" s="204" t="s">
        <v>89</v>
      </c>
      <c r="F59" s="58" t="s">
        <v>388</v>
      </c>
      <c r="G59" s="58"/>
      <c r="H59" s="205" t="s">
        <v>90</v>
      </c>
      <c r="I59" s="185">
        <v>0.0</v>
      </c>
      <c r="J59" s="186"/>
      <c r="K59" s="10"/>
      <c r="L59" s="206" t="s">
        <v>61</v>
      </c>
      <c r="M59" s="181"/>
      <c r="N59" s="182"/>
      <c r="O59" s="207" t="s">
        <v>89</v>
      </c>
      <c r="P59" s="58"/>
      <c r="Q59" s="58"/>
      <c r="R59" s="208" t="s">
        <v>90</v>
      </c>
      <c r="S59" s="185"/>
      <c r="T59" s="186"/>
    </row>
    <row r="60" spans="8:8" ht="15.6" customHeight="1">
      <c r="B60" s="203"/>
      <c r="C60" s="187"/>
      <c r="D60" s="188"/>
      <c r="E60" s="205" t="s">
        <v>91</v>
      </c>
      <c r="F60" s="58" t="s">
        <v>316</v>
      </c>
      <c r="G60" s="58"/>
      <c r="H60" s="205" t="s">
        <v>85</v>
      </c>
      <c r="I60" s="185">
        <v>10.0</v>
      </c>
      <c r="J60" s="189" t="str">
        <f>IF(F60="常驻","每日","每次")</f>
        <v>每次</v>
      </c>
      <c r="K60" s="10"/>
      <c r="L60" s="206"/>
      <c r="M60" s="187"/>
      <c r="N60" s="188"/>
      <c r="O60" s="208" t="s">
        <v>91</v>
      </c>
      <c r="P60" s="58"/>
      <c r="Q60" s="58"/>
      <c r="R60" s="208" t="s">
        <v>85</v>
      </c>
      <c r="S60" s="185"/>
      <c r="T60" s="189" t="str">
        <f>IF(P60="常驻","每日","每次")</f>
        <v>每次</v>
      </c>
    </row>
    <row r="61" spans="8:8" ht="59.65" customHeight="1">
      <c r="B61" s="203" t="s">
        <v>73</v>
      </c>
      <c r="C61" s="58" t="s">
        <v>389</v>
      </c>
      <c r="D61" s="58"/>
      <c r="E61" s="58"/>
      <c r="F61" s="58"/>
      <c r="G61" s="58"/>
      <c r="H61" s="58"/>
      <c r="I61" s="58"/>
      <c r="J61" s="59"/>
      <c r="K61" s="10"/>
      <c r="L61" s="206" t="s">
        <v>73</v>
      </c>
      <c r="M61" s="58"/>
      <c r="N61" s="58"/>
      <c r="O61" s="58"/>
      <c r="P61" s="58"/>
      <c r="Q61" s="58"/>
      <c r="R61" s="58"/>
      <c r="S61" s="58"/>
      <c r="T61" s="59"/>
    </row>
    <row r="62" spans="8:8" ht="59.65" customHeight="1">
      <c r="B62" s="203"/>
      <c r="C62" s="58"/>
      <c r="D62" s="58"/>
      <c r="E62" s="58"/>
      <c r="F62" s="58"/>
      <c r="G62" s="58"/>
      <c r="H62" s="58"/>
      <c r="I62" s="58"/>
      <c r="J62" s="59"/>
      <c r="K62" s="10"/>
      <c r="L62" s="206"/>
      <c r="M62" s="58"/>
      <c r="N62" s="58"/>
      <c r="O62" s="58"/>
      <c r="P62" s="58"/>
      <c r="Q62" s="58"/>
      <c r="R62" s="58"/>
      <c r="S62" s="58"/>
      <c r="T62" s="59"/>
    </row>
    <row r="63" spans="8:8" ht="15.6" customHeight="1">
      <c r="B63" s="203"/>
      <c r="C63" s="58"/>
      <c r="D63" s="58"/>
      <c r="E63" s="58"/>
      <c r="F63" s="58"/>
      <c r="G63" s="58"/>
      <c r="H63" s="58"/>
      <c r="I63" s="58"/>
      <c r="J63" s="59"/>
      <c r="K63" s="10"/>
      <c r="L63" s="206"/>
      <c r="M63" s="58"/>
      <c r="N63" s="58"/>
      <c r="O63" s="58"/>
      <c r="P63" s="58"/>
      <c r="Q63" s="58"/>
      <c r="R63" s="58"/>
      <c r="S63" s="58"/>
      <c r="T63" s="59"/>
    </row>
    <row r="64" spans="8:8" ht="15.6" customHeight="1">
      <c r="B64" s="203" t="s">
        <v>94</v>
      </c>
      <c r="C64" s="58"/>
      <c r="D64" s="58"/>
      <c r="E64" s="58"/>
      <c r="F64" s="58"/>
      <c r="G64" s="58"/>
      <c r="H64" s="58"/>
      <c r="I64" s="58"/>
      <c r="J64" s="59"/>
      <c r="K64" s="10"/>
      <c r="L64" s="206" t="s">
        <v>94</v>
      </c>
      <c r="M64" s="58"/>
      <c r="N64" s="58"/>
      <c r="O64" s="58"/>
      <c r="P64" s="58"/>
      <c r="Q64" s="58"/>
      <c r="R64" s="58"/>
      <c r="S64" s="58"/>
      <c r="T64" s="59"/>
    </row>
    <row r="65" spans="8:8" ht="15.6" customHeight="1">
      <c r="B65" s="203"/>
      <c r="C65" s="58"/>
      <c r="D65" s="58"/>
      <c r="E65" s="58"/>
      <c r="F65" s="58"/>
      <c r="G65" s="58"/>
      <c r="H65" s="58"/>
      <c r="I65" s="58"/>
      <c r="J65" s="59"/>
      <c r="K65" s="10"/>
      <c r="L65" s="206"/>
      <c r="M65" s="58"/>
      <c r="N65" s="58"/>
      <c r="O65" s="58"/>
      <c r="P65" s="58"/>
      <c r="Q65" s="58"/>
      <c r="R65" s="58"/>
      <c r="S65" s="58"/>
      <c r="T65" s="59"/>
    </row>
    <row r="66" spans="8:8" ht="15.6" customHeight="1">
      <c r="B66" s="203"/>
      <c r="C66" s="58"/>
      <c r="D66" s="58"/>
      <c r="E66" s="58"/>
      <c r="F66" s="58"/>
      <c r="G66" s="58"/>
      <c r="H66" s="58"/>
      <c r="I66" s="58"/>
      <c r="J66" s="59"/>
      <c r="K66" s="10"/>
      <c r="L66" s="206"/>
      <c r="M66" s="58"/>
      <c r="N66" s="58"/>
      <c r="O66" s="58"/>
      <c r="P66" s="58"/>
      <c r="Q66" s="58"/>
      <c r="R66" s="58"/>
      <c r="S66" s="58"/>
      <c r="T66" s="59"/>
    </row>
    <row r="67" spans="8:8" ht="15.6" customHeight="1">
      <c r="B67" s="203" t="s">
        <v>80</v>
      </c>
      <c r="C67" s="58" t="s">
        <v>383</v>
      </c>
      <c r="D67" s="58"/>
      <c r="E67" s="204" t="s">
        <v>64</v>
      </c>
      <c r="F67" s="190" t="s">
        <v>190</v>
      </c>
      <c r="G67" s="205" t="s">
        <v>56</v>
      </c>
      <c r="H67" s="191"/>
      <c r="I67" s="205" t="s">
        <v>83</v>
      </c>
      <c r="J67" s="169">
        <f>_xlfn.IFNA(VLOOKUP(F67,'（调卡用表）'!$J$3:$K$33,2,0),0)</f>
        <v>5.0</v>
      </c>
      <c r="K67" s="10"/>
      <c r="L67" s="206" t="s">
        <v>80</v>
      </c>
      <c r="M67" s="58"/>
      <c r="N67" s="58"/>
      <c r="O67" s="207" t="s">
        <v>64</v>
      </c>
      <c r="P67" s="190" t="s">
        <v>99</v>
      </c>
      <c r="Q67" s="208" t="s">
        <v>56</v>
      </c>
      <c r="R67" s="191"/>
      <c r="S67" s="208" t="s">
        <v>83</v>
      </c>
      <c r="T67" s="169"/>
    </row>
    <row r="68" spans="8:8" ht="15.6" customHeight="1">
      <c r="B68" s="203" t="s">
        <v>61</v>
      </c>
      <c r="C68" s="181"/>
      <c r="D68" s="182"/>
      <c r="E68" s="204" t="s">
        <v>89</v>
      </c>
      <c r="F68" s="58" t="s">
        <v>284</v>
      </c>
      <c r="G68" s="58"/>
      <c r="H68" s="205" t="s">
        <v>90</v>
      </c>
      <c r="I68" s="185">
        <v>9.0</v>
      </c>
      <c r="J68" s="186"/>
      <c r="K68" s="10"/>
      <c r="L68" s="206" t="s">
        <v>61</v>
      </c>
      <c r="M68" s="181"/>
      <c r="N68" s="182"/>
      <c r="O68" s="207" t="s">
        <v>89</v>
      </c>
      <c r="P68" s="58"/>
      <c r="Q68" s="58"/>
      <c r="R68" s="208" t="s">
        <v>90</v>
      </c>
      <c r="S68" s="185"/>
      <c r="T68" s="186"/>
    </row>
    <row r="69" spans="8:8" ht="15.6" customHeight="1">
      <c r="B69" s="203"/>
      <c r="C69" s="187"/>
      <c r="D69" s="188"/>
      <c r="E69" s="205" t="s">
        <v>91</v>
      </c>
      <c r="F69" s="58" t="s">
        <v>384</v>
      </c>
      <c r="G69" s="58"/>
      <c r="H69" s="205" t="s">
        <v>85</v>
      </c>
      <c r="I69" s="185">
        <v>20.0</v>
      </c>
      <c r="J69" s="189" t="str">
        <f>IF(F69="常驻","每日","每次")</f>
        <v>每次</v>
      </c>
      <c r="K69" s="10"/>
      <c r="L69" s="206"/>
      <c r="M69" s="187"/>
      <c r="N69" s="188"/>
      <c r="O69" s="208" t="s">
        <v>91</v>
      </c>
      <c r="P69" s="58"/>
      <c r="Q69" s="58"/>
      <c r="R69" s="208" t="s">
        <v>85</v>
      </c>
      <c r="S69" s="185"/>
      <c r="T69" s="189" t="str">
        <f>IF(P69="常驻","每日","每次")</f>
        <v>每次</v>
      </c>
    </row>
    <row r="70" spans="8:8" ht="15.6" customHeight="1">
      <c r="B70" s="203" t="s">
        <v>73</v>
      </c>
      <c r="C70" s="58" t="s">
        <v>385</v>
      </c>
      <c r="D70" s="58"/>
      <c r="E70" s="58"/>
      <c r="F70" s="58"/>
      <c r="G70" s="58"/>
      <c r="H70" s="58"/>
      <c r="I70" s="58"/>
      <c r="J70" s="59"/>
      <c r="K70" s="10"/>
      <c r="L70" s="206" t="s">
        <v>73</v>
      </c>
      <c r="M70" s="58"/>
      <c r="N70" s="58"/>
      <c r="O70" s="58"/>
      <c r="P70" s="58"/>
      <c r="Q70" s="58"/>
      <c r="R70" s="58"/>
      <c r="S70" s="58"/>
      <c r="T70" s="59"/>
    </row>
    <row r="71" spans="8:8" ht="64.3" customHeight="1">
      <c r="B71" s="203"/>
      <c r="C71" s="58"/>
      <c r="D71" s="58"/>
      <c r="E71" s="58"/>
      <c r="F71" s="58"/>
      <c r="G71" s="58"/>
      <c r="H71" s="58"/>
      <c r="I71" s="58"/>
      <c r="J71" s="59"/>
      <c r="K71" s="10"/>
      <c r="L71" s="206"/>
      <c r="M71" s="58"/>
      <c r="N71" s="58"/>
      <c r="O71" s="58"/>
      <c r="P71" s="58"/>
      <c r="Q71" s="58"/>
      <c r="R71" s="58"/>
      <c r="S71" s="58"/>
      <c r="T71" s="59"/>
    </row>
    <row r="72" spans="8:8" ht="15.6" customHeight="1">
      <c r="B72" s="203"/>
      <c r="C72" s="58"/>
      <c r="D72" s="58"/>
      <c r="E72" s="58"/>
      <c r="F72" s="58"/>
      <c r="G72" s="58"/>
      <c r="H72" s="58"/>
      <c r="I72" s="58"/>
      <c r="J72" s="59"/>
      <c r="K72" s="10"/>
      <c r="L72" s="206"/>
      <c r="M72" s="58"/>
      <c r="N72" s="58"/>
      <c r="O72" s="58"/>
      <c r="P72" s="58"/>
      <c r="Q72" s="58"/>
      <c r="R72" s="58"/>
      <c r="S72" s="58"/>
      <c r="T72" s="59"/>
    </row>
    <row r="73" spans="8:8" ht="15.6" customHeight="1">
      <c r="B73" s="203" t="s">
        <v>94</v>
      </c>
      <c r="C73" s="58"/>
      <c r="D73" s="58"/>
      <c r="E73" s="58"/>
      <c r="F73" s="58"/>
      <c r="G73" s="58"/>
      <c r="H73" s="58"/>
      <c r="I73" s="58"/>
      <c r="J73" s="59"/>
      <c r="K73" s="10"/>
      <c r="L73" s="206" t="s">
        <v>94</v>
      </c>
      <c r="M73" s="58"/>
      <c r="N73" s="58"/>
      <c r="O73" s="58"/>
      <c r="P73" s="58"/>
      <c r="Q73" s="58"/>
      <c r="R73" s="58"/>
      <c r="S73" s="58"/>
      <c r="T73" s="59"/>
    </row>
    <row r="74" spans="8:8" ht="15.6" customHeight="1">
      <c r="B74" s="203"/>
      <c r="C74" s="58"/>
      <c r="D74" s="58"/>
      <c r="E74" s="58"/>
      <c r="F74" s="58"/>
      <c r="G74" s="58"/>
      <c r="H74" s="58"/>
      <c r="I74" s="58"/>
      <c r="J74" s="59"/>
      <c r="K74" s="10"/>
      <c r="L74" s="206"/>
      <c r="M74" s="58"/>
      <c r="N74" s="58"/>
      <c r="O74" s="58"/>
      <c r="P74" s="58"/>
      <c r="Q74" s="58"/>
      <c r="R74" s="58"/>
      <c r="S74" s="58"/>
      <c r="T74" s="59"/>
    </row>
    <row r="75" spans="8:8" ht="15.6" customHeight="1">
      <c r="B75" s="211"/>
      <c r="C75" s="122"/>
      <c r="D75" s="122"/>
      <c r="E75" s="122"/>
      <c r="F75" s="122"/>
      <c r="G75" s="122"/>
      <c r="H75" s="122"/>
      <c r="I75" s="122"/>
      <c r="J75" s="123"/>
      <c r="K75" s="10"/>
      <c r="L75" s="212"/>
      <c r="M75" s="122"/>
      <c r="N75" s="122"/>
      <c r="O75" s="122"/>
      <c r="P75" s="122"/>
      <c r="Q75" s="122"/>
      <c r="R75" s="122"/>
      <c r="S75" s="122"/>
      <c r="T75" s="123"/>
    </row>
    <row r="76" spans="8:8" ht="15.6" customHeight="1"/>
    <row r="77" spans="8:8" ht="15.6" customHeight="1"/>
    <row r="78" spans="8:8" ht="15.6" customHeight="1"/>
    <row r="79" spans="8:8" ht="15.6" customHeight="1"/>
    <row r="80" spans="8:8" ht="15.6" customHeight="1"/>
    <row r="81" spans="8:8" ht="15.6" customHeight="1"/>
    <row r="82" spans="8:8" ht="15.6" customHeight="1"/>
    <row r="83" spans="8:8" ht="15.6" customHeight="1"/>
    <row r="84" spans="8:8" ht="15.6" customHeight="1"/>
    <row r="85" spans="8:8" ht="15.6" customHeight="1"/>
    <row r="86" spans="8:8" ht="15.6" customHeight="1">
      <c r="L86" s="16"/>
      <c r="M86" s="16"/>
    </row>
    <row r="87" spans="8:8" ht="15.6" customHeight="1">
      <c r="L87" s="16"/>
      <c r="M87" s="16"/>
    </row>
    <row r="88" spans="8:8" ht="15.6" customHeight="1">
      <c r="L88" s="16"/>
      <c r="M88" s="16"/>
    </row>
    <row r="89" spans="8:8" ht="15.6" customHeight="1">
      <c r="L89" s="16"/>
      <c r="M89" s="16"/>
    </row>
    <row r="90" spans="8:8" ht="15.6" customHeight="1">
      <c r="L90" s="16"/>
      <c r="M90" s="16"/>
    </row>
    <row r="91" spans="8:8" ht="15.6" customHeight="1">
      <c r="L91" s="16"/>
      <c r="M91" s="16"/>
    </row>
    <row r="92" spans="8:8" ht="15.6" customHeight="1">
      <c r="L92" s="16"/>
      <c r="M92" s="16"/>
    </row>
    <row r="93" spans="8:8" ht="15.6" customHeight="1">
      <c r="L93" s="16"/>
      <c r="M93" s="16"/>
    </row>
    <row r="94" spans="8:8" ht="15.6" customHeight="1">
      <c r="L94" s="16"/>
      <c r="M94" s="16"/>
    </row>
    <row r="95" spans="8:8">
      <c r="K95" s="213"/>
      <c r="L95" s="16"/>
      <c r="M95" s="16"/>
    </row>
    <row r="96" spans="8:8">
      <c r="L96" s="16"/>
      <c r="M96" s="16"/>
    </row>
    <row r="97" spans="8:8">
      <c r="L97" s="16"/>
      <c r="M97" s="16"/>
    </row>
    <row r="98" spans="8:8">
      <c r="L98" s="16"/>
      <c r="M98" s="16"/>
    </row>
    <row r="99" spans="8:8">
      <c r="L99" s="16"/>
      <c r="M99" s="16"/>
    </row>
    <row r="100" spans="8:8">
      <c r="L100" s="16"/>
      <c r="M100" s="16"/>
    </row>
    <row r="101" spans="8:8">
      <c r="L101" s="213"/>
      <c r="M101" s="16"/>
    </row>
    <row r="102" spans="8:8">
      <c r="L102" s="16"/>
      <c r="M102" s="16"/>
    </row>
    <row r="103" spans="8:8">
      <c r="L103" s="16"/>
      <c r="M103" s="16"/>
    </row>
    <row r="104" spans="8:8">
      <c r="L104" s="16"/>
      <c r="M104" s="16"/>
    </row>
    <row r="105" spans="8:8">
      <c r="L105" s="16"/>
      <c r="M105" s="16"/>
    </row>
    <row r="106" spans="8:8">
      <c r="L106" s="16"/>
      <c r="M106" s="16"/>
    </row>
    <row r="107" spans="8:8">
      <c r="L107" s="16"/>
      <c r="M107" s="16"/>
    </row>
    <row r="108" spans="8:8">
      <c r="L108" s="16"/>
      <c r="M108" s="16"/>
    </row>
    <row r="109" spans="8:8">
      <c r="L109" s="16"/>
      <c r="M109" s="16"/>
    </row>
    <row r="110" spans="8:8">
      <c r="L110" s="16"/>
      <c r="M110" s="16"/>
      <c r="N110" s="16"/>
      <c r="O110" s="16"/>
      <c r="P110" s="16"/>
      <c r="Q110" s="16"/>
      <c r="R110" s="16"/>
      <c r="S110" s="16"/>
      <c r="T110" s="16"/>
      <c r="U110" s="16"/>
    </row>
    <row r="111" spans="8:8">
      <c r="L111" s="16"/>
      <c r="M111" s="16"/>
      <c r="N111" s="16"/>
      <c r="O111" s="16"/>
      <c r="P111" s="16"/>
      <c r="Q111" s="16"/>
      <c r="R111" s="16"/>
      <c r="S111" s="16"/>
      <c r="T111" s="16"/>
      <c r="U111" s="16"/>
    </row>
    <row r="112" spans="8:8">
      <c r="L112" s="16"/>
      <c r="M112" s="16"/>
      <c r="N112" s="16"/>
      <c r="O112" s="16"/>
      <c r="P112" s="16"/>
      <c r="Q112" s="16"/>
      <c r="R112" s="16"/>
      <c r="S112" s="16"/>
      <c r="T112" s="16"/>
      <c r="U112" s="16"/>
    </row>
    <row r="113" spans="8:8">
      <c r="L113" s="16"/>
      <c r="M113" s="16"/>
      <c r="N113" s="16"/>
      <c r="O113" s="16"/>
      <c r="P113" s="16"/>
      <c r="Q113" s="16"/>
      <c r="R113" s="16"/>
      <c r="S113" s="16"/>
      <c r="T113" s="16"/>
      <c r="U113" s="16"/>
    </row>
    <row r="114" spans="8:8">
      <c r="L114" s="16"/>
      <c r="M114" s="16"/>
      <c r="N114" s="16"/>
      <c r="O114" s="16"/>
      <c r="P114" s="16"/>
      <c r="Q114" s="16"/>
      <c r="R114" s="16"/>
      <c r="S114" s="16"/>
      <c r="T114" s="16"/>
      <c r="U114" s="16"/>
    </row>
    <row r="115" spans="8:8">
      <c r="L115" s="16"/>
      <c r="M115" s="16"/>
      <c r="N115" s="16"/>
      <c r="O115" s="16"/>
      <c r="P115" s="16"/>
      <c r="Q115" s="16"/>
      <c r="R115" s="16"/>
      <c r="S115" s="16"/>
      <c r="T115" s="16"/>
      <c r="U115" s="16"/>
    </row>
    <row r="116" spans="8:8">
      <c r="L116" s="16"/>
      <c r="M116" s="16"/>
      <c r="N116" s="16"/>
      <c r="O116" s="16"/>
      <c r="P116" s="16"/>
      <c r="Q116" s="16"/>
      <c r="R116" s="16"/>
      <c r="S116" s="16"/>
      <c r="T116" s="16"/>
      <c r="U116" s="16"/>
    </row>
    <row r="117" spans="8:8">
      <c r="L117" s="16"/>
      <c r="M117" s="16"/>
      <c r="N117" s="16"/>
      <c r="O117" s="16"/>
      <c r="P117" s="16"/>
      <c r="Q117" s="16"/>
      <c r="R117" s="16"/>
      <c r="S117" s="16"/>
      <c r="T117" s="16"/>
      <c r="U117" s="16"/>
    </row>
    <row r="118" spans="8:8">
      <c r="L118" s="16"/>
      <c r="M118" s="16"/>
      <c r="N118" s="16"/>
      <c r="O118" s="16"/>
      <c r="P118" s="16"/>
      <c r="Q118" s="16"/>
      <c r="R118" s="16"/>
      <c r="S118" s="16"/>
      <c r="T118" s="16"/>
      <c r="U118" s="16"/>
    </row>
    <row r="119" spans="8:8">
      <c r="L119" s="16"/>
      <c r="M119" s="16"/>
      <c r="N119" s="16"/>
      <c r="O119" s="16"/>
      <c r="P119" s="16"/>
      <c r="Q119" s="16"/>
      <c r="R119" s="16"/>
      <c r="S119" s="16"/>
      <c r="T119" s="16"/>
      <c r="U119" s="16"/>
    </row>
    <row r="120" spans="8:8">
      <c r="L120" s="16"/>
      <c r="M120" s="16"/>
      <c r="N120" s="16"/>
      <c r="O120" s="16"/>
      <c r="P120" s="16"/>
      <c r="Q120" s="16"/>
      <c r="R120" s="16"/>
      <c r="S120" s="16"/>
      <c r="T120" s="16"/>
      <c r="U120" s="16"/>
    </row>
    <row r="121" spans="8:8">
      <c r="L121" s="16"/>
      <c r="M121" s="16"/>
      <c r="N121" s="16"/>
      <c r="O121" s="16"/>
      <c r="P121" s="16"/>
      <c r="Q121" s="16"/>
      <c r="R121" s="16"/>
      <c r="S121" s="16"/>
      <c r="T121" s="16"/>
      <c r="U121" s="16"/>
    </row>
    <row r="122" spans="8:8">
      <c r="L122" s="16"/>
      <c r="M122" s="16"/>
      <c r="N122" s="16"/>
      <c r="O122" s="16"/>
      <c r="P122" s="16"/>
      <c r="Q122" s="16"/>
      <c r="R122" s="16"/>
      <c r="S122" s="16"/>
      <c r="T122" s="16"/>
      <c r="U122" s="16"/>
    </row>
  </sheetData>
  <sheetProtection sheet="0" formatColumns="0" formatRows="0" insertColumns="0" insertRows="0" insertHyperlinks="0"/>
  <mergeCells count="161">
    <mergeCell ref="B73:B75"/>
    <mergeCell ref="M50:N51"/>
    <mergeCell ref="M61:T63"/>
    <mergeCell ref="N9:O9"/>
    <mergeCell ref="F40:F41"/>
    <mergeCell ref="B24:B26"/>
    <mergeCell ref="H3:J14"/>
    <mergeCell ref="B27:B29"/>
    <mergeCell ref="F14:G14"/>
    <mergeCell ref="M22:N23"/>
    <mergeCell ref="B6:D14"/>
    <mergeCell ref="G40:G41"/>
    <mergeCell ref="C30:D30"/>
    <mergeCell ref="N5:O5"/>
    <mergeCell ref="B2:D2"/>
    <mergeCell ref="Q2:T2"/>
    <mergeCell ref="B20:J20"/>
    <mergeCell ref="M21:N21"/>
    <mergeCell ref="F10:G10"/>
    <mergeCell ref="E3:G8"/>
    <mergeCell ref="L14:L15"/>
    <mergeCell ref="B3:D4"/>
    <mergeCell ref="L31:L32"/>
    <mergeCell ref="L2:O2"/>
    <mergeCell ref="I22:I23"/>
    <mergeCell ref="J31:J32"/>
    <mergeCell ref="P51:Q51"/>
    <mergeCell ref="B59:B60"/>
    <mergeCell ref="M68:N69"/>
    <mergeCell ref="F60:G60"/>
    <mergeCell ref="L52:L54"/>
    <mergeCell ref="P69:Q69"/>
    <mergeCell ref="I40:I41"/>
    <mergeCell ref="C33:J35"/>
    <mergeCell ref="L10:O10"/>
    <mergeCell ref="E2:G2"/>
    <mergeCell ref="L9:M9"/>
    <mergeCell ref="L24:L26"/>
    <mergeCell ref="M16:T19"/>
    <mergeCell ref="M33:T35"/>
    <mergeCell ref="C49:D49"/>
    <mergeCell ref="L73:L75"/>
    <mergeCell ref="P59:Q59"/>
    <mergeCell ref="L42:L44"/>
    <mergeCell ref="C45:J47"/>
    <mergeCell ref="P68:Q68"/>
    <mergeCell ref="B70:B72"/>
    <mergeCell ref="C40:D41"/>
    <mergeCell ref="L48:T48"/>
    <mergeCell ref="L59:L60"/>
    <mergeCell ref="M73:T75"/>
    <mergeCell ref="M58:N58"/>
    <mergeCell ref="M70:T72"/>
    <mergeCell ref="P60:Q60"/>
    <mergeCell ref="N3:O3"/>
    <mergeCell ref="C21:D21"/>
    <mergeCell ref="L33:L35"/>
    <mergeCell ref="N4:O4"/>
    <mergeCell ref="B22:B23"/>
    <mergeCell ref="L36:L38"/>
    <mergeCell ref="L20:T20"/>
    <mergeCell ref="C58:D58"/>
    <mergeCell ref="L6:M7"/>
    <mergeCell ref="M14:N15"/>
    <mergeCell ref="H2:J2"/>
    <mergeCell ref="P31:Q31"/>
    <mergeCell ref="F13:G13"/>
    <mergeCell ref="L5:M5"/>
    <mergeCell ref="E22:E23"/>
    <mergeCell ref="G31:G32"/>
    <mergeCell ref="F9:G9"/>
    <mergeCell ref="P32:Q32"/>
    <mergeCell ref="L13:T13"/>
    <mergeCell ref="C73:J75"/>
    <mergeCell ref="H40:H41"/>
    <mergeCell ref="L68:L69"/>
    <mergeCell ref="F59:G59"/>
    <mergeCell ref="C55:J57"/>
    <mergeCell ref="P50:Q50"/>
    <mergeCell ref="C70:J72"/>
    <mergeCell ref="B68:B69"/>
    <mergeCell ref="C50:D51"/>
    <mergeCell ref="F68:G68"/>
    <mergeCell ref="M55:T57"/>
    <mergeCell ref="L70:L72"/>
    <mergeCell ref="E40:E41"/>
    <mergeCell ref="B61:B63"/>
    <mergeCell ref="P40:Q40"/>
    <mergeCell ref="H22:H23"/>
    <mergeCell ref="C27:J29"/>
    <mergeCell ref="L11:O12"/>
    <mergeCell ref="M36:T38"/>
    <mergeCell ref="C36:J38"/>
    <mergeCell ref="L8:M8"/>
    <mergeCell ref="H31:H32"/>
    <mergeCell ref="B40:B41"/>
    <mergeCell ref="C61:J63"/>
    <mergeCell ref="C59:D60"/>
    <mergeCell ref="F51:G51"/>
    <mergeCell ref="C52:J54"/>
    <mergeCell ref="F50:G50"/>
    <mergeCell ref="M49:N49"/>
    <mergeCell ref="P41:Q41"/>
    <mergeCell ref="L61:L63"/>
    <mergeCell ref="B50:B51"/>
    <mergeCell ref="J40:J41"/>
    <mergeCell ref="I31:I32"/>
    <mergeCell ref="Q8:T12"/>
    <mergeCell ref="P23:Q23"/>
    <mergeCell ref="L16:L19"/>
    <mergeCell ref="J22:J23"/>
    <mergeCell ref="M67:N67"/>
    <mergeCell ref="L40:L41"/>
    <mergeCell ref="C67:D67"/>
    <mergeCell ref="F69:G69"/>
    <mergeCell ref="B36:B38"/>
    <mergeCell ref="M30:N30"/>
    <mergeCell ref="M39:N39"/>
    <mergeCell ref="C31:D32"/>
    <mergeCell ref="F31:F32"/>
    <mergeCell ref="E31:E32"/>
    <mergeCell ref="B33:B35"/>
    <mergeCell ref="L3:M3"/>
    <mergeCell ref="O14:O15"/>
    <mergeCell ref="L4:M4"/>
    <mergeCell ref="Q3:T7"/>
    <mergeCell ref="L27:L29"/>
    <mergeCell ref="F22:F23"/>
    <mergeCell ref="M40:N41"/>
    <mergeCell ref="C24:J26"/>
    <mergeCell ref="P14:T15"/>
    <mergeCell ref="E11:E12"/>
    <mergeCell ref="G22:G23"/>
    <mergeCell ref="L22:L23"/>
    <mergeCell ref="M24:T26"/>
    <mergeCell ref="M27:T29"/>
    <mergeCell ref="C39:D39"/>
    <mergeCell ref="L64:L66"/>
    <mergeCell ref="B55:B57"/>
    <mergeCell ref="C64:J66"/>
    <mergeCell ref="L50:L51"/>
    <mergeCell ref="B52:B54"/>
    <mergeCell ref="M59:N60"/>
    <mergeCell ref="C68:D69"/>
    <mergeCell ref="M45:T47"/>
    <mergeCell ref="B42:B44"/>
    <mergeCell ref="N8:O8"/>
    <mergeCell ref="C22:D23"/>
    <mergeCell ref="P22:Q22"/>
    <mergeCell ref="M31:N32"/>
    <mergeCell ref="B5:D5"/>
    <mergeCell ref="M42:T44"/>
    <mergeCell ref="M64:T66"/>
    <mergeCell ref="B48:J48"/>
    <mergeCell ref="B45:B47"/>
    <mergeCell ref="L45:L47"/>
    <mergeCell ref="M52:T54"/>
    <mergeCell ref="C42:J44"/>
    <mergeCell ref="B64:B66"/>
    <mergeCell ref="L55:L57"/>
    <mergeCell ref="B31:B32"/>
  </mergeCells>
  <conditionalFormatting sqref="T58">
    <cfRule type="cellIs" operator="equal" priority="11" dxfId="0">
      <formula>0</formula>
    </cfRule>
  </conditionalFormatting>
  <conditionalFormatting sqref="J49">
    <cfRule type="cellIs" operator="equal" priority="18" dxfId="1">
      <formula>0</formula>
    </cfRule>
  </conditionalFormatting>
  <conditionalFormatting sqref="T49">
    <cfRule type="cellIs" operator="equal" priority="12" dxfId="2">
      <formula>0</formula>
    </cfRule>
  </conditionalFormatting>
  <conditionalFormatting sqref="T30">
    <cfRule type="cellIs" operator="equal" priority="3" dxfId="3">
      <formula>0</formula>
    </cfRule>
  </conditionalFormatting>
  <conditionalFormatting sqref="J22 J31 J40">
    <cfRule type="cellIs" operator="equal" priority="1" dxfId="4">
      <formula>0</formula>
    </cfRule>
  </conditionalFormatting>
  <conditionalFormatting sqref="G18 C17">
    <cfRule type="cellIs" operator="notEqual" priority="24" dxfId="5">
      <formula>0</formula>
    </cfRule>
  </conditionalFormatting>
  <conditionalFormatting sqref="T67">
    <cfRule type="cellIs" operator="equal" priority="10" dxfId="6">
      <formula>0</formula>
    </cfRule>
  </conditionalFormatting>
  <conditionalFormatting sqref="J21 J30 J39">
    <cfRule type="cellIs" operator="equal" priority="21" dxfId="7">
      <formula>0</formula>
    </cfRule>
  </conditionalFormatting>
  <conditionalFormatting sqref="T39">
    <cfRule type="cellIs" operator="equal" priority="2" dxfId="8">
      <formula>0</formula>
    </cfRule>
  </conditionalFormatting>
  <conditionalFormatting sqref="J58">
    <cfRule type="cellIs" operator="equal" priority="6" dxfId="9">
      <formula>0</formula>
    </cfRule>
  </conditionalFormatting>
  <conditionalFormatting sqref="J67">
    <cfRule type="cellIs" operator="equal" priority="5" dxfId="10">
      <formula>0</formula>
    </cfRule>
  </conditionalFormatting>
  <conditionalFormatting sqref="N3:O9">
    <cfRule type="cellIs" operator="equal" priority="9" dxfId="11">
      <formula>0</formula>
    </cfRule>
  </conditionalFormatting>
  <conditionalFormatting sqref="T21">
    <cfRule type="cellIs" operator="equal" priority="4" dxfId="12">
      <formula>0</formula>
    </cfRule>
  </conditionalFormatting>
  <conditionalFormatting sqref="C19:I19">
    <cfRule type="cellIs" operator="notEqual" priority="31" dxfId="13">
      <formula>0</formula>
    </cfRule>
  </conditionalFormatting>
  <dataValidations count="8">
    <dataValidation allowBlank="1" type="any" operator="between" errorStyle="stop" showInputMessage="1" showErrorMessage="1" sqref="N4:O4"/>
    <dataValidation allowBlank="1" type="any" operator="between" errorStyle="stop" showInputMessage="1" showErrorMessage="1" sqref="N9:O9"/>
    <dataValidation allowBlank="1" type="any" operator="between" errorStyle="stop" showInputMessage="1" showErrorMessage="1" sqref="N6:O7"/>
    <dataValidation allowBlank="1" type="list" errorStyle="stop" showInputMessage="1" showErrorMessage="1" sqref="F9:G9">
      <formula1>'（调卡用表）'!$B$4:$B$10</formula1>
    </dataValidation>
    <dataValidation allowBlank="1" type="list" errorStyle="stop" showInputMessage="1" showErrorMessage="1" sqref="F13:G13">
      <formula1>"袖珍,通常,巨大,超巨大"</formula1>
    </dataValidation>
    <dataValidation allowBlank="1" type="list" errorStyle="stop" showInputMessage="1" showErrorMessage="1" sqref="C18">
      <formula1>数值参考!$A$2:$A$5</formula1>
    </dataValidation>
    <dataValidation allowBlank="1" type="decimal" operator="between" errorStyle="warning" showInputMessage="1" showErrorMessage="1" errorTitle="分配之點數超出等級" error="每项属性在没有特殊说明的情况下，不能高于自身等级。该限制也对造物以及召唤物起效。御主在分配自由属性点时，分配至[魔]属性的属性点将要以2:1的比例去分配。" sqref="F19">
      <formula1>0</formula1>
      <formula2>E18</formula2>
    </dataValidation>
    <dataValidation allowBlank="1" type="list" errorStyle="stop" showInputMessage="1" showErrorMessage="1" sqref="F11:G12">
      <formula1>"人型,神性,魔性,龙种,猛兽,魔兽,构装体"</formula1>
    </dataValidation>
  </dataValidations>
  <pageMargins left="0.699305555555556" right="0.699305555555556" top="0.75" bottom="0.75" header="0.3" footer="0.3"/>
  <pageSetup paperSize="9" scale="86"/>
  <legacyDrawing r:id="rId1"/>
</worksheet>
</file>

<file path=xl/worksheets/sheet3.xml><?xml version="1.0" encoding="utf-8"?>
<worksheet xmlns:r="http://schemas.openxmlformats.org/officeDocument/2006/relationships" xmlns="http://schemas.openxmlformats.org/spreadsheetml/2006/main">
  <dimension ref="A1:AC96"/>
  <sheetViews>
    <sheetView workbookViewId="0" showGridLines="0" zoomScale="85">
      <selection activeCell="L30" sqref="L30:T32"/>
    </sheetView>
  </sheetViews>
  <sheetFormatPr defaultRowHeight="15.6" defaultColWidth="9"/>
  <cols>
    <col min="1" max="1" customWidth="1" width="5.5390625" style="3"/>
    <col min="2" max="10" customWidth="1" width="9.0" style="3"/>
    <col min="11" max="11" customWidth="1" width="5.5390625" style="3"/>
    <col min="12" max="21" customWidth="1" width="9.0" style="3"/>
    <col min="22" max="16384" customWidth="0" width="9.0" style="3"/>
  </cols>
  <sheetData>
    <row r="1" spans="8:8" ht="15.6" customHeight="1"/>
    <row r="2" spans="8:8" ht="15.6" customHeight="1">
      <c r="B2" s="214" t="s">
        <v>104</v>
      </c>
      <c r="C2" s="215"/>
      <c r="D2" s="215"/>
      <c r="E2" s="215"/>
      <c r="F2" s="215"/>
      <c r="G2" s="215"/>
      <c r="H2" s="215"/>
      <c r="I2" s="215"/>
      <c r="J2" s="216"/>
      <c r="K2" s="217"/>
      <c r="L2" s="218" t="s">
        <v>105</v>
      </c>
      <c r="M2" s="219"/>
      <c r="N2" s="219"/>
      <c r="O2" s="219"/>
      <c r="P2" s="219"/>
      <c r="Q2" s="219"/>
      <c r="R2" s="219"/>
      <c r="S2" s="219"/>
      <c r="T2" s="220"/>
    </row>
    <row r="3" spans="8:8" ht="15.6" customHeight="1">
      <c r="B3" s="221" t="s">
        <v>106</v>
      </c>
      <c r="C3" s="222"/>
      <c r="D3" s="222"/>
      <c r="E3" s="222"/>
      <c r="F3" s="222"/>
      <c r="G3" s="222"/>
      <c r="H3" s="222"/>
      <c r="I3" s="222"/>
      <c r="J3" s="223"/>
      <c r="K3" s="224"/>
      <c r="L3" s="225" t="s">
        <v>107</v>
      </c>
      <c r="M3" s="226"/>
      <c r="N3" s="226"/>
      <c r="O3" s="226"/>
      <c r="P3" s="226"/>
      <c r="Q3" s="226"/>
      <c r="R3" s="226"/>
      <c r="S3" s="226"/>
      <c r="T3" s="227"/>
    </row>
    <row r="4" spans="8:8" ht="15.6" customHeight="1">
      <c r="B4" s="221"/>
      <c r="C4" s="222"/>
      <c r="D4" s="222"/>
      <c r="E4" s="222"/>
      <c r="F4" s="222"/>
      <c r="G4" s="222"/>
      <c r="H4" s="222"/>
      <c r="I4" s="222"/>
      <c r="J4" s="223"/>
      <c r="K4" s="224"/>
      <c r="L4" s="228"/>
      <c r="M4" s="229"/>
      <c r="N4" s="229"/>
      <c r="O4" s="229"/>
      <c r="P4" s="229"/>
      <c r="Q4" s="229"/>
      <c r="R4" s="229"/>
      <c r="S4" s="229"/>
      <c r="T4" s="230"/>
    </row>
    <row r="5" spans="8:8" ht="15.6" customHeight="1">
      <c r="B5" s="231"/>
      <c r="C5" s="232"/>
      <c r="D5" s="232"/>
      <c r="E5" s="232"/>
      <c r="F5" s="232"/>
      <c r="G5" s="232"/>
      <c r="H5" s="232"/>
      <c r="I5" s="232"/>
      <c r="J5" s="233"/>
      <c r="K5" s="224"/>
      <c r="L5" s="228"/>
      <c r="M5" s="229"/>
      <c r="N5" s="229"/>
      <c r="O5" s="229"/>
      <c r="P5" s="229"/>
      <c r="Q5" s="229"/>
      <c r="R5" s="229"/>
      <c r="S5" s="229"/>
      <c r="T5" s="230"/>
    </row>
    <row r="6" spans="8:8" ht="15.6" customHeight="1">
      <c r="B6" s="234" t="s">
        <v>108</v>
      </c>
      <c r="C6" s="235"/>
      <c r="D6" s="236" t="s">
        <v>109</v>
      </c>
      <c r="E6" s="236"/>
      <c r="F6" s="237"/>
      <c r="G6" s="237"/>
      <c r="H6" s="238" t="s">
        <v>110</v>
      </c>
      <c r="I6" s="239" t="s">
        <v>111</v>
      </c>
      <c r="J6" s="240"/>
      <c r="K6" s="224"/>
      <c r="L6" s="241"/>
      <c r="M6" s="242"/>
      <c r="N6" s="242"/>
      <c r="O6" s="242"/>
      <c r="P6" s="242"/>
      <c r="Q6" s="242"/>
      <c r="R6" s="242"/>
      <c r="S6" s="242"/>
      <c r="T6" s="243"/>
    </row>
    <row r="7" spans="8:8" ht="15.6" customHeight="1">
      <c r="B7" s="244" t="s">
        <v>112</v>
      </c>
      <c r="C7" s="245"/>
      <c r="D7" s="246" t="s">
        <v>113</v>
      </c>
      <c r="E7" s="246"/>
      <c r="F7" s="247"/>
      <c r="G7" s="247"/>
      <c r="H7" s="248" t="s">
        <v>114</v>
      </c>
      <c r="I7" s="247" t="s">
        <v>115</v>
      </c>
      <c r="J7" s="249"/>
      <c r="K7" s="224"/>
      <c r="L7" s="250" t="s">
        <v>116</v>
      </c>
      <c r="M7" s="251"/>
      <c r="N7" s="251"/>
      <c r="O7" s="251"/>
      <c r="P7" s="251"/>
      <c r="Q7" s="251"/>
      <c r="R7" s="251"/>
      <c r="S7" s="251"/>
      <c r="T7" s="252"/>
    </row>
    <row r="8" spans="8:8" ht="15.6" customHeight="1">
      <c r="B8" s="234" t="s">
        <v>117</v>
      </c>
      <c r="C8" s="235"/>
      <c r="D8" s="236" t="s">
        <v>118</v>
      </c>
      <c r="E8" s="236"/>
      <c r="F8" s="237"/>
      <c r="G8" s="237"/>
      <c r="H8" s="253" t="s">
        <v>119</v>
      </c>
      <c r="I8" s="253"/>
      <c r="J8" s="254"/>
      <c r="K8" s="224"/>
      <c r="L8" s="255" t="s">
        <v>120</v>
      </c>
      <c r="M8" s="256"/>
      <c r="N8" s="256"/>
      <c r="O8" s="256"/>
      <c r="P8" s="256"/>
      <c r="Q8" s="256"/>
      <c r="R8" s="256"/>
      <c r="S8" s="256"/>
      <c r="T8" s="257"/>
    </row>
    <row r="9" spans="8:8" ht="15.6" customHeight="1">
      <c r="B9" s="244" t="s">
        <v>121</v>
      </c>
      <c r="C9" s="245"/>
      <c r="D9" s="246" t="s">
        <v>122</v>
      </c>
      <c r="E9" s="246"/>
      <c r="F9" s="247"/>
      <c r="G9" s="247"/>
      <c r="H9" s="253"/>
      <c r="I9" s="253"/>
      <c r="J9" s="254"/>
      <c r="K9" s="224"/>
      <c r="L9" s="258"/>
      <c r="M9" s="259"/>
      <c r="N9" s="259"/>
      <c r="O9" s="259"/>
      <c r="P9" s="259"/>
      <c r="Q9" s="259"/>
      <c r="R9" s="259"/>
      <c r="S9" s="259"/>
      <c r="T9" s="260"/>
    </row>
    <row r="10" spans="8:8" ht="15.6" customHeight="1">
      <c r="B10" s="244" t="s">
        <v>123</v>
      </c>
      <c r="C10" s="261" t="s">
        <v>124</v>
      </c>
      <c r="D10" s="261"/>
      <c r="E10" s="245" t="s">
        <v>125</v>
      </c>
      <c r="F10" s="261" t="s">
        <v>126</v>
      </c>
      <c r="G10" s="261"/>
      <c r="H10" s="253"/>
      <c r="I10" s="253"/>
      <c r="J10" s="254"/>
      <c r="K10" s="224"/>
      <c r="L10" s="258"/>
      <c r="M10" s="259"/>
      <c r="N10" s="259"/>
      <c r="O10" s="259"/>
      <c r="P10" s="259"/>
      <c r="Q10" s="259"/>
      <c r="R10" s="259"/>
      <c r="S10" s="259"/>
      <c r="T10" s="260"/>
    </row>
    <row r="11" spans="8:8" ht="15.6" customHeight="1">
      <c r="A11" s="262"/>
      <c r="B11" s="244" t="s">
        <v>41</v>
      </c>
      <c r="C11" s="261" t="s">
        <v>127</v>
      </c>
      <c r="D11" s="261"/>
      <c r="E11" s="245" t="s">
        <v>128</v>
      </c>
      <c r="F11" s="261" t="s">
        <v>129</v>
      </c>
      <c r="G11" s="261"/>
      <c r="H11" s="253"/>
      <c r="I11" s="253"/>
      <c r="J11" s="254"/>
      <c r="K11" s="224"/>
      <c r="L11" s="258"/>
      <c r="M11" s="259"/>
      <c r="N11" s="259"/>
      <c r="O11" s="259"/>
      <c r="P11" s="259"/>
      <c r="Q11" s="259"/>
      <c r="R11" s="259"/>
      <c r="S11" s="259"/>
      <c r="T11" s="260"/>
    </row>
    <row r="12" spans="8:8" ht="15.6" customHeight="1">
      <c r="A12" s="262"/>
      <c r="B12" s="244" t="s">
        <v>48</v>
      </c>
      <c r="C12" s="261" t="s">
        <v>130</v>
      </c>
      <c r="D12" s="261"/>
      <c r="E12" s="263" t="s">
        <v>131</v>
      </c>
      <c r="F12" s="263"/>
      <c r="G12" s="263"/>
      <c r="H12" s="253"/>
      <c r="I12" s="253"/>
      <c r="J12" s="254"/>
      <c r="K12" s="224"/>
      <c r="L12" s="258"/>
      <c r="M12" s="259"/>
      <c r="N12" s="259"/>
      <c r="O12" s="259"/>
      <c r="P12" s="259"/>
      <c r="Q12" s="259"/>
      <c r="R12" s="259"/>
      <c r="S12" s="259"/>
      <c r="T12" s="260"/>
    </row>
    <row r="13" spans="8:8" ht="15.6" customHeight="1">
      <c r="A13" s="262"/>
      <c r="B13" s="244" t="s">
        <v>132</v>
      </c>
      <c r="C13" s="261">
        <v>17.0</v>
      </c>
      <c r="D13" s="261"/>
      <c r="E13" s="264"/>
      <c r="F13" s="264"/>
      <c r="G13" s="264"/>
      <c r="H13" s="253"/>
      <c r="I13" s="253"/>
      <c r="J13" s="254"/>
      <c r="K13" s="224"/>
      <c r="L13" s="258"/>
      <c r="M13" s="259"/>
      <c r="N13" s="259"/>
      <c r="O13" s="259"/>
      <c r="P13" s="259"/>
      <c r="Q13" s="259"/>
      <c r="R13" s="259"/>
      <c r="S13" s="259"/>
      <c r="T13" s="260"/>
    </row>
    <row r="14" spans="8:8" ht="15.6" customHeight="1">
      <c r="A14" s="262"/>
      <c r="B14" s="244" t="s">
        <v>133</v>
      </c>
      <c r="C14" s="261">
        <v>159.0</v>
      </c>
      <c r="D14" s="261"/>
      <c r="E14" s="265" t="s">
        <v>33</v>
      </c>
      <c r="F14" s="265"/>
      <c r="G14" s="265"/>
      <c r="H14" s="253"/>
      <c r="I14" s="253"/>
      <c r="J14" s="254"/>
      <c r="K14" s="224"/>
      <c r="L14" s="258"/>
      <c r="M14" s="259"/>
      <c r="N14" s="259"/>
      <c r="O14" s="259"/>
      <c r="P14" s="259"/>
      <c r="Q14" s="259"/>
      <c r="R14" s="259"/>
      <c r="S14" s="259"/>
      <c r="T14" s="260"/>
    </row>
    <row r="15" spans="8:8" ht="15.6" customHeight="1">
      <c r="A15" s="262"/>
      <c r="B15" s="244" t="s">
        <v>134</v>
      </c>
      <c r="C15" s="261">
        <v>47.0</v>
      </c>
      <c r="D15" s="261"/>
      <c r="E15" s="266" t="s">
        <v>135</v>
      </c>
      <c r="F15" s="266"/>
      <c r="G15" s="266"/>
      <c r="H15" s="253"/>
      <c r="I15" s="253"/>
      <c r="J15" s="254"/>
      <c r="K15" s="224"/>
      <c r="L15" s="258"/>
      <c r="M15" s="259"/>
      <c r="N15" s="259"/>
      <c r="O15" s="259"/>
      <c r="P15" s="259"/>
      <c r="Q15" s="259"/>
      <c r="R15" s="259"/>
      <c r="S15" s="259"/>
      <c r="T15" s="260"/>
    </row>
    <row r="16" spans="8:8" ht="15.6" customHeight="1">
      <c r="A16" s="262"/>
      <c r="B16" s="267" t="s">
        <v>136</v>
      </c>
      <c r="C16" s="268"/>
      <c r="D16" s="268"/>
      <c r="E16" s="269"/>
      <c r="F16" s="266"/>
      <c r="G16" s="266"/>
      <c r="H16" s="253"/>
      <c r="I16" s="253"/>
      <c r="J16" s="254"/>
      <c r="K16" s="224"/>
      <c r="L16" s="258"/>
      <c r="M16" s="259"/>
      <c r="N16" s="259"/>
      <c r="O16" s="259"/>
      <c r="P16" s="259"/>
      <c r="Q16" s="259"/>
      <c r="R16" s="259"/>
      <c r="S16" s="259"/>
      <c r="T16" s="260"/>
    </row>
    <row r="17" spans="8:8" ht="15.6" customHeight="1">
      <c r="A17" s="262"/>
      <c r="B17" s="225" t="s">
        <v>137</v>
      </c>
      <c r="C17" s="226"/>
      <c r="D17" s="226"/>
      <c r="E17" s="226"/>
      <c r="F17" s="226"/>
      <c r="G17" s="226"/>
      <c r="H17" s="270"/>
      <c r="I17" s="270"/>
      <c r="J17" s="271"/>
      <c r="K17" s="224"/>
      <c r="L17" s="258"/>
      <c r="M17" s="259"/>
      <c r="N17" s="259"/>
      <c r="O17" s="259"/>
      <c r="P17" s="259"/>
      <c r="Q17" s="259"/>
      <c r="R17" s="259"/>
      <c r="S17" s="259"/>
      <c r="T17" s="260"/>
    </row>
    <row r="18" spans="8:8" ht="15.6" customHeight="1">
      <c r="A18" s="262"/>
      <c r="B18" s="228"/>
      <c r="C18" s="229"/>
      <c r="D18" s="229"/>
      <c r="E18" s="229"/>
      <c r="F18" s="229"/>
      <c r="G18" s="229"/>
      <c r="H18" s="272"/>
      <c r="I18" s="272"/>
      <c r="J18" s="273"/>
      <c r="K18" s="224"/>
      <c r="L18" s="258"/>
      <c r="M18" s="259"/>
      <c r="N18" s="259"/>
      <c r="O18" s="259"/>
      <c r="P18" s="259"/>
      <c r="Q18" s="259"/>
      <c r="R18" s="259"/>
      <c r="S18" s="259"/>
      <c r="T18" s="260"/>
    </row>
    <row r="19" spans="8:8" ht="15.6" customHeight="1">
      <c r="A19" s="262"/>
      <c r="B19" s="228"/>
      <c r="C19" s="229"/>
      <c r="D19" s="229"/>
      <c r="E19" s="229"/>
      <c r="F19" s="229"/>
      <c r="G19" s="229"/>
      <c r="H19" s="272"/>
      <c r="I19" s="272"/>
      <c r="J19" s="273"/>
      <c r="K19" s="224"/>
      <c r="L19" s="258"/>
      <c r="M19" s="259"/>
      <c r="N19" s="259"/>
      <c r="O19" s="259"/>
      <c r="P19" s="259"/>
      <c r="Q19" s="259"/>
      <c r="R19" s="259"/>
      <c r="S19" s="259"/>
      <c r="T19" s="260"/>
    </row>
    <row r="20" spans="8:8" ht="15.6" customHeight="1">
      <c r="A20" s="262"/>
      <c r="B20" s="228"/>
      <c r="C20" s="229"/>
      <c r="D20" s="229"/>
      <c r="E20" s="229"/>
      <c r="F20" s="229"/>
      <c r="G20" s="229"/>
      <c r="H20" s="272"/>
      <c r="I20" s="272"/>
      <c r="J20" s="273"/>
      <c r="K20" s="224"/>
      <c r="L20" s="258"/>
      <c r="M20" s="259"/>
      <c r="N20" s="259"/>
      <c r="O20" s="259"/>
      <c r="P20" s="259"/>
      <c r="Q20" s="259"/>
      <c r="R20" s="259"/>
      <c r="S20" s="259"/>
      <c r="T20" s="260"/>
    </row>
    <row r="21" spans="8:8" ht="15.6" customHeight="1">
      <c r="A21" s="262"/>
      <c r="B21" s="228"/>
      <c r="C21" s="229"/>
      <c r="D21" s="229"/>
      <c r="E21" s="229"/>
      <c r="F21" s="229"/>
      <c r="G21" s="229"/>
      <c r="H21" s="229"/>
      <c r="I21" s="229"/>
      <c r="J21" s="274"/>
      <c r="K21" s="224"/>
      <c r="L21" s="258"/>
      <c r="M21" s="259"/>
      <c r="N21" s="259"/>
      <c r="O21" s="259"/>
      <c r="P21" s="259"/>
      <c r="Q21" s="259"/>
      <c r="R21" s="259"/>
      <c r="S21" s="259"/>
      <c r="T21" s="260"/>
    </row>
    <row r="22" spans="8:8" ht="15.6" customHeight="1">
      <c r="A22" s="262"/>
      <c r="B22" s="228"/>
      <c r="C22" s="229"/>
      <c r="D22" s="229"/>
      <c r="E22" s="229"/>
      <c r="F22" s="229"/>
      <c r="G22" s="229"/>
      <c r="H22" s="229"/>
      <c r="I22" s="229"/>
      <c r="J22" s="274"/>
      <c r="K22" s="224"/>
      <c r="L22" s="258"/>
      <c r="M22" s="259"/>
      <c r="N22" s="259"/>
      <c r="O22" s="259"/>
      <c r="P22" s="259"/>
      <c r="Q22" s="259"/>
      <c r="R22" s="259"/>
      <c r="S22" s="259"/>
      <c r="T22" s="260"/>
    </row>
    <row r="23" spans="8:8" ht="15.6" customHeight="1">
      <c r="A23" s="262"/>
      <c r="B23" s="228"/>
      <c r="C23" s="229"/>
      <c r="D23" s="229"/>
      <c r="E23" s="229"/>
      <c r="F23" s="229"/>
      <c r="G23" s="229"/>
      <c r="H23" s="229"/>
      <c r="I23" s="229"/>
      <c r="J23" s="274"/>
      <c r="K23" s="224"/>
      <c r="L23" s="258"/>
      <c r="M23" s="259"/>
      <c r="N23" s="259"/>
      <c r="O23" s="259"/>
      <c r="P23" s="259"/>
      <c r="Q23" s="259"/>
      <c r="R23" s="259"/>
      <c r="S23" s="259"/>
      <c r="T23" s="260"/>
    </row>
    <row r="24" spans="8:8" ht="15.6" customHeight="1">
      <c r="A24" s="262"/>
      <c r="B24" s="275"/>
      <c r="C24" s="276"/>
      <c r="D24" s="276"/>
      <c r="E24" s="276"/>
      <c r="F24" s="276"/>
      <c r="G24" s="276"/>
      <c r="H24" s="276"/>
      <c r="I24" s="276"/>
      <c r="J24" s="277"/>
      <c r="K24" s="224"/>
      <c r="L24" s="258"/>
      <c r="M24" s="259"/>
      <c r="N24" s="259"/>
      <c r="O24" s="259"/>
      <c r="P24" s="259"/>
      <c r="Q24" s="259"/>
      <c r="R24" s="259"/>
      <c r="S24" s="259"/>
      <c r="T24" s="260"/>
    </row>
    <row r="25" spans="8:8" ht="15.6" customHeight="1">
      <c r="A25" s="262"/>
      <c r="B25" s="278" t="s">
        <v>138</v>
      </c>
      <c r="C25" s="279"/>
      <c r="D25" s="279"/>
      <c r="E25" s="279"/>
      <c r="F25" s="279"/>
      <c r="G25" s="279"/>
      <c r="H25" s="279"/>
      <c r="I25" s="279"/>
      <c r="J25" s="280"/>
      <c r="K25" s="224"/>
      <c r="L25" s="281" t="s">
        <v>139</v>
      </c>
      <c r="M25" s="282"/>
      <c r="N25" s="282"/>
      <c r="O25" s="282"/>
      <c r="P25" s="282"/>
      <c r="Q25" s="282"/>
      <c r="R25" s="282"/>
      <c r="S25" s="282"/>
      <c r="T25" s="283"/>
    </row>
    <row r="26" spans="8:8" ht="15.6" customHeight="1">
      <c r="A26" s="262"/>
      <c r="B26" s="284" t="s">
        <v>140</v>
      </c>
      <c r="C26" s="285" t="s">
        <v>141</v>
      </c>
      <c r="D26" s="286"/>
      <c r="E26" s="287" t="s">
        <v>142</v>
      </c>
      <c r="F26" s="288" t="s">
        <v>143</v>
      </c>
      <c r="G26" s="289"/>
      <c r="H26" s="290" t="s">
        <v>144</v>
      </c>
      <c r="I26" s="285" t="s">
        <v>145</v>
      </c>
      <c r="J26" s="291"/>
      <c r="K26" s="224"/>
      <c r="L26" s="292"/>
      <c r="M26" s="293"/>
      <c r="N26" s="293"/>
      <c r="O26" s="293"/>
      <c r="P26" s="293"/>
      <c r="Q26" s="293"/>
      <c r="R26" s="293"/>
      <c r="S26" s="293"/>
      <c r="T26" s="294"/>
    </row>
    <row r="27" spans="8:8" ht="15.6" customHeight="1">
      <c r="A27" s="262"/>
      <c r="B27" s="284" t="s">
        <v>146</v>
      </c>
      <c r="C27" s="295" t="s">
        <v>86</v>
      </c>
      <c r="D27" s="296"/>
      <c r="E27" s="296"/>
      <c r="F27" s="296"/>
      <c r="G27" s="296"/>
      <c r="H27" s="296"/>
      <c r="I27" s="296"/>
      <c r="J27" s="296"/>
      <c r="K27" s="224"/>
      <c r="L27" s="297"/>
      <c r="M27" s="298"/>
      <c r="N27" s="298"/>
      <c r="O27" s="298"/>
      <c r="P27" s="298"/>
      <c r="Q27" s="298"/>
      <c r="R27" s="298"/>
      <c r="S27" s="298"/>
      <c r="T27" s="299"/>
    </row>
    <row r="28" spans="8:8" ht="15.6" customHeight="1">
      <c r="A28" s="262"/>
      <c r="B28" s="284"/>
      <c r="C28" s="300"/>
      <c r="D28" s="301"/>
      <c r="E28" s="301"/>
      <c r="F28" s="301"/>
      <c r="G28" s="301"/>
      <c r="H28" s="301"/>
      <c r="I28" s="301"/>
      <c r="J28" s="301"/>
      <c r="K28" s="224"/>
      <c r="L28" s="302"/>
      <c r="M28" s="303"/>
      <c r="N28" s="303"/>
      <c r="O28" s="303"/>
      <c r="P28" s="303"/>
      <c r="Q28" s="303"/>
      <c r="R28" s="303"/>
      <c r="S28" s="303"/>
      <c r="T28" s="304"/>
    </row>
    <row r="29" spans="8:8" ht="15.6" customHeight="1">
      <c r="A29" s="262"/>
      <c r="B29" s="284" t="s">
        <v>147</v>
      </c>
      <c r="C29" s="295" t="s">
        <v>148</v>
      </c>
      <c r="D29" s="296"/>
      <c r="E29" s="296"/>
      <c r="F29" s="296"/>
      <c r="G29" s="296"/>
      <c r="H29" s="296"/>
      <c r="I29" s="296"/>
      <c r="J29" s="296"/>
      <c r="K29" s="224"/>
      <c r="L29" s="281" t="s">
        <v>149</v>
      </c>
      <c r="M29" s="282"/>
      <c r="N29" s="282"/>
      <c r="O29" s="282"/>
      <c r="P29" s="282"/>
      <c r="Q29" s="282"/>
      <c r="R29" s="282"/>
      <c r="S29" s="282"/>
      <c r="T29" s="283"/>
    </row>
    <row r="30" spans="8:8" ht="15.6" customHeight="1">
      <c r="A30" s="262"/>
      <c r="B30" s="284"/>
      <c r="C30" s="305"/>
      <c r="D30" s="306"/>
      <c r="E30" s="306"/>
      <c r="F30" s="306"/>
      <c r="G30" s="306"/>
      <c r="H30" s="306"/>
      <c r="I30" s="306"/>
      <c r="J30" s="306"/>
      <c r="K30" s="224"/>
      <c r="L30" s="225" t="s">
        <v>150</v>
      </c>
      <c r="M30" s="226"/>
      <c r="N30" s="226"/>
      <c r="O30" s="226"/>
      <c r="P30" s="226"/>
      <c r="Q30" s="226"/>
      <c r="R30" s="226"/>
      <c r="S30" s="226"/>
      <c r="T30" s="227"/>
    </row>
    <row r="31" spans="8:8" ht="15.6" customHeight="1">
      <c r="A31" s="262"/>
      <c r="B31" s="284"/>
      <c r="C31" s="300"/>
      <c r="D31" s="301"/>
      <c r="E31" s="301"/>
      <c r="F31" s="301"/>
      <c r="G31" s="301"/>
      <c r="H31" s="301"/>
      <c r="I31" s="301"/>
      <c r="J31" s="301"/>
      <c r="K31" s="224"/>
      <c r="L31" s="228"/>
      <c r="M31" s="229"/>
      <c r="N31" s="229"/>
      <c r="O31" s="229"/>
      <c r="P31" s="229"/>
      <c r="Q31" s="229"/>
      <c r="R31" s="229"/>
      <c r="S31" s="229"/>
      <c r="T31" s="230"/>
    </row>
    <row r="32" spans="8:8" ht="15.6" customHeight="1">
      <c r="A32" s="262"/>
      <c r="B32" s="284" t="s">
        <v>140</v>
      </c>
      <c r="C32" s="285"/>
      <c r="D32" s="286"/>
      <c r="E32" s="287" t="s">
        <v>142</v>
      </c>
      <c r="F32" s="288"/>
      <c r="G32" s="289"/>
      <c r="H32" s="290" t="s">
        <v>144</v>
      </c>
      <c r="I32" s="285" t="s">
        <v>151</v>
      </c>
      <c r="J32" s="291"/>
      <c r="K32" s="224"/>
      <c r="L32" s="307"/>
      <c r="M32" s="308"/>
      <c r="N32" s="308"/>
      <c r="O32" s="308"/>
      <c r="P32" s="308"/>
      <c r="Q32" s="308"/>
      <c r="R32" s="308"/>
      <c r="S32" s="308"/>
      <c r="T32" s="309"/>
    </row>
    <row r="33" spans="8:8" ht="15.6" customHeight="1">
      <c r="A33" s="262"/>
      <c r="B33" s="284" t="s">
        <v>146</v>
      </c>
      <c r="C33" s="295" t="s">
        <v>152</v>
      </c>
      <c r="D33" s="296"/>
      <c r="E33" s="296"/>
      <c r="F33" s="296"/>
      <c r="G33" s="296"/>
      <c r="H33" s="296"/>
      <c r="I33" s="296"/>
      <c r="J33" s="296"/>
      <c r="K33" s="224"/>
      <c r="L33" s="281" t="s">
        <v>153</v>
      </c>
      <c r="M33" s="282"/>
      <c r="N33" s="282"/>
      <c r="O33" s="282"/>
      <c r="P33" s="282"/>
      <c r="Q33" s="282"/>
      <c r="R33" s="282"/>
      <c r="S33" s="282"/>
      <c r="T33" s="283"/>
    </row>
    <row r="34" spans="8:8" ht="15.6" customHeight="1">
      <c r="A34" s="262"/>
      <c r="B34" s="284"/>
      <c r="C34" s="300"/>
      <c r="D34" s="301"/>
      <c r="E34" s="301"/>
      <c r="F34" s="301"/>
      <c r="G34" s="301"/>
      <c r="H34" s="301"/>
      <c r="I34" s="301"/>
      <c r="J34" s="301"/>
      <c r="K34" s="224"/>
      <c r="L34" s="292"/>
      <c r="M34" s="293"/>
      <c r="N34" s="293"/>
      <c r="O34" s="293"/>
      <c r="P34" s="293"/>
      <c r="Q34" s="293"/>
      <c r="R34" s="293"/>
      <c r="S34" s="293"/>
      <c r="T34" s="294"/>
    </row>
    <row r="35" spans="8:8" ht="15.6" customHeight="1">
      <c r="A35" s="262"/>
      <c r="B35" s="284" t="s">
        <v>147</v>
      </c>
      <c r="C35" s="295" t="s">
        <v>154</v>
      </c>
      <c r="D35" s="296"/>
      <c r="E35" s="296"/>
      <c r="F35" s="296"/>
      <c r="G35" s="296"/>
      <c r="H35" s="296"/>
      <c r="I35" s="296"/>
      <c r="J35" s="296"/>
      <c r="K35" s="224"/>
      <c r="L35" s="297"/>
      <c r="M35" s="298"/>
      <c r="N35" s="298"/>
      <c r="O35" s="298"/>
      <c r="P35" s="298"/>
      <c r="Q35" s="298"/>
      <c r="R35" s="298"/>
      <c r="S35" s="298"/>
      <c r="T35" s="299"/>
    </row>
    <row r="36" spans="8:8" ht="15.6" customHeight="1">
      <c r="A36" s="262"/>
      <c r="B36" s="284"/>
      <c r="C36" s="305"/>
      <c r="D36" s="306"/>
      <c r="E36" s="306"/>
      <c r="F36" s="306"/>
      <c r="G36" s="306"/>
      <c r="H36" s="306"/>
      <c r="I36" s="306"/>
      <c r="J36" s="306"/>
      <c r="K36" s="224"/>
      <c r="L36" s="302"/>
      <c r="M36" s="303"/>
      <c r="N36" s="303"/>
      <c r="O36" s="303"/>
      <c r="P36" s="303"/>
      <c r="Q36" s="303"/>
      <c r="R36" s="303"/>
      <c r="S36" s="303"/>
      <c r="T36" s="304"/>
    </row>
    <row r="37" spans="8:8" ht="15.6" customHeight="1">
      <c r="A37" s="262"/>
      <c r="B37" s="284"/>
      <c r="C37" s="300"/>
      <c r="D37" s="301"/>
      <c r="E37" s="301"/>
      <c r="F37" s="301"/>
      <c r="G37" s="301"/>
      <c r="H37" s="301"/>
      <c r="I37" s="301"/>
      <c r="J37" s="301"/>
      <c r="K37" s="224"/>
      <c r="L37" s="281" t="s">
        <v>155</v>
      </c>
      <c r="M37" s="282"/>
      <c r="N37" s="282"/>
      <c r="O37" s="282"/>
      <c r="P37" s="282"/>
      <c r="Q37" s="282"/>
      <c r="R37" s="282"/>
      <c r="S37" s="282"/>
      <c r="T37" s="283"/>
    </row>
    <row r="38" spans="8:8" ht="15.6" customHeight="1">
      <c r="A38" s="262"/>
      <c r="B38" s="284" t="s">
        <v>140</v>
      </c>
      <c r="C38" s="285"/>
      <c r="D38" s="286"/>
      <c r="E38" s="287" t="s">
        <v>142</v>
      </c>
      <c r="F38" s="288"/>
      <c r="G38" s="289"/>
      <c r="H38" s="290" t="s">
        <v>144</v>
      </c>
      <c r="I38" s="285" t="s">
        <v>151</v>
      </c>
      <c r="J38" s="291"/>
      <c r="K38" s="224"/>
      <c r="L38" s="292"/>
      <c r="M38" s="293"/>
      <c r="N38" s="293"/>
      <c r="O38" s="293"/>
      <c r="P38" s="293"/>
      <c r="Q38" s="293"/>
      <c r="R38" s="293"/>
      <c r="S38" s="293"/>
      <c r="T38" s="294"/>
    </row>
    <row r="39" spans="8:8" ht="15.6" customHeight="1">
      <c r="A39" s="262"/>
      <c r="B39" s="284" t="s">
        <v>146</v>
      </c>
      <c r="C39" s="295" t="s">
        <v>152</v>
      </c>
      <c r="D39" s="296"/>
      <c r="E39" s="296"/>
      <c r="F39" s="296"/>
      <c r="G39" s="296"/>
      <c r="H39" s="296"/>
      <c r="I39" s="296"/>
      <c r="J39" s="296"/>
      <c r="K39" s="224"/>
      <c r="L39" s="297"/>
      <c r="M39" s="298"/>
      <c r="N39" s="298"/>
      <c r="O39" s="298"/>
      <c r="P39" s="298"/>
      <c r="Q39" s="298"/>
      <c r="R39" s="298"/>
      <c r="S39" s="298"/>
      <c r="T39" s="299"/>
    </row>
    <row r="40" spans="8:8" ht="15.6" customHeight="1">
      <c r="A40" s="262"/>
      <c r="B40" s="284"/>
      <c r="C40" s="300"/>
      <c r="D40" s="301"/>
      <c r="E40" s="301"/>
      <c r="F40" s="301"/>
      <c r="G40" s="301"/>
      <c r="H40" s="301"/>
      <c r="I40" s="301"/>
      <c r="J40" s="301"/>
      <c r="K40" s="224"/>
      <c r="L40" s="310"/>
      <c r="M40" s="311"/>
      <c r="N40" s="311"/>
      <c r="O40" s="311"/>
      <c r="P40" s="311"/>
      <c r="Q40" s="311"/>
      <c r="R40" s="311"/>
      <c r="S40" s="311"/>
      <c r="T40" s="312"/>
    </row>
    <row r="41" spans="8:8" ht="15.6" customHeight="1">
      <c r="A41" s="262"/>
      <c r="B41" s="284" t="s">
        <v>147</v>
      </c>
      <c r="C41" s="295" t="s">
        <v>154</v>
      </c>
      <c r="D41" s="296"/>
      <c r="E41" s="296"/>
      <c r="F41" s="296"/>
      <c r="G41" s="296"/>
      <c r="H41" s="296"/>
      <c r="I41" s="296"/>
      <c r="J41" s="296"/>
      <c r="K41" s="224"/>
      <c r="L41" s="313" t="s">
        <v>156</v>
      </c>
      <c r="M41" s="314"/>
      <c r="N41" s="314"/>
      <c r="O41" s="314"/>
      <c r="P41" s="314"/>
      <c r="Q41" s="314"/>
      <c r="R41" s="314"/>
      <c r="S41" s="314"/>
      <c r="T41" s="315"/>
    </row>
    <row r="42" spans="8:8" ht="17.4">
      <c r="A42" s="262"/>
      <c r="B42" s="284"/>
      <c r="C42" s="305"/>
      <c r="D42" s="306"/>
      <c r="E42" s="306"/>
      <c r="F42" s="306"/>
      <c r="G42" s="306"/>
      <c r="H42" s="306"/>
      <c r="I42" s="306"/>
      <c r="J42" s="306"/>
      <c r="K42" s="224"/>
      <c r="L42" s="316" t="s">
        <v>157</v>
      </c>
      <c r="M42" s="317"/>
      <c r="N42" s="317"/>
      <c r="O42" s="317"/>
      <c r="P42" s="317"/>
      <c r="Q42" s="317"/>
      <c r="R42" s="317"/>
      <c r="S42" s="317"/>
      <c r="T42" s="318"/>
    </row>
    <row r="43" spans="8:8" ht="17.4">
      <c r="A43" s="262"/>
      <c r="B43" s="284"/>
      <c r="C43" s="300"/>
      <c r="D43" s="301"/>
      <c r="E43" s="301"/>
      <c r="F43" s="301"/>
      <c r="G43" s="301"/>
      <c r="H43" s="301"/>
      <c r="I43" s="301"/>
      <c r="J43" s="301"/>
      <c r="K43" s="224"/>
      <c r="L43" s="319"/>
      <c r="M43" s="320"/>
      <c r="N43" s="320"/>
      <c r="O43" s="320"/>
      <c r="P43" s="320"/>
      <c r="Q43" s="320"/>
      <c r="R43" s="320"/>
      <c r="S43" s="320"/>
      <c r="T43" s="321"/>
    </row>
    <row r="44" spans="8:8" ht="17.4">
      <c r="A44" s="262"/>
      <c r="B44" s="284" t="s">
        <v>140</v>
      </c>
      <c r="C44" s="285"/>
      <c r="D44" s="286"/>
      <c r="E44" s="287" t="s">
        <v>142</v>
      </c>
      <c r="F44" s="288"/>
      <c r="G44" s="289"/>
      <c r="H44" s="290" t="s">
        <v>144</v>
      </c>
      <c r="I44" s="285" t="s">
        <v>151</v>
      </c>
      <c r="J44" s="291"/>
      <c r="K44" s="224"/>
      <c r="L44" s="319"/>
      <c r="M44" s="320"/>
      <c r="N44" s="320"/>
      <c r="O44" s="320"/>
      <c r="P44" s="320"/>
      <c r="Q44" s="320"/>
      <c r="R44" s="320"/>
      <c r="S44" s="320"/>
      <c r="T44" s="321"/>
    </row>
    <row r="45" spans="8:8" ht="17.4">
      <c r="A45" s="262"/>
      <c r="B45" s="284" t="s">
        <v>146</v>
      </c>
      <c r="C45" s="295" t="s">
        <v>152</v>
      </c>
      <c r="D45" s="296"/>
      <c r="E45" s="296"/>
      <c r="F45" s="296"/>
      <c r="G45" s="296"/>
      <c r="H45" s="296"/>
      <c r="I45" s="296"/>
      <c r="J45" s="296"/>
      <c r="K45" s="224"/>
      <c r="L45" s="319"/>
      <c r="M45" s="320"/>
      <c r="N45" s="320"/>
      <c r="O45" s="320"/>
      <c r="P45" s="320"/>
      <c r="Q45" s="320"/>
      <c r="R45" s="320"/>
      <c r="S45" s="320"/>
      <c r="T45" s="321"/>
    </row>
    <row r="46" spans="8:8" ht="17.4">
      <c r="A46" s="262"/>
      <c r="B46" s="284"/>
      <c r="C46" s="300"/>
      <c r="D46" s="301"/>
      <c r="E46" s="301"/>
      <c r="F46" s="301"/>
      <c r="G46" s="301"/>
      <c r="H46" s="301"/>
      <c r="I46" s="301"/>
      <c r="J46" s="301"/>
      <c r="K46" s="224"/>
      <c r="L46" s="319"/>
      <c r="M46" s="320"/>
      <c r="N46" s="320"/>
      <c r="O46" s="320"/>
      <c r="P46" s="320"/>
      <c r="Q46" s="320"/>
      <c r="R46" s="320"/>
      <c r="S46" s="320"/>
      <c r="T46" s="321"/>
    </row>
    <row r="47" spans="8:8" ht="17.4">
      <c r="A47" s="262"/>
      <c r="B47" s="284" t="s">
        <v>147</v>
      </c>
      <c r="C47" s="295" t="s">
        <v>154</v>
      </c>
      <c r="D47" s="296"/>
      <c r="E47" s="296"/>
      <c r="F47" s="296"/>
      <c r="G47" s="296"/>
      <c r="H47" s="296"/>
      <c r="I47" s="296"/>
      <c r="J47" s="296"/>
      <c r="K47" s="224"/>
      <c r="L47" s="319"/>
      <c r="M47" s="320"/>
      <c r="N47" s="320"/>
      <c r="O47" s="320"/>
      <c r="P47" s="320"/>
      <c r="Q47" s="320"/>
      <c r="R47" s="320"/>
      <c r="S47" s="320"/>
      <c r="T47" s="321"/>
    </row>
    <row r="48" spans="8:8" ht="17.4">
      <c r="A48" s="262"/>
      <c r="B48" s="284"/>
      <c r="C48" s="305"/>
      <c r="D48" s="306"/>
      <c r="E48" s="306"/>
      <c r="F48" s="306"/>
      <c r="G48" s="306"/>
      <c r="H48" s="306"/>
      <c r="I48" s="306"/>
      <c r="J48" s="306"/>
      <c r="K48" s="224"/>
      <c r="L48" s="319"/>
      <c r="M48" s="320"/>
      <c r="N48" s="320"/>
      <c r="O48" s="320"/>
      <c r="P48" s="320"/>
      <c r="Q48" s="320"/>
      <c r="R48" s="320"/>
      <c r="S48" s="320"/>
      <c r="T48" s="321"/>
    </row>
    <row r="49" spans="8:8" ht="18.15">
      <c r="A49" s="262"/>
      <c r="B49" s="322"/>
      <c r="C49" s="323"/>
      <c r="D49" s="324"/>
      <c r="E49" s="324"/>
      <c r="F49" s="324"/>
      <c r="G49" s="324"/>
      <c r="H49" s="324"/>
      <c r="I49" s="324"/>
      <c r="J49" s="324"/>
      <c r="K49" s="224"/>
      <c r="L49" s="319"/>
      <c r="M49" s="320"/>
      <c r="N49" s="320"/>
      <c r="O49" s="320"/>
      <c r="P49" s="320"/>
      <c r="Q49" s="320"/>
      <c r="R49" s="320"/>
      <c r="S49" s="320"/>
      <c r="T49" s="321"/>
    </row>
    <row r="50" spans="8:8" ht="17.4">
      <c r="A50" s="262"/>
      <c r="B50" s="325" t="s">
        <v>158</v>
      </c>
      <c r="C50" s="326" t="s">
        <v>159</v>
      </c>
      <c r="D50" s="326"/>
      <c r="E50" s="326"/>
      <c r="F50" s="326"/>
      <c r="G50" s="326"/>
      <c r="H50" s="326"/>
      <c r="I50" s="326"/>
      <c r="J50" s="327"/>
      <c r="K50" s="224"/>
      <c r="L50" s="319"/>
      <c r="M50" s="320"/>
      <c r="N50" s="320"/>
      <c r="O50" s="320"/>
      <c r="P50" s="320"/>
      <c r="Q50" s="320"/>
      <c r="R50" s="320"/>
      <c r="S50" s="320"/>
      <c r="T50" s="321"/>
    </row>
    <row r="51" spans="8:8" ht="17.4">
      <c r="A51" s="262"/>
      <c r="B51" s="328" t="s">
        <v>160</v>
      </c>
      <c r="C51" s="285" t="s">
        <v>161</v>
      </c>
      <c r="D51" s="291"/>
      <c r="E51" s="291"/>
      <c r="F51" s="291"/>
      <c r="G51" s="291"/>
      <c r="H51" s="291"/>
      <c r="I51" s="291"/>
      <c r="J51" s="291"/>
      <c r="K51" s="224"/>
      <c r="L51" s="319"/>
      <c r="M51" s="320"/>
      <c r="N51" s="320"/>
      <c r="O51" s="320"/>
      <c r="P51" s="320"/>
      <c r="Q51" s="320"/>
      <c r="R51" s="320"/>
      <c r="S51" s="320"/>
      <c r="T51" s="321"/>
    </row>
    <row r="52" spans="8:8" ht="17.4">
      <c r="A52" s="262"/>
      <c r="B52" s="329" t="s">
        <v>162</v>
      </c>
      <c r="C52" s="295" t="s">
        <v>163</v>
      </c>
      <c r="D52" s="296"/>
      <c r="E52" s="296"/>
      <c r="F52" s="296"/>
      <c r="G52" s="296"/>
      <c r="H52" s="296"/>
      <c r="I52" s="296"/>
      <c r="J52" s="296"/>
      <c r="K52" s="224"/>
      <c r="L52" s="319"/>
      <c r="M52" s="320"/>
      <c r="N52" s="320"/>
      <c r="O52" s="320"/>
      <c r="P52" s="320"/>
      <c r="Q52" s="320"/>
      <c r="R52" s="320"/>
      <c r="S52" s="320"/>
      <c r="T52" s="321"/>
    </row>
    <row r="53" spans="8:8" ht="17.4">
      <c r="A53" s="262"/>
      <c r="B53" s="329"/>
      <c r="C53" s="305"/>
      <c r="D53" s="306"/>
      <c r="E53" s="306"/>
      <c r="F53" s="306"/>
      <c r="G53" s="306"/>
      <c r="H53" s="306"/>
      <c r="I53" s="306"/>
      <c r="J53" s="306"/>
      <c r="K53" s="224"/>
      <c r="L53" s="319"/>
      <c r="M53" s="320"/>
      <c r="N53" s="320"/>
      <c r="O53" s="320"/>
      <c r="P53" s="320"/>
      <c r="Q53" s="320"/>
      <c r="R53" s="320"/>
      <c r="S53" s="320"/>
      <c r="T53" s="321"/>
    </row>
    <row r="54" spans="8:8" ht="18.15">
      <c r="A54" s="262"/>
      <c r="B54" s="330"/>
      <c r="C54" s="323"/>
      <c r="D54" s="324"/>
      <c r="E54" s="324"/>
      <c r="F54" s="324"/>
      <c r="G54" s="324"/>
      <c r="H54" s="324"/>
      <c r="I54" s="324"/>
      <c r="J54" s="324"/>
      <c r="K54" s="331"/>
      <c r="L54" s="332"/>
      <c r="M54" s="333"/>
      <c r="N54" s="333"/>
      <c r="O54" s="333"/>
      <c r="P54" s="333"/>
      <c r="Q54" s="333"/>
      <c r="R54" s="333"/>
      <c r="S54" s="333"/>
      <c r="T54" s="334"/>
    </row>
    <row r="55" spans="8:8" ht="17.4">
      <c r="A55" s="262"/>
    </row>
    <row r="56" spans="8:8" ht="17.4">
      <c r="A56" s="262"/>
    </row>
    <row r="57" spans="8:8" ht="17.4">
      <c r="A57" s="262"/>
    </row>
    <row r="58" spans="8:8" ht="17.4">
      <c r="A58" s="262"/>
      <c r="V58" s="335"/>
    </row>
    <row r="59" spans="8:8" ht="17.4">
      <c r="A59" s="262"/>
      <c r="V59" s="336"/>
    </row>
    <row r="60" spans="8:8" ht="17.4">
      <c r="A60" s="262"/>
      <c r="V60" s="336"/>
    </row>
    <row r="61" spans="8:8" ht="17.4">
      <c r="A61" s="262"/>
      <c r="V61" s="336"/>
    </row>
    <row r="62" spans="8:8" ht="17.4">
      <c r="A62" s="262"/>
      <c r="V62" s="335"/>
    </row>
    <row r="63" spans="8:8" ht="17.4">
      <c r="A63" s="262"/>
      <c r="V63" s="337"/>
    </row>
    <row r="64" spans="8:8" ht="17.4">
      <c r="A64" s="262"/>
      <c r="V64" s="337"/>
    </row>
    <row r="65" spans="8:8" ht="17.4">
      <c r="A65" s="262"/>
      <c r="V65" s="337"/>
    </row>
    <row r="66" spans="8:8" ht="17.4">
      <c r="A66" s="262"/>
      <c r="V66" s="335"/>
    </row>
    <row r="67" spans="8:8" ht="17.4">
      <c r="A67" s="262"/>
      <c r="V67" s="336"/>
    </row>
    <row r="68" spans="8:8" ht="17.4">
      <c r="A68" s="262"/>
      <c r="V68" s="336"/>
    </row>
    <row r="69" spans="8:8" ht="17.4">
      <c r="A69" s="262"/>
      <c r="V69" s="336"/>
    </row>
    <row r="70" spans="8:8" ht="17.4">
      <c r="A70" s="262"/>
    </row>
    <row r="71" spans="8:8" ht="17.4">
      <c r="A71" s="262"/>
    </row>
    <row r="72" spans="8:8" ht="17.4">
      <c r="A72" s="262"/>
    </row>
    <row r="73" spans="8:8" ht="17.4">
      <c r="A73" s="262"/>
    </row>
    <row r="74" spans="8:8" ht="17.4">
      <c r="A74" s="262"/>
    </row>
    <row r="75" spans="8:8" ht="17.4">
      <c r="A75" s="262"/>
    </row>
    <row r="76" spans="8:8" ht="17.4">
      <c r="A76" s="262"/>
    </row>
    <row r="77" spans="8:8" ht="17.4">
      <c r="A77" s="262"/>
    </row>
    <row r="78" spans="8:8" ht="17.4">
      <c r="A78" s="262"/>
    </row>
    <row r="79" spans="8:8" ht="17.4">
      <c r="A79" s="262"/>
    </row>
    <row r="80" spans="8:8" ht="17.4">
      <c r="A80" s="262"/>
    </row>
    <row r="81" spans="8:8" ht="17.4">
      <c r="A81" s="262"/>
    </row>
    <row r="82" spans="8:8" ht="17.4">
      <c r="A82" s="262"/>
    </row>
    <row r="83" spans="8:8" ht="17.4">
      <c r="A83" s="262"/>
    </row>
    <row r="84" spans="8:8" ht="17.4">
      <c r="A84" s="262"/>
    </row>
    <row r="85" spans="8:8" ht="17.4">
      <c r="A85" s="262"/>
    </row>
    <row r="86" spans="8:8" ht="17.4">
      <c r="A86" s="262"/>
    </row>
    <row r="87" spans="8:8" ht="17.4">
      <c r="A87" s="262"/>
    </row>
    <row r="88" spans="8:8" ht="17.4">
      <c r="A88" s="262"/>
    </row>
    <row r="89" spans="8:8" ht="17.4">
      <c r="A89" s="262"/>
    </row>
    <row r="90" spans="8:8" ht="17.4">
      <c r="A90" s="262"/>
    </row>
    <row r="91" spans="8:8" ht="17.4">
      <c r="A91" s="262"/>
    </row>
    <row r="92" spans="8:8" ht="17.4">
      <c r="A92" s="262"/>
    </row>
    <row r="93" spans="8:8" ht="17.4">
      <c r="A93" s="262"/>
    </row>
    <row r="94" spans="8:8" ht="17.4">
      <c r="A94" s="262"/>
    </row>
    <row r="95" spans="8:8" ht="17.4">
      <c r="A95" s="262"/>
    </row>
    <row r="96" spans="8:8" ht="17.4">
      <c r="A96" s="262"/>
    </row>
  </sheetData>
  <sheetProtection sheet="0" formatColumns="0" formatRows="0" insertColumns="0" insertRows="0"/>
  <mergeCells count="74">
    <mergeCell ref="B52:B54"/>
    <mergeCell ref="C35:J37"/>
    <mergeCell ref="B33:B34"/>
    <mergeCell ref="C32:D32"/>
    <mergeCell ref="I44:J44"/>
    <mergeCell ref="F26:G26"/>
    <mergeCell ref="I6:J6"/>
    <mergeCell ref="C10:D10"/>
    <mergeCell ref="B17:J24"/>
    <mergeCell ref="D6:G6"/>
    <mergeCell ref="I26:J26"/>
    <mergeCell ref="L2:T2"/>
    <mergeCell ref="B29:B31"/>
    <mergeCell ref="F10:G10"/>
    <mergeCell ref="C29:J31"/>
    <mergeCell ref="C27:J28"/>
    <mergeCell ref="B8:C8"/>
    <mergeCell ref="B25:J25"/>
    <mergeCell ref="C12:D12"/>
    <mergeCell ref="C11:D11"/>
    <mergeCell ref="C33:J34"/>
    <mergeCell ref="C52:J54"/>
    <mergeCell ref="B39:B40"/>
    <mergeCell ref="I38:J38"/>
    <mergeCell ref="C45:J46"/>
    <mergeCell ref="B47:B49"/>
    <mergeCell ref="L42:T54"/>
    <mergeCell ref="B6:C6"/>
    <mergeCell ref="L25:T25"/>
    <mergeCell ref="L7:T7"/>
    <mergeCell ref="E12:G12"/>
    <mergeCell ref="I7:J7"/>
    <mergeCell ref="E13:G13"/>
    <mergeCell ref="L3:T6"/>
    <mergeCell ref="B3:J5"/>
    <mergeCell ref="C15:D15"/>
    <mergeCell ref="E15:G16"/>
    <mergeCell ref="C13:D13"/>
    <mergeCell ref="F11:G11"/>
    <mergeCell ref="B16:D16"/>
    <mergeCell ref="B2:J2"/>
    <mergeCell ref="L30:T32"/>
    <mergeCell ref="C47:J49"/>
    <mergeCell ref="B45:B46"/>
    <mergeCell ref="L41:T41"/>
    <mergeCell ref="L37:T37"/>
    <mergeCell ref="L38:T40"/>
    <mergeCell ref="C50:J50"/>
    <mergeCell ref="L33:T33"/>
    <mergeCell ref="I32:J32"/>
    <mergeCell ref="L34:T36"/>
    <mergeCell ref="C39:J40"/>
    <mergeCell ref="C44:D44"/>
    <mergeCell ref="L29:T29"/>
    <mergeCell ref="C26:D26"/>
    <mergeCell ref="H8:J16"/>
    <mergeCell ref="B7:C7"/>
    <mergeCell ref="C41:J43"/>
    <mergeCell ref="D8:G8"/>
    <mergeCell ref="B27:B28"/>
    <mergeCell ref="L26:T28"/>
    <mergeCell ref="D7:G7"/>
    <mergeCell ref="C14:D14"/>
    <mergeCell ref="L8:T24"/>
    <mergeCell ref="B9:C9"/>
    <mergeCell ref="F44:G44"/>
    <mergeCell ref="F38:G38"/>
    <mergeCell ref="F32:G32"/>
    <mergeCell ref="E14:G14"/>
    <mergeCell ref="B41:B43"/>
    <mergeCell ref="C38:D38"/>
    <mergeCell ref="C51:J51"/>
    <mergeCell ref="D9:G9"/>
    <mergeCell ref="B35:B37"/>
  </mergeCells>
  <dataValidations count="5">
    <dataValidation allowBlank="1" type="list" errorStyle="stop" showInputMessage="1" showErrorMessage="1" sqref="I26:J26">
      <formula1>数值参考!$B$18:$B$26</formula1>
    </dataValidation>
    <dataValidation allowBlank="1" type="list" errorStyle="stop" showInputMessage="1" showErrorMessage="1" sqref="I32:J32">
      <formula1>数值参考!$B$18:$B$26</formula1>
    </dataValidation>
    <dataValidation allowBlank="1" type="list" errorStyle="stop" showInputMessage="1" showErrorMessage="1" sqref="I38:J38">
      <formula1>数值参考!$B$18:$B$26</formula1>
    </dataValidation>
    <dataValidation allowBlank="1" type="list" errorStyle="stop" showInputMessage="1" showErrorMessage="1" sqref="I44:J44">
      <formula1>数值参考!$B$18:$B$26</formula1>
    </dataValidation>
    <dataValidation allowBlank="1" type="list" errorStyle="stop" showInputMessage="1" showErrorMessage="1" sqref="E15:G16">
      <formula1>"秩序-善,中立-善,混沌-善,秩序-中庸,中立-中庸,混沌-中庸,秩序-邪,中立-邪,混沌-邪"</formula1>
    </dataValidation>
  </dataValidations>
  <pageMargins left="0.699305555555556" right="0.699305555555556" top="0.75" bottom="0.75" header="0.3" footer="0.3"/>
</worksheet>
</file>

<file path=xl/worksheets/sheet4.xml><?xml version="1.0" encoding="utf-8"?>
<worksheet xmlns:r="http://schemas.openxmlformats.org/officeDocument/2006/relationships" xmlns="http://schemas.openxmlformats.org/spreadsheetml/2006/main">
  <dimension ref="B1:AD36"/>
  <sheetViews>
    <sheetView workbookViewId="0" topLeftCell="E1">
      <selection activeCell="V20" sqref="V20"/>
    </sheetView>
  </sheetViews>
  <sheetFormatPr defaultRowHeight="15.6" defaultColWidth="10"/>
  <cols>
    <col min="10" max="10" customWidth="0" width="8.8984375" style="0"/>
  </cols>
  <sheetData>
    <row r="1" spans="8:8" ht="15.6" customHeight="1"/>
    <row r="2" spans="8:8" ht="15.6" customHeight="1"/>
    <row r="3" spans="8:8" ht="15.6" customHeight="1">
      <c r="B3" s="338" t="s">
        <v>164</v>
      </c>
      <c r="C3" s="339" t="s">
        <v>65</v>
      </c>
      <c r="D3" s="339" t="s">
        <v>66</v>
      </c>
      <c r="E3" s="339" t="s">
        <v>67</v>
      </c>
      <c r="F3" s="339" t="s">
        <v>68</v>
      </c>
      <c r="G3" s="339" t="s">
        <v>69</v>
      </c>
      <c r="H3" s="339" t="s">
        <v>70</v>
      </c>
      <c r="J3" s="340" t="s">
        <v>165</v>
      </c>
      <c r="K3" s="340" t="s">
        <v>166</v>
      </c>
      <c r="M3" s="340" t="s">
        <v>167</v>
      </c>
      <c r="N3" s="340" t="s">
        <v>166</v>
      </c>
      <c r="P3" s="338" t="s">
        <v>168</v>
      </c>
      <c r="Q3" s="341" t="s">
        <v>169</v>
      </c>
      <c r="S3" s="342" t="s">
        <v>164</v>
      </c>
      <c r="T3" s="342" t="s">
        <v>38</v>
      </c>
      <c r="V3" s="342" t="s">
        <v>164</v>
      </c>
      <c r="W3" s="342" t="s">
        <v>38</v>
      </c>
    </row>
    <row r="4" spans="8:8" ht="15.6" customHeight="1">
      <c r="B4" s="338" t="s">
        <v>50</v>
      </c>
      <c r="C4" s="341">
        <v>0.0</v>
      </c>
      <c r="D4" s="341">
        <v>0.0</v>
      </c>
      <c r="E4" s="341">
        <v>0.0</v>
      </c>
      <c r="F4" s="341">
        <v>20.0</v>
      </c>
      <c r="G4" s="341">
        <v>10.0</v>
      </c>
      <c r="H4" s="343" t="s">
        <v>170</v>
      </c>
      <c r="J4" s="339" t="s">
        <v>171</v>
      </c>
      <c r="K4" s="339">
        <v>1.0</v>
      </c>
      <c r="M4" s="339" t="s">
        <v>171</v>
      </c>
      <c r="N4" s="339">
        <v>1.0</v>
      </c>
      <c r="P4" s="338">
        <v>10.0</v>
      </c>
      <c r="Q4" s="339">
        <v>0.0</v>
      </c>
      <c r="S4" s="342" t="s">
        <v>50</v>
      </c>
      <c r="T4" s="342" t="s">
        <v>172</v>
      </c>
      <c r="V4" s="342" t="s">
        <v>53</v>
      </c>
      <c r="W4" s="342" t="s">
        <v>173</v>
      </c>
    </row>
    <row r="5" spans="8:8" ht="15.6" customHeight="1">
      <c r="B5" s="338" t="s">
        <v>174</v>
      </c>
      <c r="C5" s="339">
        <v>20.0</v>
      </c>
      <c r="D5" s="341">
        <v>20.0</v>
      </c>
      <c r="E5" s="341">
        <v>20.0</v>
      </c>
      <c r="F5" s="344">
        <v>0.0</v>
      </c>
      <c r="G5" s="345">
        <v>10.0</v>
      </c>
      <c r="H5" s="345">
        <v>0.0</v>
      </c>
      <c r="J5" s="339" t="s">
        <v>175</v>
      </c>
      <c r="K5" s="339">
        <v>2.0</v>
      </c>
      <c r="M5" s="339" t="s">
        <v>175</v>
      </c>
      <c r="N5" s="339">
        <v>2.0</v>
      </c>
      <c r="P5" s="338">
        <v>20.0</v>
      </c>
      <c r="Q5" s="341">
        <v>4.0</v>
      </c>
      <c r="S5" s="342" t="s">
        <v>174</v>
      </c>
      <c r="T5" s="342" t="s">
        <v>176</v>
      </c>
      <c r="V5" s="342" t="s">
        <v>177</v>
      </c>
      <c r="W5" s="342" t="s">
        <v>178</v>
      </c>
    </row>
    <row r="6" spans="8:8" ht="15.6" customHeight="1">
      <c r="B6" s="338" t="s">
        <v>179</v>
      </c>
      <c r="C6" s="341">
        <v>0.0</v>
      </c>
      <c r="D6" s="341">
        <v>0.0</v>
      </c>
      <c r="E6" s="341">
        <v>0.0</v>
      </c>
      <c r="F6" s="341">
        <v>10.0</v>
      </c>
      <c r="G6" s="341">
        <v>30.0</v>
      </c>
      <c r="H6" s="343" t="s">
        <v>180</v>
      </c>
      <c r="J6" s="339" t="s">
        <v>181</v>
      </c>
      <c r="K6" s="339">
        <v>3.0</v>
      </c>
      <c r="M6" s="339" t="s">
        <v>181</v>
      </c>
      <c r="N6" s="339">
        <v>3.0</v>
      </c>
      <c r="P6" s="338">
        <v>30.0</v>
      </c>
      <c r="Q6" s="339">
        <v>8.0</v>
      </c>
      <c r="S6" s="342" t="s">
        <v>179</v>
      </c>
      <c r="T6" s="342" t="s">
        <v>182</v>
      </c>
      <c r="V6" s="342" t="s">
        <v>179</v>
      </c>
      <c r="W6" s="342" t="s">
        <v>182</v>
      </c>
    </row>
    <row r="7" spans="8:8" ht="15.6" customHeight="1">
      <c r="B7" s="338" t="s">
        <v>183</v>
      </c>
      <c r="C7" s="339">
        <v>0.0</v>
      </c>
      <c r="D7" s="341">
        <v>15.0</v>
      </c>
      <c r="E7" s="341">
        <v>0.0</v>
      </c>
      <c r="F7" s="341">
        <v>15.0</v>
      </c>
      <c r="G7" s="345">
        <v>10.0</v>
      </c>
      <c r="H7" s="345">
        <v>10.0</v>
      </c>
      <c r="J7" s="339" t="s">
        <v>184</v>
      </c>
      <c r="K7" s="339">
        <v>4.0</v>
      </c>
      <c r="M7" s="339" t="s">
        <v>184</v>
      </c>
      <c r="N7" s="339">
        <v>4.0</v>
      </c>
      <c r="P7" s="338">
        <v>40.0</v>
      </c>
      <c r="Q7" s="339">
        <v>12.0</v>
      </c>
      <c r="S7" s="342" t="s">
        <v>183</v>
      </c>
      <c r="T7" s="342" t="s">
        <v>185</v>
      </c>
      <c r="V7" s="342" t="s">
        <v>186</v>
      </c>
      <c r="W7" s="342" t="s">
        <v>187</v>
      </c>
    </row>
    <row r="8" spans="8:8" ht="15.6" customHeight="1">
      <c r="B8" s="338" t="s">
        <v>188</v>
      </c>
      <c r="C8" s="341">
        <v>10.0</v>
      </c>
      <c r="D8" s="341">
        <v>10.0</v>
      </c>
      <c r="E8" s="341">
        <v>10.0</v>
      </c>
      <c r="F8" s="341">
        <v>20.0</v>
      </c>
      <c r="G8" s="341">
        <v>0.0</v>
      </c>
      <c r="H8" s="343" t="s">
        <v>189</v>
      </c>
      <c r="J8" s="339" t="s">
        <v>190</v>
      </c>
      <c r="K8" s="339">
        <v>5.0</v>
      </c>
      <c r="M8" s="339" t="s">
        <v>190</v>
      </c>
      <c r="N8" s="339">
        <v>5.0</v>
      </c>
      <c r="S8" s="342" t="s">
        <v>188</v>
      </c>
      <c r="T8" s="342" t="s">
        <v>191</v>
      </c>
      <c r="V8" s="342" t="s">
        <v>192</v>
      </c>
      <c r="W8" s="342" t="s">
        <v>193</v>
      </c>
    </row>
    <row r="9" spans="8:8" ht="15.6" customHeight="1">
      <c r="B9" s="338" t="s">
        <v>194</v>
      </c>
      <c r="C9" s="339">
        <v>15.0</v>
      </c>
      <c r="D9" s="341">
        <v>20.0</v>
      </c>
      <c r="E9" s="341">
        <v>15.0</v>
      </c>
      <c r="F9" s="344">
        <v>0.0</v>
      </c>
      <c r="G9" s="345">
        <v>0.0</v>
      </c>
      <c r="H9" s="345">
        <v>0.0</v>
      </c>
      <c r="J9" s="339" t="s">
        <v>195</v>
      </c>
      <c r="K9" s="339">
        <v>7.0</v>
      </c>
      <c r="M9" s="339" t="s">
        <v>195</v>
      </c>
      <c r="N9" s="339">
        <v>9.0</v>
      </c>
      <c r="S9" s="342" t="s">
        <v>194</v>
      </c>
      <c r="T9" s="342" t="s">
        <v>196</v>
      </c>
      <c r="V9" s="342" t="s">
        <v>197</v>
      </c>
      <c r="W9" s="342" t="s">
        <v>198</v>
      </c>
    </row>
    <row r="10" spans="8:8" ht="15.6" customHeight="1">
      <c r="B10" s="338"/>
      <c r="C10" s="341"/>
      <c r="D10" s="341"/>
      <c r="E10" s="341"/>
      <c r="F10" s="341"/>
      <c r="G10" s="341"/>
      <c r="H10" s="343"/>
      <c r="J10" s="346" t="s">
        <v>199</v>
      </c>
      <c r="K10" s="339">
        <v>1.0</v>
      </c>
      <c r="M10" s="346" t="s">
        <v>199</v>
      </c>
      <c r="N10" s="339">
        <v>1.0</v>
      </c>
      <c r="S10" s="342"/>
      <c r="T10" s="342"/>
      <c r="V10" s="342" t="s">
        <v>200</v>
      </c>
      <c r="W10" s="342" t="s">
        <v>201</v>
      </c>
    </row>
    <row r="11" spans="8:8" ht="15.6" customHeight="1">
      <c r="B11" s="338"/>
      <c r="C11" s="339"/>
      <c r="D11" s="341"/>
      <c r="E11" s="341"/>
      <c r="F11" s="344"/>
      <c r="G11" s="345"/>
      <c r="H11" s="345"/>
      <c r="J11" s="346" t="s">
        <v>202</v>
      </c>
      <c r="K11" s="339">
        <v>2.0</v>
      </c>
      <c r="M11" s="346" t="s">
        <v>202</v>
      </c>
      <c r="N11" s="339">
        <v>2.0</v>
      </c>
      <c r="S11" s="342"/>
      <c r="T11" s="342"/>
      <c r="V11" s="342" t="s">
        <v>203</v>
      </c>
      <c r="W11" s="342" t="s">
        <v>204</v>
      </c>
    </row>
    <row r="12" spans="8:8" ht="15.6" customHeight="1">
      <c r="B12" s="338"/>
      <c r="C12" s="341"/>
      <c r="D12" s="341"/>
      <c r="E12" s="341"/>
      <c r="F12" s="341"/>
      <c r="G12" s="341"/>
      <c r="H12" s="343"/>
      <c r="J12" s="346" t="s">
        <v>205</v>
      </c>
      <c r="K12" s="339">
        <v>3.0</v>
      </c>
      <c r="M12" s="346" t="s">
        <v>205</v>
      </c>
      <c r="N12" s="339">
        <v>3.0</v>
      </c>
      <c r="S12" s="342"/>
      <c r="T12" s="342"/>
      <c r="V12" s="342" t="s">
        <v>206</v>
      </c>
      <c r="W12" s="342" t="s">
        <v>207</v>
      </c>
    </row>
    <row r="13" spans="8:8" ht="15.6" customHeight="1">
      <c r="B13" s="338"/>
      <c r="C13" s="339"/>
      <c r="D13" s="341"/>
      <c r="E13" s="341"/>
      <c r="F13" s="344"/>
      <c r="G13" s="345"/>
      <c r="H13" s="345"/>
      <c r="J13" s="346" t="s">
        <v>208</v>
      </c>
      <c r="K13" s="339">
        <v>4.0</v>
      </c>
      <c r="M13" s="346" t="s">
        <v>208</v>
      </c>
      <c r="N13" s="339">
        <v>4.0</v>
      </c>
      <c r="S13" s="342"/>
      <c r="T13" s="342"/>
      <c r="V13" s="342" t="s">
        <v>209</v>
      </c>
      <c r="W13" s="342" t="s">
        <v>210</v>
      </c>
    </row>
    <row r="14" spans="8:8" ht="15.6" customHeight="1">
      <c r="B14" s="338"/>
      <c r="C14" s="341"/>
      <c r="D14" s="341"/>
      <c r="E14" s="341"/>
      <c r="F14" s="341"/>
      <c r="G14" s="341"/>
      <c r="H14" s="343"/>
      <c r="J14" s="346" t="s">
        <v>211</v>
      </c>
      <c r="K14" s="339">
        <v>5.0</v>
      </c>
      <c r="M14" s="346" t="s">
        <v>211</v>
      </c>
      <c r="N14" s="339">
        <v>5.0</v>
      </c>
      <c r="S14" s="342"/>
      <c r="T14" s="342"/>
      <c r="V14" s="342"/>
      <c r="W14" s="342"/>
    </row>
    <row r="15" spans="8:8" ht="15.6" customHeight="1">
      <c r="B15" s="338"/>
      <c r="C15" s="339"/>
      <c r="D15" s="341"/>
      <c r="E15" s="341"/>
      <c r="F15" s="344"/>
      <c r="G15" s="345"/>
      <c r="H15" s="345"/>
      <c r="J15" s="346" t="s">
        <v>212</v>
      </c>
      <c r="K15" s="339">
        <v>7.0</v>
      </c>
      <c r="M15" s="346" t="s">
        <v>212</v>
      </c>
      <c r="N15" s="339">
        <v>9.0</v>
      </c>
      <c r="S15" s="342"/>
      <c r="T15" s="342"/>
      <c r="V15" s="342"/>
      <c r="W15" s="342"/>
    </row>
    <row r="16" spans="8:8" ht="15.6" customHeight="1">
      <c r="J16" s="346" t="s">
        <v>213</v>
      </c>
      <c r="K16" s="339">
        <v>3.0</v>
      </c>
      <c r="M16" s="346" t="s">
        <v>213</v>
      </c>
      <c r="N16" s="339">
        <v>3.0</v>
      </c>
    </row>
    <row r="17" spans="8:8" ht="15.6" customHeight="1">
      <c r="J17" s="346" t="s">
        <v>214</v>
      </c>
      <c r="K17" s="339">
        <v>4.0</v>
      </c>
      <c r="M17" s="346" t="s">
        <v>214</v>
      </c>
      <c r="N17" s="339">
        <v>4.0</v>
      </c>
    </row>
    <row r="18" spans="8:8" ht="15.6" customHeight="1">
      <c r="J18" s="346" t="s">
        <v>215</v>
      </c>
      <c r="K18" s="339">
        <v>5.0</v>
      </c>
      <c r="M18" s="346" t="s">
        <v>215</v>
      </c>
      <c r="N18" s="339">
        <v>5.0</v>
      </c>
    </row>
    <row r="19" spans="8:8" ht="15.6" customHeight="1">
      <c r="J19" s="346" t="s">
        <v>216</v>
      </c>
      <c r="K19" s="339">
        <v>6.0</v>
      </c>
      <c r="M19" s="346" t="s">
        <v>216</v>
      </c>
      <c r="N19" s="339">
        <v>6.0</v>
      </c>
    </row>
    <row r="20" spans="8:8" ht="15.6" customHeight="1">
      <c r="J20" s="346" t="s">
        <v>217</v>
      </c>
      <c r="K20" s="339">
        <v>7.0</v>
      </c>
      <c r="M20" s="346" t="s">
        <v>217</v>
      </c>
      <c r="N20" s="339">
        <v>7.0</v>
      </c>
    </row>
    <row r="21" spans="8:8" ht="15.6" customHeight="1">
      <c r="J21" s="346" t="s">
        <v>218</v>
      </c>
      <c r="K21" s="339">
        <v>5.0</v>
      </c>
      <c r="M21" s="346" t="s">
        <v>218</v>
      </c>
      <c r="N21" s="339">
        <v>5.0</v>
      </c>
    </row>
    <row r="22" spans="8:8" ht="15.6" customHeight="1">
      <c r="J22" s="346" t="s">
        <v>219</v>
      </c>
      <c r="K22" s="339">
        <v>6.0</v>
      </c>
      <c r="M22" s="346" t="s">
        <v>219</v>
      </c>
      <c r="N22" s="339">
        <v>6.0</v>
      </c>
    </row>
    <row r="23" spans="8:8" ht="15.6" customHeight="1">
      <c r="J23" s="346" t="s">
        <v>220</v>
      </c>
      <c r="K23" s="339">
        <v>7.0</v>
      </c>
      <c r="M23" s="346" t="s">
        <v>220</v>
      </c>
      <c r="N23" s="339">
        <v>7.0</v>
      </c>
    </row>
    <row r="24" spans="8:8" ht="15.6" customHeight="1">
      <c r="J24" s="346" t="s">
        <v>221</v>
      </c>
      <c r="K24" s="339">
        <v>8.0</v>
      </c>
      <c r="M24" s="346" t="s">
        <v>221</v>
      </c>
      <c r="N24" s="339">
        <v>8.0</v>
      </c>
    </row>
    <row r="25" spans="8:8" ht="15.6" customHeight="1">
      <c r="J25" s="346" t="s">
        <v>222</v>
      </c>
      <c r="K25" s="339">
        <v>9.0</v>
      </c>
      <c r="M25" s="346" t="s">
        <v>222</v>
      </c>
      <c r="N25" s="339">
        <v>9.0</v>
      </c>
    </row>
    <row r="26" spans="8:8" ht="15.6" customHeight="1">
      <c r="J26" s="346" t="s">
        <v>223</v>
      </c>
      <c r="K26" s="339">
        <v>7.0</v>
      </c>
      <c r="M26" s="346" t="s">
        <v>223</v>
      </c>
      <c r="N26" s="339">
        <v>7.0</v>
      </c>
    </row>
    <row r="27" spans="8:8" ht="15.6" customHeight="1">
      <c r="J27" s="346" t="s">
        <v>224</v>
      </c>
      <c r="K27" s="339">
        <v>8.0</v>
      </c>
      <c r="M27" s="346" t="s">
        <v>224</v>
      </c>
      <c r="N27" s="339">
        <v>8.0</v>
      </c>
    </row>
    <row r="28" spans="8:8" ht="15.6" customHeight="1">
      <c r="J28" s="346" t="s">
        <v>225</v>
      </c>
      <c r="K28" s="339">
        <v>9.0</v>
      </c>
      <c r="M28" s="346" t="s">
        <v>225</v>
      </c>
      <c r="N28" s="339">
        <v>9.0</v>
      </c>
    </row>
    <row r="29" spans="8:8" ht="15.6" customHeight="1">
      <c r="J29" s="346" t="s">
        <v>226</v>
      </c>
      <c r="K29" s="339">
        <v>10.0</v>
      </c>
      <c r="M29" s="346" t="s">
        <v>226</v>
      </c>
      <c r="N29" s="339">
        <v>10.0</v>
      </c>
    </row>
    <row r="30" spans="8:8" ht="15.6" customHeight="1">
      <c r="J30" s="346" t="s">
        <v>227</v>
      </c>
      <c r="K30" s="339">
        <v>11.0</v>
      </c>
      <c r="M30" s="346" t="s">
        <v>227</v>
      </c>
      <c r="N30" s="339">
        <v>11.0</v>
      </c>
    </row>
    <row r="31" spans="8:8" ht="15.6" customHeight="1">
      <c r="J31" s="346"/>
      <c r="K31" s="339"/>
      <c r="M31" s="346"/>
      <c r="N31" s="339"/>
    </row>
    <row r="32" spans="8:8" ht="15.6" customHeight="1">
      <c r="J32" s="346"/>
      <c r="K32" s="339"/>
      <c r="M32" s="346"/>
      <c r="N32" s="339"/>
    </row>
    <row r="33" spans="8:8" ht="15.6" customHeight="1">
      <c r="J33" s="346"/>
      <c r="K33" s="339"/>
      <c r="M33" s="346"/>
      <c r="N33" s="339"/>
    </row>
    <row r="34" spans="8:8" ht="15.6" customHeight="1"/>
    <row r="35" spans="8:8" ht="15.6" customHeight="1"/>
    <row r="36" spans="8:8" ht="15.6" customHeight="1"/>
  </sheetData>
  <conditionalFormatting sqref="F5 F9 F11 F13 F15">
    <cfRule type="cellIs" operator="notEqual" priority="2" dxfId="14">
      <formula>0</formula>
    </cfRule>
  </conditionalFormatting>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Z105"/>
  <sheetViews>
    <sheetView workbookViewId="0">
      <selection activeCell="A1" sqref="A1"/>
    </sheetView>
  </sheetViews>
  <sheetFormatPr defaultRowHeight="15.6" defaultColWidth="9"/>
  <cols>
    <col min="1" max="1" customWidth="1" width="5.5390625" style="347"/>
    <col min="2" max="19" customWidth="1" width="9.0" style="347"/>
    <col min="20" max="16384" customWidth="0" width="8.796875" style="347"/>
  </cols>
  <sheetData>
    <row r="1" spans="8:8" ht="16.35"/>
    <row r="2" spans="8:8">
      <c r="B2" s="348" t="s">
        <v>41</v>
      </c>
      <c r="C2" s="349"/>
      <c r="D2" s="350" t="s">
        <v>228</v>
      </c>
      <c r="E2" s="349"/>
      <c r="F2" s="349"/>
      <c r="G2" s="349"/>
      <c r="H2" s="349"/>
      <c r="I2" s="349"/>
      <c r="J2" s="349"/>
      <c r="K2" s="349"/>
      <c r="L2" s="349"/>
      <c r="M2" s="349"/>
      <c r="N2" s="349"/>
      <c r="O2" s="349"/>
      <c r="P2" s="349"/>
      <c r="Q2" s="349"/>
      <c r="R2" s="349"/>
      <c r="S2" s="351"/>
    </row>
    <row r="3" spans="8:8">
      <c r="B3" s="352" t="s">
        <v>50</v>
      </c>
      <c r="C3" s="353"/>
      <c r="D3" s="354" t="s">
        <v>229</v>
      </c>
      <c r="S3" s="355"/>
    </row>
    <row r="4" spans="8:8">
      <c r="B4" s="356"/>
      <c r="C4" s="354"/>
      <c r="D4" s="354" t="s">
        <v>230</v>
      </c>
      <c r="S4" s="355"/>
    </row>
    <row r="5" spans="8:8">
      <c r="B5" s="356"/>
      <c r="C5" s="354"/>
      <c r="D5" s="354" t="s">
        <v>231</v>
      </c>
      <c r="S5" s="355"/>
    </row>
    <row r="6" spans="8:8">
      <c r="B6" s="356"/>
      <c r="C6" s="357" t="s">
        <v>232</v>
      </c>
      <c r="D6" s="358" t="s">
        <v>229</v>
      </c>
      <c r="E6" s="359"/>
      <c r="F6" s="359"/>
      <c r="G6" s="359"/>
      <c r="H6" s="359"/>
      <c r="I6" s="359"/>
      <c r="J6" s="359"/>
      <c r="K6" s="359"/>
      <c r="L6" s="359"/>
      <c r="M6" s="359"/>
      <c r="N6" s="359"/>
      <c r="O6" s="359"/>
      <c r="P6" s="359"/>
      <c r="Q6" s="359"/>
      <c r="R6" s="359"/>
      <c r="S6" s="360"/>
    </row>
    <row r="7" spans="8:8">
      <c r="B7" s="352"/>
      <c r="C7" s="361"/>
      <c r="D7" s="361" t="s">
        <v>233</v>
      </c>
      <c r="E7" s="353"/>
      <c r="F7" s="353"/>
      <c r="G7" s="353"/>
      <c r="H7" s="353"/>
      <c r="I7" s="353"/>
      <c r="J7" s="353"/>
      <c r="K7" s="353"/>
      <c r="L7" s="353"/>
      <c r="M7" s="353"/>
      <c r="N7" s="353"/>
      <c r="O7" s="353"/>
      <c r="P7" s="353"/>
      <c r="Q7" s="353"/>
      <c r="R7" s="353"/>
      <c r="S7" s="362"/>
    </row>
    <row r="8" spans="8:8">
      <c r="B8" s="356" t="s">
        <v>179</v>
      </c>
      <c r="D8" s="354" t="s">
        <v>234</v>
      </c>
      <c r="S8" s="355"/>
    </row>
    <row r="9" spans="8:8">
      <c r="B9" s="363"/>
      <c r="C9" s="358"/>
      <c r="D9" s="354" t="s">
        <v>235</v>
      </c>
      <c r="S9" s="355"/>
    </row>
    <row r="10" spans="8:8">
      <c r="B10" s="356"/>
      <c r="C10" s="354"/>
      <c r="D10" s="354" t="s">
        <v>236</v>
      </c>
      <c r="S10" s="355"/>
    </row>
    <row r="11" spans="8:8">
      <c r="B11" s="356"/>
      <c r="C11" s="354"/>
      <c r="D11" s="354" t="s">
        <v>237</v>
      </c>
      <c r="S11" s="355"/>
    </row>
    <row r="12" spans="8:8">
      <c r="B12" s="352"/>
      <c r="C12" s="361"/>
      <c r="D12" s="354" t="s">
        <v>238</v>
      </c>
      <c r="S12" s="355"/>
    </row>
    <row r="13" spans="8:8">
      <c r="B13" s="356" t="s">
        <v>186</v>
      </c>
      <c r="D13" s="358" t="s">
        <v>239</v>
      </c>
      <c r="E13" s="359"/>
      <c r="F13" s="359"/>
      <c r="G13" s="359"/>
      <c r="H13" s="359"/>
      <c r="I13" s="359"/>
      <c r="J13" s="359"/>
      <c r="K13" s="359"/>
      <c r="L13" s="359"/>
      <c r="M13" s="359"/>
      <c r="N13" s="359"/>
      <c r="O13" s="359"/>
      <c r="P13" s="359"/>
      <c r="Q13" s="359"/>
      <c r="R13" s="359"/>
      <c r="S13" s="360"/>
    </row>
    <row r="14" spans="8:8">
      <c r="B14" s="363"/>
      <c r="C14" s="358"/>
      <c r="D14" s="354" t="s">
        <v>240</v>
      </c>
      <c r="S14" s="355"/>
    </row>
    <row r="15" spans="8:8">
      <c r="B15" s="356"/>
      <c r="C15" s="354"/>
      <c r="D15" s="354" t="s">
        <v>241</v>
      </c>
      <c r="S15" s="355"/>
    </row>
    <row r="16" spans="8:8">
      <c r="B16" s="356"/>
      <c r="C16" s="354"/>
      <c r="D16" s="354" t="s">
        <v>242</v>
      </c>
      <c r="S16" s="355"/>
    </row>
    <row r="17" spans="8:8">
      <c r="B17" s="352"/>
      <c r="C17" s="361"/>
      <c r="D17" s="361" t="s">
        <v>243</v>
      </c>
      <c r="E17" s="353"/>
      <c r="F17" s="353"/>
      <c r="G17" s="353"/>
      <c r="H17" s="353"/>
      <c r="I17" s="353"/>
      <c r="J17" s="353"/>
      <c r="K17" s="353"/>
      <c r="L17" s="353"/>
      <c r="M17" s="353"/>
      <c r="N17" s="353"/>
      <c r="O17" s="353"/>
      <c r="P17" s="353"/>
      <c r="Q17" s="353"/>
      <c r="R17" s="353"/>
      <c r="S17" s="362"/>
    </row>
    <row r="18" spans="8:8">
      <c r="B18" s="356" t="s">
        <v>244</v>
      </c>
      <c r="D18" s="354" t="s">
        <v>245</v>
      </c>
      <c r="S18" s="355"/>
    </row>
    <row r="19" spans="8:8">
      <c r="B19" s="363"/>
      <c r="C19" s="358"/>
      <c r="D19" s="354" t="s">
        <v>246</v>
      </c>
      <c r="S19" s="355"/>
    </row>
    <row r="20" spans="8:8">
      <c r="B20" s="352"/>
      <c r="C20" s="361"/>
      <c r="D20" s="354" t="s">
        <v>247</v>
      </c>
      <c r="S20" s="355"/>
    </row>
    <row r="21" spans="8:8">
      <c r="B21" s="356" t="s">
        <v>183</v>
      </c>
      <c r="D21" s="358" t="s">
        <v>248</v>
      </c>
      <c r="E21" s="359"/>
      <c r="F21" s="359"/>
      <c r="G21" s="359"/>
      <c r="H21" s="359"/>
      <c r="I21" s="359"/>
      <c r="J21" s="359"/>
      <c r="K21" s="359"/>
      <c r="L21" s="359"/>
      <c r="M21" s="359"/>
      <c r="N21" s="359"/>
      <c r="O21" s="359"/>
      <c r="P21" s="359"/>
      <c r="Q21" s="359"/>
      <c r="R21" s="359"/>
      <c r="S21" s="360"/>
    </row>
    <row r="22" spans="8:8">
      <c r="B22" s="363"/>
      <c r="C22" s="358"/>
      <c r="D22" s="354" t="s">
        <v>249</v>
      </c>
      <c r="S22" s="355"/>
    </row>
    <row r="23" spans="8:8">
      <c r="B23" s="356"/>
      <c r="C23" s="354"/>
      <c r="D23" s="354" t="s">
        <v>250</v>
      </c>
      <c r="S23" s="355"/>
    </row>
    <row r="24" spans="8:8">
      <c r="B24" s="352"/>
      <c r="C24" s="361"/>
      <c r="D24" s="361" t="s">
        <v>251</v>
      </c>
      <c r="E24" s="353"/>
      <c r="F24" s="353"/>
      <c r="G24" s="353"/>
      <c r="H24" s="353"/>
      <c r="I24" s="353"/>
      <c r="J24" s="353"/>
      <c r="K24" s="353"/>
      <c r="L24" s="353"/>
      <c r="M24" s="353"/>
      <c r="N24" s="353"/>
      <c r="O24" s="353"/>
      <c r="P24" s="353"/>
      <c r="Q24" s="353"/>
      <c r="R24" s="353"/>
      <c r="S24" s="362"/>
    </row>
    <row r="25" spans="8:8">
      <c r="B25" s="356" t="s">
        <v>252</v>
      </c>
      <c r="D25" s="354" t="s">
        <v>253</v>
      </c>
      <c r="S25" s="355"/>
    </row>
    <row r="26" spans="8:8">
      <c r="B26" s="363"/>
      <c r="C26" s="358"/>
      <c r="D26" s="354" t="s">
        <v>254</v>
      </c>
      <c r="S26" s="355"/>
    </row>
    <row r="27" spans="8:8">
      <c r="B27" s="356"/>
      <c r="C27" s="354"/>
      <c r="D27" s="354" t="s">
        <v>255</v>
      </c>
      <c r="S27" s="355"/>
    </row>
    <row r="28" spans="8:8">
      <c r="B28" s="356"/>
      <c r="C28" s="354"/>
      <c r="D28" s="354" t="s">
        <v>256</v>
      </c>
      <c r="S28" s="355"/>
    </row>
    <row r="29" spans="8:8">
      <c r="B29" s="356"/>
      <c r="C29" s="354"/>
      <c r="D29" s="354" t="s">
        <v>257</v>
      </c>
      <c r="S29" s="355"/>
    </row>
    <row r="30" spans="8:8">
      <c r="B30" s="356"/>
      <c r="C30" s="354"/>
      <c r="D30" s="354" t="s">
        <v>258</v>
      </c>
      <c r="S30" s="355"/>
    </row>
    <row r="31" spans="8:8" ht="16.35">
      <c r="B31" s="364"/>
      <c r="C31" s="365"/>
      <c r="D31" s="365" t="s">
        <v>259</v>
      </c>
      <c r="E31" s="366"/>
      <c r="F31" s="366"/>
      <c r="G31" s="366"/>
      <c r="H31" s="366"/>
      <c r="I31" s="366"/>
      <c r="J31" s="366"/>
      <c r="K31" s="366"/>
      <c r="L31" s="366"/>
      <c r="M31" s="366"/>
      <c r="N31" s="366"/>
      <c r="O31" s="366"/>
      <c r="P31" s="366"/>
      <c r="Q31" s="366"/>
      <c r="R31" s="366"/>
      <c r="S31" s="367"/>
    </row>
    <row r="32" spans="8:8" ht="16.35"/>
    <row r="33" spans="8:8">
      <c r="B33" s="368" t="s">
        <v>260</v>
      </c>
      <c r="C33" s="369"/>
      <c r="D33" s="369"/>
      <c r="E33" s="369"/>
      <c r="F33" s="369"/>
      <c r="G33" s="369"/>
      <c r="H33" s="369"/>
      <c r="I33" s="369"/>
      <c r="J33" s="369"/>
      <c r="K33" s="369"/>
      <c r="L33" s="369"/>
      <c r="M33" s="369"/>
      <c r="N33" s="369"/>
      <c r="O33" s="369"/>
      <c r="P33" s="369"/>
      <c r="Q33" s="369"/>
      <c r="R33" s="369"/>
      <c r="S33" s="370"/>
    </row>
    <row r="34" spans="8:8">
      <c r="B34" s="371" t="s">
        <v>261</v>
      </c>
      <c r="C34" s="372"/>
      <c r="D34" s="372"/>
      <c r="E34" s="372"/>
      <c r="F34" s="372"/>
      <c r="G34" s="372"/>
      <c r="H34" s="372"/>
      <c r="I34" s="372"/>
      <c r="J34" s="372"/>
      <c r="K34" s="372" t="s">
        <v>262</v>
      </c>
      <c r="L34" s="372"/>
      <c r="M34" s="372"/>
      <c r="N34" s="372"/>
      <c r="O34" s="372"/>
      <c r="P34" s="372"/>
      <c r="Q34" s="372"/>
      <c r="R34" s="372"/>
      <c r="S34" s="373"/>
    </row>
    <row r="35" spans="8:8">
      <c r="B35" s="374" t="s">
        <v>263</v>
      </c>
      <c r="C35" s="375"/>
      <c r="D35" s="375"/>
      <c r="E35" s="375"/>
      <c r="F35" s="375"/>
      <c r="G35" s="375"/>
      <c r="H35" s="375"/>
      <c r="I35" s="375"/>
      <c r="J35" s="375"/>
      <c r="K35" s="375" t="s">
        <v>263</v>
      </c>
      <c r="L35" s="375"/>
      <c r="M35" s="375"/>
      <c r="N35" s="375"/>
      <c r="O35" s="375"/>
      <c r="P35" s="375"/>
      <c r="Q35" s="375"/>
      <c r="R35" s="375"/>
      <c r="S35" s="376"/>
    </row>
    <row r="36" spans="8:8">
      <c r="B36" s="377" t="s">
        <v>264</v>
      </c>
      <c r="C36" s="378" t="s">
        <v>265</v>
      </c>
      <c r="D36" s="378"/>
      <c r="E36" s="379" t="s">
        <v>266</v>
      </c>
      <c r="F36" s="378" t="s">
        <v>263</v>
      </c>
      <c r="G36" s="378"/>
      <c r="H36" s="380" t="s">
        <v>267</v>
      </c>
      <c r="I36" s="381" t="s">
        <v>268</v>
      </c>
      <c r="J36" s="381"/>
      <c r="K36" s="379" t="s">
        <v>264</v>
      </c>
      <c r="L36" s="378" t="s">
        <v>269</v>
      </c>
      <c r="M36" s="378"/>
      <c r="N36" s="379" t="s">
        <v>266</v>
      </c>
      <c r="O36" s="378" t="s">
        <v>263</v>
      </c>
      <c r="P36" s="378"/>
      <c r="Q36" s="380" t="s">
        <v>267</v>
      </c>
      <c r="R36" s="381" t="s">
        <v>268</v>
      </c>
      <c r="S36" s="382"/>
    </row>
    <row r="37" spans="8:8">
      <c r="B37" s="377" t="s">
        <v>146</v>
      </c>
      <c r="C37" s="381" t="s">
        <v>270</v>
      </c>
      <c r="D37" s="381"/>
      <c r="E37" s="381"/>
      <c r="F37" s="381"/>
      <c r="G37" s="381"/>
      <c r="H37" s="381"/>
      <c r="I37" s="381"/>
      <c r="J37" s="381"/>
      <c r="K37" s="379" t="s">
        <v>146</v>
      </c>
      <c r="L37" s="383" t="s">
        <v>271</v>
      </c>
      <c r="M37" s="383"/>
      <c r="N37" s="383"/>
      <c r="O37" s="383"/>
      <c r="P37" s="383"/>
      <c r="Q37" s="383"/>
      <c r="R37" s="383"/>
      <c r="S37" s="384"/>
    </row>
    <row r="38" spans="8:8">
      <c r="B38" s="377"/>
      <c r="C38" s="381"/>
      <c r="D38" s="381"/>
      <c r="E38" s="381"/>
      <c r="F38" s="381"/>
      <c r="G38" s="381"/>
      <c r="H38" s="381"/>
      <c r="I38" s="381"/>
      <c r="J38" s="381"/>
      <c r="K38" s="379"/>
      <c r="L38" s="383"/>
      <c r="M38" s="383"/>
      <c r="N38" s="383"/>
      <c r="O38" s="383"/>
      <c r="P38" s="383"/>
      <c r="Q38" s="383"/>
      <c r="R38" s="383"/>
      <c r="S38" s="384"/>
    </row>
    <row r="39" spans="8:8">
      <c r="B39" s="377" t="s">
        <v>272</v>
      </c>
      <c r="C39" s="381" t="s">
        <v>273</v>
      </c>
      <c r="D39" s="381"/>
      <c r="E39" s="381"/>
      <c r="F39" s="381"/>
      <c r="G39" s="381"/>
      <c r="H39" s="381"/>
      <c r="I39" s="381"/>
      <c r="J39" s="381"/>
      <c r="K39" s="379"/>
      <c r="L39" s="383"/>
      <c r="M39" s="383"/>
      <c r="N39" s="383"/>
      <c r="O39" s="383"/>
      <c r="P39" s="383"/>
      <c r="Q39" s="383"/>
      <c r="R39" s="383"/>
      <c r="S39" s="384"/>
    </row>
    <row r="40" spans="8:8">
      <c r="B40" s="377" t="s">
        <v>264</v>
      </c>
      <c r="C40" s="378" t="s">
        <v>274</v>
      </c>
      <c r="D40" s="378"/>
      <c r="E40" s="379" t="s">
        <v>266</v>
      </c>
      <c r="F40" s="378" t="s">
        <v>263</v>
      </c>
      <c r="G40" s="378"/>
      <c r="H40" s="380" t="s">
        <v>267</v>
      </c>
      <c r="I40" s="381" t="s">
        <v>275</v>
      </c>
      <c r="J40" s="381"/>
      <c r="K40" s="379"/>
      <c r="L40" s="383"/>
      <c r="M40" s="383"/>
      <c r="N40" s="383"/>
      <c r="O40" s="383"/>
      <c r="P40" s="383"/>
      <c r="Q40" s="383"/>
      <c r="R40" s="383"/>
      <c r="S40" s="384"/>
    </row>
    <row r="41" spans="8:8">
      <c r="B41" s="377" t="s">
        <v>146</v>
      </c>
      <c r="C41" s="381" t="s">
        <v>276</v>
      </c>
      <c r="D41" s="381"/>
      <c r="E41" s="381"/>
      <c r="F41" s="381"/>
      <c r="G41" s="381"/>
      <c r="H41" s="381"/>
      <c r="I41" s="381"/>
      <c r="J41" s="381"/>
      <c r="K41" s="379" t="s">
        <v>264</v>
      </c>
      <c r="L41" s="378" t="s">
        <v>277</v>
      </c>
      <c r="M41" s="378"/>
      <c r="N41" s="379" t="s">
        <v>266</v>
      </c>
      <c r="O41" s="378" t="s">
        <v>263</v>
      </c>
      <c r="P41" s="378"/>
      <c r="Q41" s="380" t="s">
        <v>267</v>
      </c>
      <c r="R41" s="381" t="s">
        <v>278</v>
      </c>
      <c r="S41" s="382"/>
    </row>
    <row r="42" spans="8:8">
      <c r="B42" s="377"/>
      <c r="C42" s="381"/>
      <c r="D42" s="381"/>
      <c r="E42" s="381"/>
      <c r="F42" s="381"/>
      <c r="G42" s="381"/>
      <c r="H42" s="381"/>
      <c r="I42" s="381"/>
      <c r="J42" s="381"/>
      <c r="K42" s="379" t="s">
        <v>146</v>
      </c>
      <c r="L42" s="383" t="s">
        <v>279</v>
      </c>
      <c r="M42" s="381"/>
      <c r="N42" s="381"/>
      <c r="O42" s="381"/>
      <c r="P42" s="381"/>
      <c r="Q42" s="381"/>
      <c r="R42" s="381"/>
      <c r="S42" s="382"/>
    </row>
    <row r="43" spans="8:8">
      <c r="B43" s="377" t="s">
        <v>272</v>
      </c>
      <c r="C43" s="381" t="s">
        <v>280</v>
      </c>
      <c r="D43" s="381"/>
      <c r="E43" s="381"/>
      <c r="F43" s="381"/>
      <c r="G43" s="381"/>
      <c r="H43" s="381"/>
      <c r="I43" s="381"/>
      <c r="J43" s="381"/>
      <c r="K43" s="379"/>
      <c r="L43" s="381"/>
      <c r="M43" s="381"/>
      <c r="N43" s="381"/>
      <c r="O43" s="381"/>
      <c r="P43" s="381"/>
      <c r="Q43" s="381"/>
      <c r="R43" s="381"/>
      <c r="S43" s="382"/>
    </row>
    <row r="44" spans="8:8">
      <c r="B44" s="377" t="s">
        <v>264</v>
      </c>
      <c r="C44" s="378" t="s">
        <v>281</v>
      </c>
      <c r="D44" s="378"/>
      <c r="E44" s="379" t="s">
        <v>266</v>
      </c>
      <c r="F44" s="378" t="s">
        <v>263</v>
      </c>
      <c r="G44" s="378"/>
      <c r="H44" s="380" t="s">
        <v>267</v>
      </c>
      <c r="I44" s="381" t="s">
        <v>282</v>
      </c>
      <c r="J44" s="381"/>
      <c r="K44" s="379"/>
      <c r="L44" s="381"/>
      <c r="M44" s="381"/>
      <c r="N44" s="381"/>
      <c r="O44" s="381"/>
      <c r="P44" s="381"/>
      <c r="Q44" s="381"/>
      <c r="R44" s="381"/>
      <c r="S44" s="382"/>
    </row>
    <row r="45" spans="8:8">
      <c r="B45" s="377" t="s">
        <v>146</v>
      </c>
      <c r="C45" s="381" t="s">
        <v>283</v>
      </c>
      <c r="D45" s="381"/>
      <c r="E45" s="381"/>
      <c r="F45" s="381"/>
      <c r="G45" s="381"/>
      <c r="H45" s="381"/>
      <c r="I45" s="381"/>
      <c r="J45" s="381"/>
      <c r="K45" s="379"/>
      <c r="L45" s="381"/>
      <c r="M45" s="381"/>
      <c r="N45" s="381"/>
      <c r="O45" s="381"/>
      <c r="P45" s="381"/>
      <c r="Q45" s="381"/>
      <c r="R45" s="381"/>
      <c r="S45" s="382"/>
    </row>
    <row r="46" spans="8:8">
      <c r="B46" s="377"/>
      <c r="C46" s="381"/>
      <c r="D46" s="381"/>
      <c r="E46" s="381"/>
      <c r="F46" s="381"/>
      <c r="G46" s="381"/>
      <c r="H46" s="381"/>
      <c r="I46" s="381"/>
      <c r="J46" s="381"/>
      <c r="K46" s="375" t="s">
        <v>284</v>
      </c>
      <c r="L46" s="375"/>
      <c r="M46" s="375"/>
      <c r="N46" s="375"/>
      <c r="O46" s="375"/>
      <c r="P46" s="375"/>
      <c r="Q46" s="375"/>
      <c r="R46" s="375"/>
      <c r="S46" s="376"/>
    </row>
    <row r="47" spans="8:8">
      <c r="B47" s="377" t="s">
        <v>272</v>
      </c>
      <c r="C47" s="381" t="s">
        <v>285</v>
      </c>
      <c r="D47" s="381"/>
      <c r="E47" s="381"/>
      <c r="F47" s="381"/>
      <c r="G47" s="381"/>
      <c r="H47" s="381"/>
      <c r="I47" s="381"/>
      <c r="J47" s="381"/>
      <c r="K47" s="379" t="s">
        <v>264</v>
      </c>
      <c r="L47" s="378" t="s">
        <v>286</v>
      </c>
      <c r="M47" s="378"/>
      <c r="N47" s="379" t="s">
        <v>266</v>
      </c>
      <c r="O47" s="378" t="s">
        <v>284</v>
      </c>
      <c r="P47" s="378"/>
      <c r="Q47" s="380" t="s">
        <v>267</v>
      </c>
      <c r="R47" s="381" t="s">
        <v>287</v>
      </c>
      <c r="S47" s="382"/>
    </row>
    <row r="48" spans="8:8">
      <c r="B48" s="374" t="s">
        <v>284</v>
      </c>
      <c r="C48" s="375"/>
      <c r="D48" s="375"/>
      <c r="E48" s="375"/>
      <c r="F48" s="375"/>
      <c r="G48" s="375"/>
      <c r="H48" s="375"/>
      <c r="I48" s="375"/>
      <c r="J48" s="375"/>
      <c r="K48" s="379" t="s">
        <v>146</v>
      </c>
      <c r="L48" s="381" t="s">
        <v>288</v>
      </c>
      <c r="M48" s="381"/>
      <c r="N48" s="381"/>
      <c r="O48" s="381"/>
      <c r="P48" s="381"/>
      <c r="Q48" s="381"/>
      <c r="R48" s="381"/>
      <c r="S48" s="382"/>
    </row>
    <row r="49" spans="8:8">
      <c r="B49" s="377" t="s">
        <v>264</v>
      </c>
      <c r="C49" s="378" t="s">
        <v>289</v>
      </c>
      <c r="D49" s="378"/>
      <c r="E49" s="379" t="s">
        <v>266</v>
      </c>
      <c r="F49" s="378" t="s">
        <v>284</v>
      </c>
      <c r="G49" s="378"/>
      <c r="H49" s="380" t="s">
        <v>267</v>
      </c>
      <c r="I49" s="381" t="s">
        <v>282</v>
      </c>
      <c r="J49" s="381"/>
      <c r="K49" s="379"/>
      <c r="L49" s="381"/>
      <c r="M49" s="381"/>
      <c r="N49" s="381"/>
      <c r="O49" s="381"/>
      <c r="P49" s="381"/>
      <c r="Q49" s="381"/>
      <c r="R49" s="381"/>
      <c r="S49" s="382"/>
    </row>
    <row r="50" spans="8:8">
      <c r="B50" s="377" t="s">
        <v>146</v>
      </c>
      <c r="C50" s="381" t="s">
        <v>290</v>
      </c>
      <c r="D50" s="381"/>
      <c r="E50" s="381"/>
      <c r="F50" s="381"/>
      <c r="G50" s="381"/>
      <c r="H50" s="381"/>
      <c r="I50" s="381"/>
      <c r="J50" s="381"/>
      <c r="K50" s="379" t="s">
        <v>264</v>
      </c>
      <c r="L50" s="378" t="s">
        <v>291</v>
      </c>
      <c r="M50" s="378"/>
      <c r="N50" s="379" t="s">
        <v>266</v>
      </c>
      <c r="O50" s="378" t="s">
        <v>284</v>
      </c>
      <c r="P50" s="378"/>
      <c r="Q50" s="380" t="s">
        <v>267</v>
      </c>
      <c r="R50" s="381" t="s">
        <v>292</v>
      </c>
      <c r="S50" s="382"/>
    </row>
    <row r="51" spans="8:8">
      <c r="B51" s="377"/>
      <c r="C51" s="381"/>
      <c r="D51" s="381"/>
      <c r="E51" s="381"/>
      <c r="F51" s="381"/>
      <c r="G51" s="381"/>
      <c r="H51" s="381"/>
      <c r="I51" s="381"/>
      <c r="J51" s="381"/>
      <c r="K51" s="379" t="s">
        <v>146</v>
      </c>
      <c r="L51" s="383" t="s">
        <v>293</v>
      </c>
      <c r="M51" s="381"/>
      <c r="N51" s="381"/>
      <c r="O51" s="381"/>
      <c r="P51" s="381"/>
      <c r="Q51" s="381"/>
      <c r="R51" s="381"/>
      <c r="S51" s="382"/>
    </row>
    <row r="52" spans="8:8">
      <c r="B52" s="377" t="s">
        <v>272</v>
      </c>
      <c r="C52" s="381" t="s">
        <v>294</v>
      </c>
      <c r="D52" s="381"/>
      <c r="E52" s="381"/>
      <c r="F52" s="381"/>
      <c r="G52" s="381"/>
      <c r="H52" s="381"/>
      <c r="I52" s="381"/>
      <c r="J52" s="381"/>
      <c r="K52" s="379"/>
      <c r="L52" s="381"/>
      <c r="M52" s="381"/>
      <c r="N52" s="381"/>
      <c r="O52" s="381"/>
      <c r="P52" s="381"/>
      <c r="Q52" s="381"/>
      <c r="R52" s="381"/>
      <c r="S52" s="382"/>
    </row>
    <row r="53" spans="8:8">
      <c r="B53" s="377" t="s">
        <v>264</v>
      </c>
      <c r="C53" s="378" t="s">
        <v>295</v>
      </c>
      <c r="D53" s="378"/>
      <c r="E53" s="379" t="s">
        <v>266</v>
      </c>
      <c r="F53" s="378" t="s">
        <v>284</v>
      </c>
      <c r="G53" s="378"/>
      <c r="H53" s="380" t="s">
        <v>267</v>
      </c>
      <c r="I53" s="381" t="s">
        <v>292</v>
      </c>
      <c r="J53" s="381"/>
      <c r="K53" s="379"/>
      <c r="L53" s="381"/>
      <c r="M53" s="381"/>
      <c r="N53" s="381"/>
      <c r="O53" s="381"/>
      <c r="P53" s="381"/>
      <c r="Q53" s="381"/>
      <c r="R53" s="381"/>
      <c r="S53" s="382"/>
    </row>
    <row r="54" spans="8:8">
      <c r="B54" s="377" t="s">
        <v>146</v>
      </c>
      <c r="C54" s="383" t="s">
        <v>296</v>
      </c>
      <c r="D54" s="381"/>
      <c r="E54" s="381"/>
      <c r="F54" s="381"/>
      <c r="G54" s="381"/>
      <c r="H54" s="381"/>
      <c r="I54" s="381"/>
      <c r="J54" s="381"/>
      <c r="K54" s="379"/>
      <c r="L54" s="381"/>
      <c r="M54" s="381"/>
      <c r="N54" s="381"/>
      <c r="O54" s="381"/>
      <c r="P54" s="381"/>
      <c r="Q54" s="381"/>
      <c r="R54" s="381"/>
      <c r="S54" s="382"/>
    </row>
    <row r="55" spans="8:8">
      <c r="B55" s="377"/>
      <c r="C55" s="381"/>
      <c r="D55" s="381"/>
      <c r="E55" s="381"/>
      <c r="F55" s="381"/>
      <c r="G55" s="381"/>
      <c r="H55" s="381"/>
      <c r="I55" s="381"/>
      <c r="J55" s="381"/>
      <c r="K55" s="379" t="s">
        <v>272</v>
      </c>
      <c r="L55" s="381" t="s">
        <v>297</v>
      </c>
      <c r="M55" s="381"/>
      <c r="N55" s="381"/>
      <c r="O55" s="381"/>
      <c r="P55" s="381"/>
      <c r="Q55" s="381"/>
      <c r="R55" s="381"/>
      <c r="S55" s="382"/>
    </row>
    <row r="56" spans="8:8">
      <c r="B56" s="377" t="s">
        <v>272</v>
      </c>
      <c r="C56" s="381" t="s">
        <v>294</v>
      </c>
      <c r="D56" s="381"/>
      <c r="E56" s="381"/>
      <c r="F56" s="381"/>
      <c r="G56" s="381"/>
      <c r="H56" s="381"/>
      <c r="I56" s="381"/>
      <c r="J56" s="381"/>
      <c r="K56" s="379" t="s">
        <v>264</v>
      </c>
      <c r="L56" s="378" t="s">
        <v>298</v>
      </c>
      <c r="M56" s="378"/>
      <c r="N56" s="379" t="s">
        <v>266</v>
      </c>
      <c r="O56" s="378" t="s">
        <v>284</v>
      </c>
      <c r="P56" s="378"/>
      <c r="Q56" s="380" t="s">
        <v>267</v>
      </c>
      <c r="R56" s="381" t="s">
        <v>299</v>
      </c>
      <c r="S56" s="382"/>
    </row>
    <row r="57" spans="8:8">
      <c r="B57" s="377" t="s">
        <v>264</v>
      </c>
      <c r="C57" s="378" t="s">
        <v>300</v>
      </c>
      <c r="D57" s="378"/>
      <c r="E57" s="379" t="s">
        <v>266</v>
      </c>
      <c r="F57" s="378" t="s">
        <v>284</v>
      </c>
      <c r="G57" s="378"/>
      <c r="H57" s="380" t="s">
        <v>267</v>
      </c>
      <c r="I57" s="381"/>
      <c r="J57" s="381"/>
      <c r="K57" s="379" t="s">
        <v>146</v>
      </c>
      <c r="L57" s="383" t="s">
        <v>301</v>
      </c>
      <c r="M57" s="381"/>
      <c r="N57" s="381"/>
      <c r="O57" s="381"/>
      <c r="P57" s="381"/>
      <c r="Q57" s="381"/>
      <c r="R57" s="381"/>
      <c r="S57" s="382"/>
    </row>
    <row r="58" spans="8:8">
      <c r="B58" s="377" t="s">
        <v>146</v>
      </c>
      <c r="C58" s="383" t="s">
        <v>302</v>
      </c>
      <c r="D58" s="381"/>
      <c r="E58" s="381"/>
      <c r="F58" s="381"/>
      <c r="G58" s="381"/>
      <c r="H58" s="381"/>
      <c r="I58" s="381"/>
      <c r="J58" s="381"/>
      <c r="K58" s="379"/>
      <c r="L58" s="381"/>
      <c r="M58" s="381"/>
      <c r="N58" s="381"/>
      <c r="O58" s="381"/>
      <c r="P58" s="381"/>
      <c r="Q58" s="381"/>
      <c r="R58" s="381"/>
      <c r="S58" s="382"/>
    </row>
    <row r="59" spans="8:8">
      <c r="B59" s="377"/>
      <c r="C59" s="381"/>
      <c r="D59" s="381"/>
      <c r="E59" s="381"/>
      <c r="F59" s="381"/>
      <c r="G59" s="381"/>
      <c r="H59" s="381"/>
      <c r="I59" s="381"/>
      <c r="J59" s="381"/>
      <c r="K59" s="379"/>
      <c r="L59" s="381"/>
      <c r="M59" s="381"/>
      <c r="N59" s="381"/>
      <c r="O59" s="381"/>
      <c r="P59" s="381"/>
      <c r="Q59" s="381"/>
      <c r="R59" s="381"/>
      <c r="S59" s="382"/>
    </row>
    <row r="60" spans="8:8">
      <c r="B60" s="377"/>
      <c r="C60" s="381"/>
      <c r="D60" s="381"/>
      <c r="E60" s="381"/>
      <c r="F60" s="381"/>
      <c r="G60" s="381"/>
      <c r="H60" s="381"/>
      <c r="I60" s="381"/>
      <c r="J60" s="381"/>
      <c r="K60" s="379"/>
      <c r="L60" s="381"/>
      <c r="M60" s="381"/>
      <c r="N60" s="381"/>
      <c r="O60" s="381"/>
      <c r="P60" s="381"/>
      <c r="Q60" s="381"/>
      <c r="R60" s="381"/>
      <c r="S60" s="382"/>
    </row>
    <row r="61" spans="8:8">
      <c r="B61" s="377"/>
      <c r="C61" s="381"/>
      <c r="D61" s="381"/>
      <c r="E61" s="381"/>
      <c r="F61" s="381"/>
      <c r="G61" s="381"/>
      <c r="H61" s="381"/>
      <c r="I61" s="381"/>
      <c r="J61" s="381"/>
      <c r="K61" s="379" t="s">
        <v>264</v>
      </c>
      <c r="L61" s="378" t="s">
        <v>303</v>
      </c>
      <c r="M61" s="378"/>
      <c r="N61" s="379" t="s">
        <v>266</v>
      </c>
      <c r="O61" s="378" t="s">
        <v>284</v>
      </c>
      <c r="P61" s="378"/>
      <c r="Q61" s="380" t="s">
        <v>267</v>
      </c>
      <c r="R61" s="381" t="s">
        <v>287</v>
      </c>
      <c r="S61" s="382"/>
    </row>
    <row r="62" spans="8:8">
      <c r="B62" s="377" t="s">
        <v>272</v>
      </c>
      <c r="C62" s="381" t="s">
        <v>304</v>
      </c>
      <c r="D62" s="381"/>
      <c r="E62" s="381"/>
      <c r="F62" s="381"/>
      <c r="G62" s="381"/>
      <c r="H62" s="381"/>
      <c r="I62" s="381"/>
      <c r="J62" s="381"/>
      <c r="K62" s="379" t="s">
        <v>146</v>
      </c>
      <c r="L62" s="383" t="s">
        <v>305</v>
      </c>
      <c r="M62" s="383"/>
      <c r="N62" s="383"/>
      <c r="O62" s="383"/>
      <c r="P62" s="383"/>
      <c r="Q62" s="383"/>
      <c r="R62" s="383"/>
      <c r="S62" s="384"/>
    </row>
    <row r="63" spans="8:8">
      <c r="B63" s="377" t="s">
        <v>272</v>
      </c>
      <c r="C63" s="381" t="s">
        <v>306</v>
      </c>
      <c r="D63" s="381"/>
      <c r="E63" s="381"/>
      <c r="F63" s="381"/>
      <c r="G63" s="381"/>
      <c r="H63" s="381"/>
      <c r="I63" s="381"/>
      <c r="J63" s="381"/>
      <c r="K63" s="379"/>
      <c r="L63" s="383"/>
      <c r="M63" s="383"/>
      <c r="N63" s="383"/>
      <c r="O63" s="383"/>
      <c r="P63" s="383"/>
      <c r="Q63" s="383"/>
      <c r="R63" s="383"/>
      <c r="S63" s="384"/>
    </row>
    <row r="64" spans="8:8">
      <c r="B64" s="377" t="s">
        <v>272</v>
      </c>
      <c r="C64" s="381" t="s">
        <v>307</v>
      </c>
      <c r="D64" s="381"/>
      <c r="E64" s="381"/>
      <c r="F64" s="381"/>
      <c r="G64" s="381"/>
      <c r="H64" s="381"/>
      <c r="I64" s="381"/>
      <c r="J64" s="381"/>
      <c r="K64" s="379" t="s">
        <v>264</v>
      </c>
      <c r="L64" s="378" t="s">
        <v>308</v>
      </c>
      <c r="M64" s="378"/>
      <c r="N64" s="379" t="s">
        <v>266</v>
      </c>
      <c r="O64" s="378" t="s">
        <v>284</v>
      </c>
      <c r="P64" s="378"/>
      <c r="Q64" s="380" t="s">
        <v>267</v>
      </c>
      <c r="R64" s="381" t="s">
        <v>309</v>
      </c>
      <c r="S64" s="382"/>
    </row>
    <row r="65" spans="8:8">
      <c r="B65" s="377" t="s">
        <v>272</v>
      </c>
      <c r="C65" s="383" t="s">
        <v>310</v>
      </c>
      <c r="D65" s="383"/>
      <c r="E65" s="383"/>
      <c r="F65" s="383"/>
      <c r="G65" s="383"/>
      <c r="H65" s="383"/>
      <c r="I65" s="383"/>
      <c r="J65" s="383"/>
      <c r="K65" s="379" t="s">
        <v>146</v>
      </c>
      <c r="L65" s="383" t="s">
        <v>311</v>
      </c>
      <c r="M65" s="381"/>
      <c r="N65" s="381"/>
      <c r="O65" s="381"/>
      <c r="P65" s="381"/>
      <c r="Q65" s="381"/>
      <c r="R65" s="381"/>
      <c r="S65" s="382"/>
    </row>
    <row r="66" spans="8:8">
      <c r="B66" s="377"/>
      <c r="C66" s="383"/>
      <c r="D66" s="383"/>
      <c r="E66" s="383"/>
      <c r="F66" s="383"/>
      <c r="G66" s="383"/>
      <c r="H66" s="383"/>
      <c r="I66" s="383"/>
      <c r="J66" s="383"/>
      <c r="K66" s="379"/>
      <c r="L66" s="381"/>
      <c r="M66" s="381"/>
      <c r="N66" s="381"/>
      <c r="O66" s="381"/>
      <c r="P66" s="381"/>
      <c r="Q66" s="381"/>
      <c r="R66" s="381"/>
      <c r="S66" s="382"/>
    </row>
    <row r="67" spans="8:8">
      <c r="B67" s="374" t="s">
        <v>312</v>
      </c>
      <c r="C67" s="375"/>
      <c r="D67" s="375"/>
      <c r="E67" s="375"/>
      <c r="F67" s="375"/>
      <c r="G67" s="375"/>
      <c r="H67" s="375"/>
      <c r="I67" s="375"/>
      <c r="J67" s="375"/>
      <c r="K67" s="379"/>
      <c r="L67" s="381"/>
      <c r="M67" s="381"/>
      <c r="N67" s="381"/>
      <c r="O67" s="381"/>
      <c r="P67" s="381"/>
      <c r="Q67" s="381"/>
      <c r="R67" s="381"/>
      <c r="S67" s="382"/>
    </row>
    <row r="68" spans="8:8">
      <c r="B68" s="377" t="s">
        <v>264</v>
      </c>
      <c r="C68" s="378" t="s">
        <v>313</v>
      </c>
      <c r="D68" s="378"/>
      <c r="E68" s="379" t="s">
        <v>266</v>
      </c>
      <c r="F68" s="378" t="s">
        <v>312</v>
      </c>
      <c r="G68" s="378"/>
      <c r="H68" s="380" t="s">
        <v>267</v>
      </c>
      <c r="I68" s="381" t="s">
        <v>268</v>
      </c>
      <c r="J68" s="381"/>
      <c r="K68" s="379"/>
      <c r="L68" s="381"/>
      <c r="M68" s="381"/>
      <c r="N68" s="381"/>
      <c r="O68" s="381"/>
      <c r="P68" s="381"/>
      <c r="Q68" s="381"/>
      <c r="R68" s="381"/>
      <c r="S68" s="382"/>
    </row>
    <row r="69" spans="8:8">
      <c r="B69" s="377" t="s">
        <v>146</v>
      </c>
      <c r="C69" s="381" t="s">
        <v>314</v>
      </c>
      <c r="D69" s="381"/>
      <c r="E69" s="381"/>
      <c r="F69" s="381"/>
      <c r="G69" s="381"/>
      <c r="H69" s="381"/>
      <c r="I69" s="381"/>
      <c r="J69" s="381"/>
      <c r="K69" s="379" t="s">
        <v>264</v>
      </c>
      <c r="L69" s="378" t="s">
        <v>315</v>
      </c>
      <c r="M69" s="378"/>
      <c r="N69" s="379" t="s">
        <v>266</v>
      </c>
      <c r="O69" s="378" t="s">
        <v>284</v>
      </c>
      <c r="P69" s="378"/>
      <c r="Q69" s="380" t="s">
        <v>267</v>
      </c>
      <c r="R69" s="381" t="s">
        <v>316</v>
      </c>
      <c r="S69" s="382"/>
    </row>
    <row r="70" spans="8:8">
      <c r="B70" s="377"/>
      <c r="C70" s="381"/>
      <c r="D70" s="381"/>
      <c r="E70" s="381"/>
      <c r="F70" s="381"/>
      <c r="G70" s="381"/>
      <c r="H70" s="381"/>
      <c r="I70" s="381"/>
      <c r="J70" s="381"/>
      <c r="K70" s="379" t="s">
        <v>146</v>
      </c>
      <c r="L70" s="383" t="s">
        <v>317</v>
      </c>
      <c r="M70" s="383"/>
      <c r="N70" s="383"/>
      <c r="O70" s="383"/>
      <c r="P70" s="383"/>
      <c r="Q70" s="383"/>
      <c r="R70" s="383"/>
      <c r="S70" s="384"/>
    </row>
    <row r="71" spans="8:8" ht="16.35">
      <c r="B71" s="385" t="s">
        <v>272</v>
      </c>
      <c r="C71" s="386" t="s">
        <v>273</v>
      </c>
      <c r="D71" s="386"/>
      <c r="E71" s="386"/>
      <c r="F71" s="386"/>
      <c r="G71" s="386"/>
      <c r="H71" s="386"/>
      <c r="I71" s="386"/>
      <c r="J71" s="386"/>
      <c r="K71" s="387"/>
      <c r="L71" s="388"/>
      <c r="M71" s="388"/>
      <c r="N71" s="388"/>
      <c r="O71" s="388"/>
      <c r="P71" s="388"/>
      <c r="Q71" s="388"/>
      <c r="R71" s="388"/>
      <c r="S71" s="389"/>
    </row>
    <row r="72" spans="8:8" ht="16.35"/>
    <row r="73" spans="8:8">
      <c r="B73" s="390" t="s">
        <v>318</v>
      </c>
      <c r="C73" s="391"/>
      <c r="D73" s="391"/>
      <c r="E73" s="391"/>
      <c r="F73" s="391"/>
      <c r="G73" s="391"/>
      <c r="H73" s="391"/>
      <c r="I73" s="391"/>
      <c r="J73" s="391"/>
      <c r="K73" s="391"/>
      <c r="L73" s="391"/>
      <c r="M73" s="391"/>
      <c r="N73" s="391"/>
      <c r="O73" s="391"/>
      <c r="P73" s="391"/>
      <c r="Q73" s="391"/>
      <c r="R73" s="391"/>
      <c r="S73" s="392"/>
    </row>
    <row r="74" spans="8:8">
      <c r="B74" s="393" t="s">
        <v>319</v>
      </c>
      <c r="C74" s="394"/>
      <c r="D74" s="394"/>
      <c r="E74" s="394"/>
      <c r="F74" s="394"/>
      <c r="G74" s="394"/>
      <c r="H74" s="394"/>
      <c r="I74" s="394"/>
      <c r="J74" s="394"/>
      <c r="K74" s="395" t="s">
        <v>320</v>
      </c>
      <c r="L74" s="394"/>
      <c r="M74" s="394"/>
      <c r="N74" s="394"/>
      <c r="O74" s="394"/>
      <c r="P74" s="394"/>
      <c r="Q74" s="394"/>
      <c r="R74" s="394"/>
      <c r="S74" s="396"/>
    </row>
    <row r="75" spans="8:8">
      <c r="B75" s="397" t="s">
        <v>264</v>
      </c>
      <c r="C75" s="378" t="s">
        <v>321</v>
      </c>
      <c r="D75" s="378"/>
      <c r="E75" s="398" t="s">
        <v>266</v>
      </c>
      <c r="F75" s="378" t="s">
        <v>322</v>
      </c>
      <c r="G75" s="378"/>
      <c r="H75" s="399" t="s">
        <v>267</v>
      </c>
      <c r="I75" s="378" t="s">
        <v>316</v>
      </c>
      <c r="J75" s="378"/>
      <c r="K75" s="400" t="s">
        <v>264</v>
      </c>
      <c r="L75" s="378" t="s">
        <v>323</v>
      </c>
      <c r="M75" s="378"/>
      <c r="N75" s="398" t="s">
        <v>266</v>
      </c>
      <c r="O75" s="378" t="s">
        <v>319</v>
      </c>
      <c r="P75" s="378"/>
      <c r="Q75" s="399" t="s">
        <v>267</v>
      </c>
      <c r="R75" s="378" t="s">
        <v>316</v>
      </c>
      <c r="S75" s="401"/>
    </row>
    <row r="76" spans="8:8">
      <c r="B76" s="397" t="s">
        <v>146</v>
      </c>
      <c r="C76" s="378" t="s">
        <v>324</v>
      </c>
      <c r="D76" s="378"/>
      <c r="E76" s="378"/>
      <c r="F76" s="378"/>
      <c r="G76" s="378"/>
      <c r="H76" s="378"/>
      <c r="I76" s="378"/>
      <c r="J76" s="378"/>
      <c r="K76" s="400" t="s">
        <v>146</v>
      </c>
      <c r="L76" s="378" t="s">
        <v>325</v>
      </c>
      <c r="M76" s="378"/>
      <c r="N76" s="378"/>
      <c r="O76" s="378"/>
      <c r="P76" s="378"/>
      <c r="Q76" s="378"/>
      <c r="R76" s="378"/>
      <c r="S76" s="401"/>
    </row>
    <row r="77" spans="8:8">
      <c r="B77" s="397"/>
      <c r="C77" s="378"/>
      <c r="D77" s="378"/>
      <c r="E77" s="378"/>
      <c r="F77" s="378"/>
      <c r="G77" s="378"/>
      <c r="H77" s="378"/>
      <c r="I77" s="378"/>
      <c r="J77" s="378"/>
      <c r="K77" s="400"/>
      <c r="L77" s="378"/>
      <c r="M77" s="378"/>
      <c r="N77" s="378"/>
      <c r="O77" s="378"/>
      <c r="P77" s="378"/>
      <c r="Q77" s="378"/>
      <c r="R77" s="378"/>
      <c r="S77" s="401"/>
    </row>
    <row r="78" spans="8:8">
      <c r="B78" s="397" t="s">
        <v>264</v>
      </c>
      <c r="C78" s="378" t="s">
        <v>326</v>
      </c>
      <c r="D78" s="378"/>
      <c r="E78" s="398" t="s">
        <v>266</v>
      </c>
      <c r="F78" s="378" t="s">
        <v>322</v>
      </c>
      <c r="G78" s="378"/>
      <c r="H78" s="399" t="s">
        <v>267</v>
      </c>
      <c r="I78" s="378" t="s">
        <v>316</v>
      </c>
      <c r="J78" s="378"/>
      <c r="K78" s="400" t="s">
        <v>264</v>
      </c>
      <c r="L78" s="378" t="s">
        <v>327</v>
      </c>
      <c r="M78" s="378"/>
      <c r="N78" s="398" t="s">
        <v>266</v>
      </c>
      <c r="O78" s="378" t="s">
        <v>328</v>
      </c>
      <c r="P78" s="378"/>
      <c r="Q78" s="399" t="s">
        <v>267</v>
      </c>
      <c r="R78" s="378" t="s">
        <v>292</v>
      </c>
      <c r="S78" s="401"/>
    </row>
    <row r="79" spans="8:8">
      <c r="B79" s="397" t="s">
        <v>146</v>
      </c>
      <c r="C79" s="378" t="s">
        <v>329</v>
      </c>
      <c r="D79" s="378"/>
      <c r="E79" s="378"/>
      <c r="F79" s="378"/>
      <c r="G79" s="378"/>
      <c r="H79" s="378"/>
      <c r="I79" s="378"/>
      <c r="J79" s="378"/>
      <c r="K79" s="400" t="s">
        <v>146</v>
      </c>
      <c r="L79" s="378" t="s">
        <v>330</v>
      </c>
      <c r="M79" s="378"/>
      <c r="N79" s="378"/>
      <c r="O79" s="378"/>
      <c r="P79" s="378"/>
      <c r="Q79" s="378"/>
      <c r="R79" s="378"/>
      <c r="S79" s="401"/>
    </row>
    <row r="80" spans="8:8">
      <c r="B80" s="397"/>
      <c r="C80" s="378"/>
      <c r="D80" s="378"/>
      <c r="E80" s="378"/>
      <c r="F80" s="378"/>
      <c r="G80" s="378"/>
      <c r="H80" s="378"/>
      <c r="I80" s="378"/>
      <c r="J80" s="378"/>
      <c r="K80" s="400"/>
      <c r="L80" s="378"/>
      <c r="M80" s="378"/>
      <c r="N80" s="378"/>
      <c r="O80" s="378"/>
      <c r="P80" s="378"/>
      <c r="Q80" s="378"/>
      <c r="R80" s="378"/>
      <c r="S80" s="401"/>
    </row>
    <row r="81" spans="8:8">
      <c r="B81" s="397" t="s">
        <v>264</v>
      </c>
      <c r="C81" s="378" t="s">
        <v>331</v>
      </c>
      <c r="D81" s="378"/>
      <c r="E81" s="398" t="s">
        <v>266</v>
      </c>
      <c r="F81" s="378" t="s">
        <v>322</v>
      </c>
      <c r="G81" s="378"/>
      <c r="H81" s="399" t="s">
        <v>267</v>
      </c>
      <c r="I81" s="378" t="s">
        <v>287</v>
      </c>
      <c r="J81" s="378"/>
      <c r="K81" s="400" t="s">
        <v>264</v>
      </c>
      <c r="L81" s="378" t="s">
        <v>332</v>
      </c>
      <c r="M81" s="378"/>
      <c r="N81" s="398" t="s">
        <v>266</v>
      </c>
      <c r="O81" s="378" t="s">
        <v>322</v>
      </c>
      <c r="P81" s="378"/>
      <c r="Q81" s="399" t="s">
        <v>267</v>
      </c>
      <c r="R81" s="378" t="s">
        <v>287</v>
      </c>
      <c r="S81" s="401"/>
    </row>
    <row r="82" spans="8:8">
      <c r="B82" s="397" t="s">
        <v>146</v>
      </c>
      <c r="C82" s="378" t="s">
        <v>333</v>
      </c>
      <c r="D82" s="378"/>
      <c r="E82" s="378"/>
      <c r="F82" s="378"/>
      <c r="G82" s="378"/>
      <c r="H82" s="378"/>
      <c r="I82" s="378"/>
      <c r="J82" s="378"/>
      <c r="K82" s="400" t="s">
        <v>146</v>
      </c>
      <c r="L82" s="378" t="s">
        <v>334</v>
      </c>
      <c r="M82" s="378"/>
      <c r="N82" s="378"/>
      <c r="O82" s="378"/>
      <c r="P82" s="378"/>
      <c r="Q82" s="378"/>
      <c r="R82" s="378"/>
      <c r="S82" s="401"/>
    </row>
    <row r="83" spans="8:8">
      <c r="B83" s="397"/>
      <c r="C83" s="378"/>
      <c r="D83" s="378"/>
      <c r="E83" s="378"/>
      <c r="F83" s="378"/>
      <c r="G83" s="378"/>
      <c r="H83" s="378"/>
      <c r="I83" s="378"/>
      <c r="J83" s="378"/>
      <c r="K83" s="400"/>
      <c r="L83" s="378"/>
      <c r="M83" s="378"/>
      <c r="N83" s="378"/>
      <c r="O83" s="378"/>
      <c r="P83" s="378"/>
      <c r="Q83" s="378"/>
      <c r="R83" s="378"/>
      <c r="S83" s="401"/>
    </row>
    <row r="84" spans="8:8">
      <c r="B84" s="397" t="s">
        <v>264</v>
      </c>
      <c r="C84" s="378" t="s">
        <v>335</v>
      </c>
      <c r="D84" s="378"/>
      <c r="E84" s="398" t="s">
        <v>266</v>
      </c>
      <c r="F84" s="378" t="s">
        <v>328</v>
      </c>
      <c r="G84" s="378"/>
      <c r="H84" s="399" t="s">
        <v>267</v>
      </c>
      <c r="I84" s="378" t="s">
        <v>292</v>
      </c>
      <c r="J84" s="378"/>
      <c r="K84" s="400" t="s">
        <v>264</v>
      </c>
      <c r="L84" s="378" t="s">
        <v>336</v>
      </c>
      <c r="M84" s="378"/>
      <c r="N84" s="398" t="s">
        <v>266</v>
      </c>
      <c r="O84" s="378" t="s">
        <v>319</v>
      </c>
      <c r="P84" s="378"/>
      <c r="Q84" s="399" t="s">
        <v>267</v>
      </c>
      <c r="R84" s="378" t="s">
        <v>316</v>
      </c>
      <c r="S84" s="401"/>
    </row>
    <row r="85" spans="8:8">
      <c r="B85" s="397" t="s">
        <v>146</v>
      </c>
      <c r="C85" s="402" t="s">
        <v>337</v>
      </c>
      <c r="D85" s="403"/>
      <c r="E85" s="403"/>
      <c r="F85" s="403"/>
      <c r="G85" s="403"/>
      <c r="H85" s="403"/>
      <c r="I85" s="403"/>
      <c r="J85" s="404"/>
      <c r="K85" s="400" t="s">
        <v>146</v>
      </c>
      <c r="L85" s="402" t="s">
        <v>338</v>
      </c>
      <c r="M85" s="403"/>
      <c r="N85" s="403"/>
      <c r="O85" s="403"/>
      <c r="P85" s="403"/>
      <c r="Q85" s="403"/>
      <c r="R85" s="403"/>
      <c r="S85" s="405"/>
    </row>
    <row r="86" spans="8:8">
      <c r="B86" s="397"/>
      <c r="C86" s="406"/>
      <c r="D86" s="407"/>
      <c r="E86" s="407"/>
      <c r="F86" s="407"/>
      <c r="G86" s="407"/>
      <c r="H86" s="407"/>
      <c r="I86" s="407"/>
      <c r="J86" s="408"/>
      <c r="K86" s="400"/>
      <c r="L86" s="406"/>
      <c r="M86" s="407"/>
      <c r="N86" s="407"/>
      <c r="O86" s="407"/>
      <c r="P86" s="407"/>
      <c r="Q86" s="407"/>
      <c r="R86" s="407"/>
      <c r="S86" s="409"/>
    </row>
    <row r="87" spans="8:8">
      <c r="B87" s="397"/>
      <c r="C87" s="406"/>
      <c r="D87" s="407"/>
      <c r="E87" s="407"/>
      <c r="F87" s="407"/>
      <c r="G87" s="407"/>
      <c r="H87" s="407"/>
      <c r="I87" s="407"/>
      <c r="J87" s="408"/>
      <c r="K87" s="400"/>
      <c r="L87" s="406"/>
      <c r="M87" s="407"/>
      <c r="N87" s="407"/>
      <c r="O87" s="407"/>
      <c r="P87" s="407"/>
      <c r="Q87" s="407"/>
      <c r="R87" s="407"/>
      <c r="S87" s="409"/>
    </row>
    <row r="88" spans="8:8">
      <c r="B88" s="397"/>
      <c r="C88" s="410"/>
      <c r="D88" s="411"/>
      <c r="E88" s="411"/>
      <c r="F88" s="411"/>
      <c r="G88" s="411"/>
      <c r="H88" s="411"/>
      <c r="I88" s="411"/>
      <c r="J88" s="412"/>
      <c r="K88" s="400"/>
      <c r="L88" s="410"/>
      <c r="M88" s="411"/>
      <c r="N88" s="411"/>
      <c r="O88" s="411"/>
      <c r="P88" s="411"/>
      <c r="Q88" s="411"/>
      <c r="R88" s="411"/>
      <c r="S88" s="413"/>
    </row>
    <row r="89" spans="8:8">
      <c r="B89" s="397" t="s">
        <v>264</v>
      </c>
      <c r="C89" s="378" t="s">
        <v>339</v>
      </c>
      <c r="D89" s="378"/>
      <c r="E89" s="398" t="s">
        <v>266</v>
      </c>
      <c r="F89" s="378" t="s">
        <v>322</v>
      </c>
      <c r="G89" s="378"/>
      <c r="H89" s="399" t="s">
        <v>267</v>
      </c>
      <c r="I89" s="378" t="s">
        <v>316</v>
      </c>
      <c r="J89" s="378"/>
      <c r="K89" s="400" t="s">
        <v>264</v>
      </c>
      <c r="L89" s="378" t="s">
        <v>340</v>
      </c>
      <c r="M89" s="378"/>
      <c r="N89" s="398" t="s">
        <v>266</v>
      </c>
      <c r="O89" s="378" t="s">
        <v>328</v>
      </c>
      <c r="P89" s="378"/>
      <c r="Q89" s="399" t="s">
        <v>267</v>
      </c>
      <c r="R89" s="378" t="s">
        <v>341</v>
      </c>
      <c r="S89" s="401"/>
    </row>
    <row r="90" spans="8:8">
      <c r="B90" s="397" t="s">
        <v>146</v>
      </c>
      <c r="C90" s="402" t="s">
        <v>342</v>
      </c>
      <c r="D90" s="403"/>
      <c r="E90" s="403"/>
      <c r="F90" s="403"/>
      <c r="G90" s="403"/>
      <c r="H90" s="403"/>
      <c r="I90" s="403"/>
      <c r="J90" s="404"/>
      <c r="K90" s="400" t="s">
        <v>146</v>
      </c>
      <c r="L90" s="378" t="s">
        <v>343</v>
      </c>
      <c r="M90" s="378"/>
      <c r="N90" s="378"/>
      <c r="O90" s="378"/>
      <c r="P90" s="378"/>
      <c r="Q90" s="378"/>
      <c r="R90" s="378"/>
      <c r="S90" s="401"/>
    </row>
    <row r="91" spans="8:8">
      <c r="B91" s="397"/>
      <c r="C91" s="406"/>
      <c r="D91" s="407"/>
      <c r="E91" s="407"/>
      <c r="F91" s="407"/>
      <c r="G91" s="407"/>
      <c r="H91" s="407"/>
      <c r="I91" s="407"/>
      <c r="J91" s="408"/>
      <c r="K91" s="400"/>
      <c r="L91" s="378"/>
      <c r="M91" s="378"/>
      <c r="N91" s="378"/>
      <c r="O91" s="378"/>
      <c r="P91" s="378"/>
      <c r="Q91" s="378"/>
      <c r="R91" s="378"/>
      <c r="S91" s="401"/>
    </row>
    <row r="92" spans="8:8">
      <c r="B92" s="397"/>
      <c r="C92" s="406"/>
      <c r="D92" s="407"/>
      <c r="E92" s="407"/>
      <c r="F92" s="407"/>
      <c r="G92" s="407"/>
      <c r="H92" s="407"/>
      <c r="I92" s="407"/>
      <c r="J92" s="408"/>
      <c r="K92" s="400"/>
      <c r="L92" s="378"/>
      <c r="M92" s="378"/>
      <c r="N92" s="378"/>
      <c r="O92" s="378"/>
      <c r="P92" s="378"/>
      <c r="Q92" s="378"/>
      <c r="R92" s="378"/>
      <c r="S92" s="401"/>
    </row>
    <row r="93" spans="8:8">
      <c r="B93" s="397"/>
      <c r="C93" s="410"/>
      <c r="D93" s="411"/>
      <c r="E93" s="411"/>
      <c r="F93" s="411"/>
      <c r="G93" s="411"/>
      <c r="H93" s="411"/>
      <c r="I93" s="411"/>
      <c r="J93" s="412"/>
      <c r="K93" s="400"/>
      <c r="L93" s="378"/>
      <c r="M93" s="378"/>
      <c r="N93" s="378"/>
      <c r="O93" s="378"/>
      <c r="P93" s="378"/>
      <c r="Q93" s="378"/>
      <c r="R93" s="378"/>
      <c r="S93" s="401"/>
    </row>
    <row r="94" spans="8:8">
      <c r="B94" s="397" t="s">
        <v>264</v>
      </c>
      <c r="C94" s="378" t="s">
        <v>344</v>
      </c>
      <c r="D94" s="378"/>
      <c r="E94" s="398" t="s">
        <v>266</v>
      </c>
      <c r="F94" s="378" t="s">
        <v>322</v>
      </c>
      <c r="G94" s="378"/>
      <c r="H94" s="399" t="s">
        <v>267</v>
      </c>
      <c r="I94" s="378" t="s">
        <v>278</v>
      </c>
      <c r="J94" s="378"/>
      <c r="K94" s="400"/>
      <c r="L94" s="378"/>
      <c r="M94" s="378"/>
      <c r="N94" s="378"/>
      <c r="O94" s="378"/>
      <c r="P94" s="378"/>
      <c r="Q94" s="378"/>
      <c r="R94" s="378"/>
      <c r="S94" s="401"/>
    </row>
    <row r="95" spans="8:8">
      <c r="B95" s="397" t="s">
        <v>146</v>
      </c>
      <c r="C95" s="378" t="s">
        <v>345</v>
      </c>
      <c r="D95" s="378"/>
      <c r="E95" s="378"/>
      <c r="F95" s="378"/>
      <c r="G95" s="378"/>
      <c r="H95" s="378"/>
      <c r="I95" s="378"/>
      <c r="J95" s="378"/>
      <c r="K95" s="400"/>
      <c r="L95" s="378"/>
      <c r="M95" s="378"/>
      <c r="N95" s="378"/>
      <c r="O95" s="378"/>
      <c r="P95" s="378"/>
      <c r="Q95" s="378"/>
      <c r="R95" s="378"/>
      <c r="S95" s="401"/>
    </row>
    <row r="96" spans="8:8">
      <c r="B96" s="397"/>
      <c r="C96" s="378"/>
      <c r="D96" s="378"/>
      <c r="E96" s="378"/>
      <c r="F96" s="378"/>
      <c r="G96" s="378"/>
      <c r="H96" s="378"/>
      <c r="I96" s="378"/>
      <c r="J96" s="378"/>
      <c r="K96" s="400" t="s">
        <v>264</v>
      </c>
      <c r="L96" s="378" t="s">
        <v>346</v>
      </c>
      <c r="M96" s="378"/>
      <c r="N96" s="398" t="s">
        <v>266</v>
      </c>
      <c r="O96" s="378" t="s">
        <v>322</v>
      </c>
      <c r="P96" s="378"/>
      <c r="Q96" s="399" t="s">
        <v>267</v>
      </c>
      <c r="R96" s="378" t="s">
        <v>316</v>
      </c>
      <c r="S96" s="401"/>
    </row>
    <row r="97" spans="8:8">
      <c r="B97" s="397" t="s">
        <v>264</v>
      </c>
      <c r="C97" s="378" t="s">
        <v>347</v>
      </c>
      <c r="D97" s="378"/>
      <c r="E97" s="398" t="s">
        <v>266</v>
      </c>
      <c r="F97" s="378" t="s">
        <v>322</v>
      </c>
      <c r="G97" s="378"/>
      <c r="H97" s="399" t="s">
        <v>267</v>
      </c>
      <c r="I97" s="378" t="s">
        <v>348</v>
      </c>
      <c r="J97" s="378"/>
      <c r="K97" s="400" t="s">
        <v>146</v>
      </c>
      <c r="L97" s="378" t="s">
        <v>349</v>
      </c>
      <c r="M97" s="378"/>
      <c r="N97" s="378"/>
      <c r="O97" s="378"/>
      <c r="P97" s="378"/>
      <c r="Q97" s="378"/>
      <c r="R97" s="378"/>
      <c r="S97" s="401"/>
    </row>
    <row r="98" spans="8:8">
      <c r="B98" s="397" t="s">
        <v>146</v>
      </c>
      <c r="C98" s="378" t="s">
        <v>350</v>
      </c>
      <c r="D98" s="378"/>
      <c r="E98" s="378"/>
      <c r="F98" s="378"/>
      <c r="G98" s="378"/>
      <c r="H98" s="378"/>
      <c r="I98" s="378"/>
      <c r="J98" s="378"/>
      <c r="K98" s="400"/>
      <c r="L98" s="378"/>
      <c r="M98" s="378"/>
      <c r="N98" s="378"/>
      <c r="O98" s="378"/>
      <c r="P98" s="378"/>
      <c r="Q98" s="378"/>
      <c r="R98" s="378"/>
      <c r="S98" s="401"/>
    </row>
    <row r="99" spans="8:8">
      <c r="B99" s="397"/>
      <c r="C99" s="378"/>
      <c r="D99" s="378"/>
      <c r="E99" s="378"/>
      <c r="F99" s="378"/>
      <c r="G99" s="378"/>
      <c r="H99" s="378"/>
      <c r="I99" s="378"/>
      <c r="J99" s="378"/>
      <c r="K99" s="400"/>
      <c r="L99" s="378"/>
      <c r="M99" s="378"/>
      <c r="N99" s="378"/>
      <c r="O99" s="378"/>
      <c r="P99" s="378"/>
      <c r="Q99" s="378"/>
      <c r="R99" s="378"/>
      <c r="S99" s="401"/>
    </row>
    <row r="100" spans="8:8">
      <c r="B100" s="397"/>
      <c r="C100" s="378"/>
      <c r="D100" s="378"/>
      <c r="E100" s="378"/>
      <c r="F100" s="378"/>
      <c r="G100" s="378"/>
      <c r="H100" s="378"/>
      <c r="I100" s="378"/>
      <c r="J100" s="378"/>
      <c r="K100" s="400"/>
      <c r="L100" s="378"/>
      <c r="M100" s="378"/>
      <c r="N100" s="378"/>
      <c r="O100" s="378"/>
      <c r="P100" s="378"/>
      <c r="Q100" s="378"/>
      <c r="R100" s="378"/>
      <c r="S100" s="401"/>
    </row>
    <row r="101" spans="8:8">
      <c r="B101" s="397"/>
      <c r="C101" s="378"/>
      <c r="D101" s="378"/>
      <c r="E101" s="378"/>
      <c r="F101" s="378"/>
      <c r="G101" s="378"/>
      <c r="H101" s="378"/>
      <c r="I101" s="378"/>
      <c r="J101" s="378"/>
      <c r="K101" s="400" t="s">
        <v>264</v>
      </c>
      <c r="L101" s="378" t="s">
        <v>351</v>
      </c>
      <c r="M101" s="378"/>
      <c r="N101" s="398" t="s">
        <v>266</v>
      </c>
      <c r="O101" s="378" t="s">
        <v>322</v>
      </c>
      <c r="P101" s="378"/>
      <c r="Q101" s="399" t="s">
        <v>267</v>
      </c>
      <c r="R101" s="378" t="s">
        <v>316</v>
      </c>
      <c r="S101" s="401"/>
    </row>
    <row r="102" spans="8:8">
      <c r="B102" s="397" t="s">
        <v>272</v>
      </c>
      <c r="C102" s="378" t="s">
        <v>352</v>
      </c>
      <c r="D102" s="378"/>
      <c r="E102" s="378"/>
      <c r="F102" s="378"/>
      <c r="G102" s="378"/>
      <c r="H102" s="378"/>
      <c r="I102" s="378"/>
      <c r="J102" s="378"/>
      <c r="K102" s="400" t="s">
        <v>146</v>
      </c>
      <c r="L102" s="378" t="s">
        <v>353</v>
      </c>
      <c r="M102" s="378"/>
      <c r="N102" s="378"/>
      <c r="O102" s="378"/>
      <c r="P102" s="378"/>
      <c r="Q102" s="378"/>
      <c r="R102" s="378"/>
      <c r="S102" s="401"/>
    </row>
    <row r="103" spans="8:8" ht="16.35">
      <c r="B103" s="414"/>
      <c r="C103" s="415"/>
      <c r="D103" s="415"/>
      <c r="E103" s="415"/>
      <c r="F103" s="415"/>
      <c r="G103" s="415"/>
      <c r="H103" s="415"/>
      <c r="I103" s="415"/>
      <c r="J103" s="415"/>
      <c r="K103" s="400"/>
      <c r="L103" s="378"/>
      <c r="M103" s="378"/>
      <c r="N103" s="378"/>
      <c r="O103" s="378"/>
      <c r="P103" s="378"/>
      <c r="Q103" s="378"/>
      <c r="R103" s="378"/>
      <c r="S103" s="401"/>
    </row>
    <row r="104" spans="8:8">
      <c r="K104" s="397"/>
      <c r="L104" s="378"/>
      <c r="M104" s="378"/>
      <c r="N104" s="378"/>
      <c r="O104" s="378"/>
      <c r="P104" s="378"/>
      <c r="Q104" s="378"/>
      <c r="R104" s="378"/>
      <c r="S104" s="401"/>
    </row>
    <row r="105" spans="8:8" ht="16.35">
      <c r="K105" s="414"/>
      <c r="L105" s="415"/>
      <c r="M105" s="415"/>
      <c r="N105" s="415"/>
      <c r="O105" s="415"/>
      <c r="P105" s="415"/>
      <c r="Q105" s="415"/>
      <c r="R105" s="415"/>
      <c r="S105" s="416"/>
    </row>
  </sheetData>
  <mergeCells count="201">
    <mergeCell ref="D4:S4"/>
    <mergeCell ref="I36:J36"/>
    <mergeCell ref="D8:S8"/>
    <mergeCell ref="D9:S9"/>
    <mergeCell ref="D11:S11"/>
    <mergeCell ref="D10:S10"/>
    <mergeCell ref="D22:S22"/>
    <mergeCell ref="C36:D36"/>
    <mergeCell ref="B102:B103"/>
    <mergeCell ref="K62:K63"/>
    <mergeCell ref="R81:S81"/>
    <mergeCell ref="K102:K105"/>
    <mergeCell ref="L56:M56"/>
    <mergeCell ref="D3:S3"/>
    <mergeCell ref="B2:C2"/>
    <mergeCell ref="L96:M96"/>
    <mergeCell ref="B65:B66"/>
    <mergeCell ref="O61:P61"/>
    <mergeCell ref="R96:S96"/>
    <mergeCell ref="L85:S88"/>
    <mergeCell ref="D2:S2"/>
    <mergeCell ref="B35:J35"/>
    <mergeCell ref="O36:P36"/>
    <mergeCell ref="B90:B93"/>
    <mergeCell ref="K74:S74"/>
    <mergeCell ref="K65:K68"/>
    <mergeCell ref="I75:J75"/>
    <mergeCell ref="B54:B55"/>
    <mergeCell ref="C90:J93"/>
    <mergeCell ref="C98:J101"/>
    <mergeCell ref="D5:S5"/>
    <mergeCell ref="O50:P50"/>
    <mergeCell ref="B34:J34"/>
    <mergeCell ref="R89:S89"/>
    <mergeCell ref="O47:P47"/>
    <mergeCell ref="F78:G78"/>
    <mergeCell ref="I53:J53"/>
    <mergeCell ref="D12:S12"/>
    <mergeCell ref="D31:S31"/>
    <mergeCell ref="D20:S20"/>
    <mergeCell ref="K46:S46"/>
    <mergeCell ref="K34:S34"/>
    <mergeCell ref="D30:S30"/>
    <mergeCell ref="B50:B51"/>
    <mergeCell ref="K48:K49"/>
    <mergeCell ref="O96:P96"/>
    <mergeCell ref="R69:S69"/>
    <mergeCell ref="O84:P84"/>
    <mergeCell ref="L84:M84"/>
    <mergeCell ref="L89:M89"/>
    <mergeCell ref="L62:S63"/>
    <mergeCell ref="O78:P78"/>
    <mergeCell ref="R41:S41"/>
    <mergeCell ref="D7:S7"/>
    <mergeCell ref="C41:J42"/>
    <mergeCell ref="C39:J39"/>
    <mergeCell ref="K42:K45"/>
    <mergeCell ref="B95:B96"/>
    <mergeCell ref="L64:M64"/>
    <mergeCell ref="R84:S84"/>
    <mergeCell ref="L82:S83"/>
    <mergeCell ref="L79:S80"/>
    <mergeCell ref="O41:P41"/>
    <mergeCell ref="C78:D78"/>
    <mergeCell ref="B74:J74"/>
    <mergeCell ref="L47:M47"/>
    <mergeCell ref="C81:D81"/>
    <mergeCell ref="I94:J94"/>
    <mergeCell ref="C63:J63"/>
    <mergeCell ref="K57:K60"/>
    <mergeCell ref="L75:M75"/>
    <mergeCell ref="C71:J71"/>
    <mergeCell ref="C47:J47"/>
    <mergeCell ref="R78:S78"/>
    <mergeCell ref="F94:G94"/>
    <mergeCell ref="O64:P64"/>
    <mergeCell ref="C82:J83"/>
    <mergeCell ref="C56:J56"/>
    <mergeCell ref="I89:J89"/>
    <mergeCell ref="L55:S55"/>
    <mergeCell ref="C94:D94"/>
    <mergeCell ref="C64:J64"/>
    <mergeCell ref="B58:B61"/>
    <mergeCell ref="L81:M81"/>
    <mergeCell ref="O75:P75"/>
    <mergeCell ref="C102:J103"/>
    <mergeCell ref="L50:M50"/>
    <mergeCell ref="D6:S6"/>
    <mergeCell ref="R36:S36"/>
    <mergeCell ref="R47:S47"/>
    <mergeCell ref="C84:D84"/>
    <mergeCell ref="F89:G89"/>
    <mergeCell ref="R64:S64"/>
    <mergeCell ref="B45:B46"/>
    <mergeCell ref="I78:J78"/>
    <mergeCell ref="B41:B42"/>
    <mergeCell ref="F68:G68"/>
    <mergeCell ref="K51:K54"/>
    <mergeCell ref="C75:D75"/>
    <mergeCell ref="C45:J46"/>
    <mergeCell ref="I57:J57"/>
    <mergeCell ref="F84:G84"/>
    <mergeCell ref="F53:G53"/>
    <mergeCell ref="K85:K88"/>
    <mergeCell ref="F81:G81"/>
    <mergeCell ref="I68:J68"/>
    <mergeCell ref="L41:M41"/>
    <mergeCell ref="O81:P81"/>
    <mergeCell ref="K79:K80"/>
    <mergeCell ref="C44:D44"/>
    <mergeCell ref="F40:G40"/>
    <mergeCell ref="B76:B77"/>
    <mergeCell ref="B85:B88"/>
    <mergeCell ref="C62:J62"/>
    <mergeCell ref="F49:G49"/>
    <mergeCell ref="B73:S73"/>
    <mergeCell ref="O56:P56"/>
    <mergeCell ref="C54:J55"/>
    <mergeCell ref="L97:S100"/>
    <mergeCell ref="K35:S35"/>
    <mergeCell ref="D14:S14"/>
    <mergeCell ref="D26:S26"/>
    <mergeCell ref="D18:S18"/>
    <mergeCell ref="D21:S21"/>
    <mergeCell ref="D19:S19"/>
    <mergeCell ref="D28:S28"/>
    <mergeCell ref="C40:D40"/>
    <mergeCell ref="C79:J80"/>
    <mergeCell ref="K37:K40"/>
    <mergeCell ref="L78:M78"/>
    <mergeCell ref="B67:J67"/>
    <mergeCell ref="I84:J84"/>
    <mergeCell ref="B98:B101"/>
    <mergeCell ref="L51:S54"/>
    <mergeCell ref="L70:S71"/>
    <mergeCell ref="C57:D57"/>
    <mergeCell ref="L61:M61"/>
    <mergeCell ref="L69:M69"/>
    <mergeCell ref="R61:S61"/>
    <mergeCell ref="L102:S105"/>
    <mergeCell ref="C50:J51"/>
    <mergeCell ref="K82:K83"/>
    <mergeCell ref="O69:P69"/>
    <mergeCell ref="L48:S49"/>
    <mergeCell ref="L36:M36"/>
    <mergeCell ref="B69:B70"/>
    <mergeCell ref="C76:J77"/>
    <mergeCell ref="B37:B38"/>
    <mergeCell ref="D15:S15"/>
    <mergeCell ref="C97:D97"/>
    <mergeCell ref="I49:J49"/>
    <mergeCell ref="C49:D49"/>
    <mergeCell ref="C58:J61"/>
    <mergeCell ref="C68:D68"/>
    <mergeCell ref="F57:G57"/>
    <mergeCell ref="C95:J96"/>
    <mergeCell ref="K97:K100"/>
    <mergeCell ref="R50:S50"/>
    <mergeCell ref="I97:J97"/>
    <mergeCell ref="B82:B83"/>
    <mergeCell ref="L37:S40"/>
    <mergeCell ref="D16:S16"/>
    <mergeCell ref="D13:S13"/>
    <mergeCell ref="B33:S33"/>
    <mergeCell ref="F97:G97"/>
    <mergeCell ref="B79:B80"/>
    <mergeCell ref="R101:S101"/>
    <mergeCell ref="K90:K95"/>
    <mergeCell ref="L90:S95"/>
    <mergeCell ref="O89:P89"/>
    <mergeCell ref="C52:J52"/>
    <mergeCell ref="L101:M101"/>
    <mergeCell ref="L76:S77"/>
    <mergeCell ref="D17:S17"/>
    <mergeCell ref="C37:J38"/>
    <mergeCell ref="L65:S68"/>
    <mergeCell ref="B48:J48"/>
    <mergeCell ref="F44:G44"/>
    <mergeCell ref="C69:J70"/>
    <mergeCell ref="C65:J66"/>
    <mergeCell ref="L57:S60"/>
    <mergeCell ref="C53:D53"/>
    <mergeCell ref="I44:J44"/>
    <mergeCell ref="D24:S24"/>
    <mergeCell ref="I40:J40"/>
    <mergeCell ref="F36:G36"/>
    <mergeCell ref="D27:S27"/>
    <mergeCell ref="D29:S29"/>
    <mergeCell ref="D25:S25"/>
    <mergeCell ref="D23:S23"/>
    <mergeCell ref="L42:S45"/>
    <mergeCell ref="C43:J43"/>
    <mergeCell ref="R56:S56"/>
    <mergeCell ref="K70:K71"/>
    <mergeCell ref="F75:G75"/>
    <mergeCell ref="O101:P101"/>
    <mergeCell ref="C85:J88"/>
    <mergeCell ref="K76:K77"/>
    <mergeCell ref="R75:S75"/>
    <mergeCell ref="C89:D89"/>
    <mergeCell ref="I81:J81"/>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T84"/>
  <sheetViews>
    <sheetView workbookViewId="0">
      <pane ySplit="1" topLeftCell="A2" state="frozen" activePane="bottomLeft"/>
      <selection pane="bottomLeft" activeCell="P5" sqref="P5"/>
    </sheetView>
  </sheetViews>
  <sheetFormatPr defaultRowHeight="15.6" defaultColWidth="9"/>
  <cols>
    <col min="2" max="2" customWidth="1" width="11.5" style="0"/>
  </cols>
  <sheetData>
    <row r="1" spans="8:8">
      <c r="A1" s="417" t="s">
        <v>168</v>
      </c>
      <c r="B1" s="418" t="s">
        <v>354</v>
      </c>
      <c r="C1" s="419"/>
      <c r="D1" s="420" t="s">
        <v>46</v>
      </c>
      <c r="E1" s="421"/>
      <c r="G1" s="422" t="s">
        <v>41</v>
      </c>
      <c r="H1" s="423" t="s">
        <v>355</v>
      </c>
      <c r="I1" s="423" t="s">
        <v>356</v>
      </c>
      <c r="J1" s="424" t="s">
        <v>357</v>
      </c>
      <c r="K1" s="424" t="s">
        <v>358</v>
      </c>
      <c r="L1" s="424" t="s">
        <v>359</v>
      </c>
      <c r="M1" s="423" t="s">
        <v>360</v>
      </c>
    </row>
    <row r="2" spans="8:8">
      <c r="A2" s="425">
        <v>10.0</v>
      </c>
      <c r="B2" s="426">
        <v>12.0</v>
      </c>
      <c r="C2" s="419"/>
      <c r="D2" s="427" t="s">
        <v>135</v>
      </c>
      <c r="E2" s="428"/>
      <c r="G2" s="429" t="s">
        <v>50</v>
      </c>
      <c r="H2">
        <v>0.0</v>
      </c>
      <c r="I2">
        <v>0.0</v>
      </c>
      <c r="J2">
        <v>0.0</v>
      </c>
      <c r="K2">
        <v>10.0</v>
      </c>
      <c r="L2">
        <v>0.0</v>
      </c>
      <c r="M2">
        <v>10.0</v>
      </c>
    </row>
    <row r="3" spans="8:8">
      <c r="A3" s="425">
        <v>20.0</v>
      </c>
      <c r="B3" s="426">
        <v>16.0</v>
      </c>
      <c r="C3" s="419"/>
      <c r="D3" s="427" t="s">
        <v>361</v>
      </c>
      <c r="E3" s="428"/>
      <c r="G3" s="429" t="s">
        <v>174</v>
      </c>
      <c r="H3">
        <v>15.0</v>
      </c>
      <c r="I3">
        <v>15.0</v>
      </c>
      <c r="J3">
        <v>15.0</v>
      </c>
      <c r="K3">
        <v>0.0</v>
      </c>
      <c r="L3">
        <v>0.0</v>
      </c>
      <c r="M3">
        <v>0.0</v>
      </c>
    </row>
    <row r="4" spans="8:8">
      <c r="A4" s="425">
        <v>30.0</v>
      </c>
      <c r="B4" s="426">
        <v>20.0</v>
      </c>
      <c r="C4" s="419"/>
      <c r="D4" s="427" t="s">
        <v>362</v>
      </c>
      <c r="E4" s="428"/>
      <c r="G4" s="429" t="s">
        <v>179</v>
      </c>
      <c r="H4">
        <v>0.0</v>
      </c>
      <c r="I4">
        <v>0.0</v>
      </c>
      <c r="J4">
        <v>0.0</v>
      </c>
      <c r="K4">
        <v>0.0</v>
      </c>
      <c r="L4">
        <v>30.0</v>
      </c>
      <c r="M4">
        <v>0.0</v>
      </c>
    </row>
    <row r="5" spans="8:8">
      <c r="A5" s="425">
        <v>40.0</v>
      </c>
      <c r="B5" s="426">
        <v>24.0</v>
      </c>
      <c r="C5" s="419"/>
      <c r="D5" s="427" t="s">
        <v>363</v>
      </c>
      <c r="E5" s="428"/>
      <c r="G5" s="429" t="s">
        <v>183</v>
      </c>
      <c r="H5">
        <v>0.0</v>
      </c>
      <c r="I5">
        <v>15.0</v>
      </c>
      <c r="J5">
        <v>0.0</v>
      </c>
      <c r="K5">
        <v>15.0</v>
      </c>
      <c r="L5">
        <v>0.0</v>
      </c>
      <c r="M5">
        <v>0.0</v>
      </c>
    </row>
    <row r="6" spans="8:8">
      <c r="A6" s="429"/>
      <c r="B6" s="430"/>
      <c r="C6" s="419"/>
      <c r="D6" s="427" t="s">
        <v>364</v>
      </c>
      <c r="E6" s="428"/>
      <c r="G6" s="431"/>
      <c r="H6" s="432">
        <v>0.0</v>
      </c>
      <c r="I6" s="432">
        <v>0.0</v>
      </c>
      <c r="J6" s="432">
        <v>0.0</v>
      </c>
      <c r="K6" s="432">
        <v>0.0</v>
      </c>
      <c r="L6" s="432">
        <v>0.0</v>
      </c>
      <c r="M6" s="432">
        <v>0.0</v>
      </c>
    </row>
    <row r="7" spans="8:8">
      <c r="A7" s="429"/>
      <c r="B7" s="430"/>
      <c r="C7" s="419"/>
      <c r="D7" s="427" t="s">
        <v>365</v>
      </c>
      <c r="E7" s="428"/>
      <c r="G7" s="433"/>
      <c r="H7" s="432">
        <v>0.0</v>
      </c>
      <c r="I7" s="432">
        <v>0.0</v>
      </c>
      <c r="J7" s="432">
        <v>0.0</v>
      </c>
      <c r="K7" s="432">
        <v>0.0</v>
      </c>
      <c r="L7" s="432">
        <v>0.0</v>
      </c>
      <c r="M7" s="432">
        <v>0.0</v>
      </c>
    </row>
    <row r="8" spans="8:8">
      <c r="A8" s="429"/>
      <c r="B8" s="430"/>
      <c r="C8" s="419"/>
      <c r="D8" s="427" t="s">
        <v>366</v>
      </c>
      <c r="E8" s="428"/>
      <c r="G8" s="434"/>
      <c r="H8" s="432">
        <v>0.0</v>
      </c>
      <c r="I8" s="432">
        <v>0.0</v>
      </c>
      <c r="J8" s="432">
        <v>0.0</v>
      </c>
      <c r="K8" s="432">
        <v>0.0</v>
      </c>
      <c r="L8" s="432">
        <v>0.0</v>
      </c>
      <c r="M8" s="432">
        <v>0.0</v>
      </c>
    </row>
    <row r="9" spans="8:8">
      <c r="A9" s="435"/>
      <c r="B9" s="436"/>
      <c r="C9" s="419"/>
      <c r="D9" s="427" t="s">
        <v>367</v>
      </c>
      <c r="E9" s="428"/>
      <c r="G9" s="434"/>
      <c r="H9" s="432">
        <v>0.0</v>
      </c>
      <c r="I9" s="432">
        <v>0.0</v>
      </c>
      <c r="J9" s="432">
        <v>0.0</v>
      </c>
      <c r="K9" s="432">
        <v>0.0</v>
      </c>
      <c r="L9" s="432">
        <v>0.0</v>
      </c>
      <c r="M9" s="432">
        <v>0.0</v>
      </c>
    </row>
    <row r="10" spans="8:8">
      <c r="A10" s="437"/>
      <c r="B10" s="438" t="s">
        <v>99</v>
      </c>
      <c r="C10" s="419"/>
      <c r="D10" s="427" t="s">
        <v>368</v>
      </c>
      <c r="E10" s="428"/>
      <c r="G10" s="434"/>
      <c r="H10" s="432">
        <v>0.0</v>
      </c>
      <c r="I10" s="432">
        <v>0.0</v>
      </c>
      <c r="J10" s="432">
        <v>0.0</v>
      </c>
      <c r="K10" s="432">
        <v>0.0</v>
      </c>
      <c r="L10" s="432">
        <v>0.0</v>
      </c>
      <c r="M10" s="432">
        <v>0.0</v>
      </c>
    </row>
    <row r="11" spans="8:8">
      <c r="A11" s="437"/>
      <c r="B11" s="438" t="s">
        <v>99</v>
      </c>
      <c r="C11" s="419"/>
      <c r="D11" s="427" t="s">
        <v>369</v>
      </c>
      <c r="E11" s="428"/>
      <c r="G11" s="434"/>
      <c r="H11" s="432">
        <v>0.0</v>
      </c>
      <c r="I11" s="432">
        <v>0.0</v>
      </c>
      <c r="J11" s="432">
        <v>0.0</v>
      </c>
      <c r="K11" s="432">
        <v>0.0</v>
      </c>
      <c r="L11" s="432">
        <v>0.0</v>
      </c>
      <c r="M11" s="432">
        <v>0.0</v>
      </c>
    </row>
    <row r="12" spans="8:8">
      <c r="A12" s="437"/>
      <c r="B12" s="438" t="s">
        <v>99</v>
      </c>
      <c r="C12" s="419"/>
      <c r="D12" s="427" t="s">
        <v>370</v>
      </c>
      <c r="E12" s="428"/>
      <c r="G12" s="434"/>
      <c r="H12" s="432">
        <v>0.0</v>
      </c>
      <c r="I12" s="432">
        <v>0.0</v>
      </c>
      <c r="J12" s="432">
        <v>0.0</v>
      </c>
      <c r="K12" s="432">
        <v>0.0</v>
      </c>
      <c r="L12" s="432">
        <v>0.0</v>
      </c>
      <c r="M12" s="432">
        <v>0.0</v>
      </c>
    </row>
    <row r="13" spans="8:8">
      <c r="A13" s="437"/>
      <c r="B13" s="438" t="s">
        <v>99</v>
      </c>
      <c r="C13" s="419"/>
      <c r="D13" s="427" t="s">
        <v>371</v>
      </c>
      <c r="E13" s="428"/>
      <c r="G13" s="434"/>
      <c r="H13" s="432">
        <v>0.0</v>
      </c>
      <c r="I13" s="432">
        <v>0.0</v>
      </c>
      <c r="J13" s="432">
        <v>0.0</v>
      </c>
      <c r="K13" s="432">
        <v>0.0</v>
      </c>
      <c r="L13" s="432">
        <v>0.0</v>
      </c>
      <c r="M13" s="432">
        <v>0.0</v>
      </c>
    </row>
    <row r="14" spans="8:8" ht="16.35">
      <c r="A14" s="439"/>
      <c r="B14" s="440" t="s">
        <v>99</v>
      </c>
      <c r="C14" s="419"/>
      <c r="D14" s="441" t="s">
        <v>372</v>
      </c>
      <c r="E14" s="442"/>
      <c r="G14" s="434"/>
      <c r="H14" s="432">
        <v>0.0</v>
      </c>
      <c r="I14" s="432">
        <v>0.0</v>
      </c>
      <c r="J14" s="432">
        <v>0.0</v>
      </c>
      <c r="K14" s="432">
        <v>0.0</v>
      </c>
      <c r="L14" s="432">
        <v>0.0</v>
      </c>
      <c r="M14" s="432">
        <v>0.0</v>
      </c>
    </row>
    <row r="15" spans="8:8">
      <c r="A15" s="419"/>
      <c r="B15" s="419"/>
      <c r="C15" s="419"/>
      <c r="D15" s="441" t="s">
        <v>372</v>
      </c>
      <c r="E15" s="442"/>
      <c r="G15" s="434"/>
      <c r="H15" s="432">
        <v>0.0</v>
      </c>
      <c r="I15" s="432">
        <v>0.0</v>
      </c>
      <c r="J15" s="432">
        <v>0.0</v>
      </c>
      <c r="K15" s="432">
        <v>0.0</v>
      </c>
      <c r="L15" s="432">
        <v>0.0</v>
      </c>
      <c r="M15" s="432">
        <v>0.0</v>
      </c>
    </row>
    <row r="16" spans="8:8" ht="16.35">
      <c r="A16" s="419"/>
      <c r="B16" s="419"/>
      <c r="C16" s="419"/>
      <c r="D16" s="441" t="s">
        <v>372</v>
      </c>
      <c r="E16" s="442"/>
      <c r="G16" s="443"/>
      <c r="H16" s="432">
        <v>0.0</v>
      </c>
      <c r="I16" s="432">
        <v>0.0</v>
      </c>
      <c r="J16" s="432">
        <v>0.0</v>
      </c>
      <c r="K16" s="432">
        <v>0.0</v>
      </c>
      <c r="L16" s="432">
        <v>0.0</v>
      </c>
      <c r="M16" s="432">
        <v>0.0</v>
      </c>
    </row>
    <row r="17" spans="8:8">
      <c r="A17" s="444" t="s">
        <v>373</v>
      </c>
      <c r="B17" s="445" t="s">
        <v>374</v>
      </c>
      <c r="C17" s="445" t="s">
        <v>64</v>
      </c>
      <c r="D17" s="441" t="s">
        <v>372</v>
      </c>
      <c r="E17" s="442"/>
      <c r="G17" s="443"/>
      <c r="H17" s="432">
        <v>0.0</v>
      </c>
      <c r="I17" s="432">
        <v>0.0</v>
      </c>
      <c r="J17" s="432">
        <v>0.0</v>
      </c>
      <c r="K17" s="432">
        <v>0.0</v>
      </c>
      <c r="L17" s="432">
        <v>0.0</v>
      </c>
      <c r="M17" s="432">
        <v>0.0</v>
      </c>
    </row>
    <row r="18" spans="8:8">
      <c r="A18" s="435" t="s">
        <v>99</v>
      </c>
      <c r="B18" s="446" t="s">
        <v>375</v>
      </c>
      <c r="C18" s="419" t="s">
        <v>99</v>
      </c>
      <c r="D18" s="441" t="s">
        <v>372</v>
      </c>
      <c r="E18" s="442"/>
      <c r="G18" s="443"/>
      <c r="H18" s="432">
        <v>0.0</v>
      </c>
      <c r="I18" s="432">
        <v>0.0</v>
      </c>
      <c r="J18" s="432">
        <v>0.0</v>
      </c>
      <c r="K18" s="432">
        <v>0.0</v>
      </c>
      <c r="L18" s="432">
        <v>0.0</v>
      </c>
      <c r="M18" s="432">
        <v>0.0</v>
      </c>
    </row>
    <row r="19" spans="8:8" ht="16.35">
      <c r="A19" s="447">
        <v>1.0</v>
      </c>
      <c r="B19" s="448" t="s">
        <v>151</v>
      </c>
      <c r="C19" s="446" t="s">
        <v>181</v>
      </c>
      <c r="D19" s="441" t="s">
        <v>372</v>
      </c>
      <c r="E19" s="442"/>
      <c r="G19" s="449"/>
      <c r="H19" s="450">
        <v>0.0</v>
      </c>
      <c r="I19" s="450">
        <v>0.0</v>
      </c>
      <c r="J19" s="450">
        <v>0.0</v>
      </c>
      <c r="K19" s="450">
        <v>0.0</v>
      </c>
      <c r="L19" s="450">
        <v>0.0</v>
      </c>
      <c r="M19" s="450">
        <v>0.0</v>
      </c>
    </row>
    <row r="20" spans="8:8">
      <c r="A20" s="447">
        <v>2.0</v>
      </c>
      <c r="B20" s="448" t="s">
        <v>145</v>
      </c>
      <c r="C20" s="446" t="s">
        <v>184</v>
      </c>
      <c r="D20" s="441" t="s">
        <v>372</v>
      </c>
      <c r="E20" s="442"/>
    </row>
    <row r="21" spans="8:8">
      <c r="A21" s="447">
        <v>3.0</v>
      </c>
      <c r="B21" s="448" t="s">
        <v>376</v>
      </c>
      <c r="C21" s="446" t="s">
        <v>190</v>
      </c>
      <c r="D21" s="441" t="s">
        <v>372</v>
      </c>
      <c r="E21" s="442"/>
    </row>
    <row r="22" spans="8:8">
      <c r="A22" s="447">
        <v>4.0</v>
      </c>
      <c r="B22" s="448" t="s">
        <v>377</v>
      </c>
      <c r="C22" s="446" t="s">
        <v>190</v>
      </c>
      <c r="D22" s="441" t="s">
        <v>372</v>
      </c>
      <c r="E22" s="442"/>
      <c r="G22" t="s">
        <v>378</v>
      </c>
    </row>
    <row r="23" spans="8:8">
      <c r="A23" s="447">
        <v>5.0</v>
      </c>
      <c r="B23" s="446" t="s">
        <v>379</v>
      </c>
      <c r="C23" s="446" t="s">
        <v>181</v>
      </c>
      <c r="D23" s="441" t="s">
        <v>372</v>
      </c>
      <c r="E23" s="442"/>
      <c r="G23" t="s">
        <v>195</v>
      </c>
      <c r="H23">
        <v>10.0</v>
      </c>
    </row>
    <row r="24" spans="8:8">
      <c r="A24" s="447">
        <v>6.0</v>
      </c>
      <c r="B24" s="446" t="s">
        <v>380</v>
      </c>
      <c r="C24" s="446" t="s">
        <v>184</v>
      </c>
      <c r="D24" s="441" t="s">
        <v>372</v>
      </c>
      <c r="E24" s="442"/>
      <c r="G24" t="s">
        <v>222</v>
      </c>
      <c r="H24">
        <v>9.0</v>
      </c>
    </row>
    <row r="25" spans="8:8" ht="14.25" customHeight="1">
      <c r="A25" s="447">
        <v>7.0</v>
      </c>
      <c r="B25" s="446" t="s">
        <v>381</v>
      </c>
      <c r="C25" s="446" t="s">
        <v>190</v>
      </c>
      <c r="D25" s="441" t="s">
        <v>372</v>
      </c>
      <c r="E25" s="442"/>
      <c r="F25" s="7"/>
      <c r="G25" t="s">
        <v>217</v>
      </c>
      <c r="H25">
        <v>7.0</v>
      </c>
    </row>
    <row r="26" spans="8:8" ht="15.0" customHeight="1">
      <c r="A26" s="451">
        <v>8.0</v>
      </c>
      <c r="B26" s="452" t="s">
        <v>382</v>
      </c>
      <c r="C26" s="452" t="s">
        <v>190</v>
      </c>
      <c r="D26" s="441" t="s">
        <v>372</v>
      </c>
      <c r="E26" s="442"/>
      <c r="F26" s="7"/>
      <c r="G26" t="s">
        <v>190</v>
      </c>
      <c r="H26">
        <v>5.0</v>
      </c>
    </row>
    <row r="27" spans="8:8" ht="14.25" customHeight="1">
      <c r="A27" s="419"/>
      <c r="B27" s="419"/>
      <c r="C27" s="419"/>
      <c r="D27" s="453" t="s">
        <v>372</v>
      </c>
      <c r="E27" s="454"/>
      <c r="F27" s="455"/>
      <c r="G27" t="s">
        <v>221</v>
      </c>
      <c r="H27">
        <v>8.0</v>
      </c>
    </row>
    <row r="28" spans="8:8" ht="15.0" customHeight="1">
      <c r="A28" s="419"/>
      <c r="B28" s="419"/>
      <c r="C28" s="419"/>
      <c r="D28" s="453" t="s">
        <v>372</v>
      </c>
      <c r="E28" s="454"/>
      <c r="G28" t="s">
        <v>216</v>
      </c>
      <c r="H28">
        <v>6.0</v>
      </c>
    </row>
    <row r="29" spans="8:8" ht="14.25" customHeight="1">
      <c r="A29" s="419"/>
      <c r="B29" s="419"/>
      <c r="C29" s="419"/>
      <c r="D29" s="453" t="s">
        <v>372</v>
      </c>
      <c r="E29" s="454"/>
      <c r="G29" t="s">
        <v>184</v>
      </c>
      <c r="H29">
        <v>4.0</v>
      </c>
    </row>
    <row r="30" spans="8:8">
      <c r="A30" s="419"/>
      <c r="B30" s="419"/>
      <c r="C30" s="419"/>
      <c r="D30" s="453" t="s">
        <v>372</v>
      </c>
      <c r="E30" s="454"/>
      <c r="G30" t="s">
        <v>220</v>
      </c>
      <c r="H30">
        <v>7.0</v>
      </c>
    </row>
    <row r="31" spans="8:8">
      <c r="A31" s="419"/>
      <c r="B31" s="419"/>
      <c r="C31" s="419"/>
      <c r="D31" s="453" t="s">
        <v>372</v>
      </c>
      <c r="E31" s="454"/>
      <c r="G31" t="s">
        <v>215</v>
      </c>
      <c r="H31">
        <v>5.0</v>
      </c>
    </row>
    <row r="32" spans="8:8">
      <c r="A32" s="419"/>
      <c r="B32" s="419"/>
      <c r="C32" s="419"/>
      <c r="D32" s="453" t="s">
        <v>372</v>
      </c>
      <c r="E32" s="454"/>
      <c r="G32" t="s">
        <v>181</v>
      </c>
      <c r="H32">
        <v>3.0</v>
      </c>
    </row>
    <row r="33" spans="8:8" ht="14.25" customHeight="1">
      <c r="A33" s="419"/>
      <c r="B33" s="419"/>
      <c r="C33" s="419"/>
      <c r="D33" s="453" t="s">
        <v>372</v>
      </c>
      <c r="E33" s="454"/>
      <c r="G33" t="s">
        <v>219</v>
      </c>
      <c r="H33">
        <v>6.0</v>
      </c>
    </row>
    <row r="34" spans="8:8" ht="16.35">
      <c r="A34" s="419"/>
      <c r="B34" s="419"/>
      <c r="C34" s="419"/>
      <c r="D34" s="456" t="s">
        <v>372</v>
      </c>
      <c r="E34" s="457"/>
      <c r="G34" t="s">
        <v>214</v>
      </c>
      <c r="H34">
        <v>4.0</v>
      </c>
    </row>
    <row r="35" spans="8:8">
      <c r="A35" s="419"/>
      <c r="B35" s="419"/>
      <c r="C35" s="419"/>
      <c r="G35" t="s">
        <v>175</v>
      </c>
      <c r="H35">
        <v>2.0</v>
      </c>
    </row>
    <row r="36" spans="8:8">
      <c r="A36" s="419"/>
      <c r="B36" s="419"/>
      <c r="C36" s="419"/>
      <c r="G36" t="s">
        <v>218</v>
      </c>
      <c r="H36">
        <v>5.0</v>
      </c>
    </row>
    <row r="37" spans="8:8" ht="14.25" customHeight="1">
      <c r="A37" s="419"/>
      <c r="B37" s="419"/>
      <c r="C37" s="419"/>
      <c r="G37" t="s">
        <v>213</v>
      </c>
      <c r="H37">
        <v>3.0</v>
      </c>
    </row>
    <row r="38" spans="8:8">
      <c r="A38" s="419"/>
      <c r="B38" s="419"/>
      <c r="C38" s="419"/>
      <c r="G38" t="s">
        <v>171</v>
      </c>
      <c r="H38">
        <v>1.0</v>
      </c>
    </row>
    <row r="39" spans="8:8">
      <c r="A39" s="419"/>
      <c r="B39" s="419"/>
      <c r="C39" s="419"/>
    </row>
    <row r="40" spans="8:8">
      <c r="A40" s="419"/>
      <c r="B40" s="419"/>
      <c r="C40" s="419"/>
    </row>
    <row r="41" spans="8:8" ht="14.25" customHeight="1">
      <c r="A41" s="419"/>
      <c r="B41" s="419"/>
      <c r="C41" s="419"/>
    </row>
    <row r="42" spans="8:8">
      <c r="A42" s="419"/>
      <c r="B42" s="419"/>
      <c r="C42" s="419"/>
    </row>
    <row r="43" spans="8:8">
      <c r="A43" s="419"/>
      <c r="B43" s="419"/>
      <c r="C43" s="419"/>
    </row>
    <row r="44" spans="8:8">
      <c r="A44" s="419"/>
      <c r="B44" s="419"/>
      <c r="C44" s="419"/>
    </row>
    <row r="45" spans="8:8" ht="14.25" customHeight="1">
      <c r="A45" s="419"/>
      <c r="B45" s="419"/>
      <c r="C45" s="419"/>
    </row>
    <row r="46" spans="8:8">
      <c r="A46" s="419"/>
      <c r="B46" s="419"/>
      <c r="C46" s="419"/>
    </row>
    <row r="47" spans="8:8">
      <c r="A47" s="419"/>
      <c r="B47" s="419"/>
      <c r="C47" s="419"/>
    </row>
    <row r="48" spans="8:8">
      <c r="A48" s="419"/>
      <c r="B48" s="419"/>
      <c r="C48" s="419"/>
    </row>
    <row r="49" spans="8:8">
      <c r="A49" s="419"/>
      <c r="B49" s="419"/>
      <c r="C49" s="419"/>
    </row>
    <row r="50" spans="8:8">
      <c r="A50" s="419"/>
      <c r="B50" s="419"/>
      <c r="C50" s="419"/>
    </row>
    <row r="51" spans="8:8">
      <c r="A51" s="419"/>
      <c r="B51" s="419"/>
      <c r="C51" s="419"/>
    </row>
    <row r="52" spans="8:8" ht="15.0" customHeight="1">
      <c r="A52" s="419"/>
      <c r="B52" s="419"/>
      <c r="C52" s="419"/>
    </row>
    <row r="53" spans="8:8">
      <c r="A53" s="419"/>
      <c r="B53" s="419"/>
      <c r="C53" s="419"/>
    </row>
    <row r="54" spans="8:8">
      <c r="A54" s="419"/>
      <c r="B54" s="419"/>
      <c r="C54" s="419"/>
    </row>
    <row r="55" spans="8:8">
      <c r="A55" s="419"/>
      <c r="B55" s="419"/>
      <c r="C55" s="419"/>
    </row>
    <row r="56" spans="8:8">
      <c r="A56" s="419"/>
      <c r="B56" s="419"/>
      <c r="C56" s="419"/>
    </row>
    <row r="57" spans="8:8">
      <c r="A57" s="419"/>
      <c r="B57" s="419"/>
      <c r="C57" s="419"/>
    </row>
    <row r="58" spans="8:8">
      <c r="A58" s="419"/>
      <c r="B58" s="419"/>
      <c r="C58" s="419"/>
    </row>
    <row r="59" spans="8:8">
      <c r="A59" s="419"/>
      <c r="B59" s="419"/>
      <c r="C59" s="419"/>
    </row>
    <row r="60" spans="8:8">
      <c r="A60" s="419"/>
      <c r="B60" s="419"/>
      <c r="C60" s="419"/>
    </row>
    <row r="61" spans="8:8">
      <c r="A61" s="419"/>
      <c r="B61" s="419"/>
      <c r="C61" s="419"/>
    </row>
    <row r="62" spans="8:8">
      <c r="A62" s="419"/>
      <c r="B62" s="419"/>
      <c r="C62" s="419"/>
    </row>
    <row r="63" spans="8:8">
      <c r="A63" s="419"/>
      <c r="B63" s="419"/>
      <c r="C63" s="419"/>
    </row>
    <row r="64" spans="8:8">
      <c r="A64" s="419"/>
      <c r="B64" s="419"/>
      <c r="C64" s="419"/>
    </row>
    <row r="65" spans="8:8">
      <c r="A65" s="419"/>
      <c r="B65" s="419"/>
      <c r="C65" s="419"/>
    </row>
    <row r="66" spans="8:8">
      <c r="A66" s="419"/>
      <c r="B66" s="419"/>
      <c r="C66" s="419"/>
    </row>
    <row r="69" spans="8:8">
      <c r="B69" s="7"/>
      <c r="C69" s="7"/>
    </row>
    <row r="70" spans="8:8">
      <c r="A70" s="455"/>
      <c r="B70" s="455"/>
      <c r="C70" s="455"/>
    </row>
    <row r="71" spans="8:8">
      <c r="B71" s="455"/>
      <c r="C71" s="455"/>
    </row>
    <row r="72" spans="8:8">
      <c r="B72" s="455"/>
      <c r="C72" s="455"/>
    </row>
    <row r="74" spans="8:8">
      <c r="A74" s="455"/>
      <c r="B74" s="455"/>
      <c r="C74" s="455"/>
    </row>
    <row r="75" spans="8:8">
      <c r="B75" s="455"/>
      <c r="C75" s="455"/>
    </row>
    <row r="76" spans="8:8">
      <c r="B76" s="455"/>
      <c r="C76" s="455"/>
    </row>
    <row r="78" spans="8:8">
      <c r="A78" s="455"/>
      <c r="B78" s="455"/>
      <c r="C78" s="455"/>
    </row>
    <row r="79" spans="8:8">
      <c r="B79" s="455"/>
      <c r="C79" s="455"/>
    </row>
    <row r="80" spans="8:8">
      <c r="B80" s="455"/>
      <c r="C80" s="455"/>
    </row>
    <row r="82" spans="8:8">
      <c r="A82" s="455"/>
      <c r="B82" s="455"/>
      <c r="C82" s="455"/>
    </row>
    <row r="83" spans="8:8">
      <c r="B83" s="455"/>
      <c r="C83" s="455"/>
    </row>
    <row r="84" spans="8:8">
      <c r="B84" s="455"/>
      <c r="C84" s="455"/>
    </row>
  </sheetData>
  <mergeCells count="34">
    <mergeCell ref="D33:E33"/>
    <mergeCell ref="D21:E21"/>
    <mergeCell ref="D34:E34"/>
    <mergeCell ref="D2:E2"/>
    <mergeCell ref="D22:E22"/>
    <mergeCell ref="D4:E4"/>
    <mergeCell ref="D16:E16"/>
    <mergeCell ref="D13:E13"/>
    <mergeCell ref="D12:E12"/>
    <mergeCell ref="D7:E7"/>
    <mergeCell ref="D3:E3"/>
    <mergeCell ref="D1:E1"/>
    <mergeCell ref="D30:E30"/>
    <mergeCell ref="D20:E20"/>
    <mergeCell ref="D25:E25"/>
    <mergeCell ref="D27:E27"/>
    <mergeCell ref="D26:E26"/>
    <mergeCell ref="D9:E9"/>
    <mergeCell ref="D32:E32"/>
    <mergeCell ref="D19:E19"/>
    <mergeCell ref="D29:E29"/>
    <mergeCell ref="D28:E28"/>
    <mergeCell ref="D24:E24"/>
    <mergeCell ref="D18:E18"/>
    <mergeCell ref="D6:E6"/>
    <mergeCell ref="D11:E11"/>
    <mergeCell ref="D8:E8"/>
    <mergeCell ref="D10:E10"/>
    <mergeCell ref="D17:E17"/>
    <mergeCell ref="D14:E14"/>
    <mergeCell ref="D15:E15"/>
    <mergeCell ref="D31:E31"/>
    <mergeCell ref="D23:E23"/>
    <mergeCell ref="D5:E5"/>
  </mergeCells>
  <conditionalFormatting sqref="H6:M19">
    <cfRule type="cellIs" operator="notEqual" priority="2" dxfId="15">
      <formula>0</formula>
    </cfRule>
  </conditionalFormatting>
  <conditionalFormatting sqref="H2:M5">
    <cfRule type="cellIs" operator="notEqual" priority="1" dxfId="16">
      <formula>0</formula>
    </cfRule>
  </conditionalFormatting>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NetdiskSupbooks xmlns="http://www.wps.cn/et/2019/netdiskSupbooks">
  <NetdiskSupbook Target="空想SP1.159从者角色卡.xlsx" FileId="418436848674" NetdiskName="yunwps"/>
</NetdiskSupbooks>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2017-08-15T11:16:00Z</dcterms:created>
  <dcterms:modified xsi:type="dcterms:W3CDTF">2026-04-20T17:49:42Z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2052-12.1.0.25225</vt:lpwstr>
  </property>
  <property fmtid="{D5CDD505-2E9C-101B-9397-08002B2CF9AE}" pid="4" name="ICV">
    <vt:lpwstr>C30D1B8450D1471A8CFB9E9106AFC0C7_13</vt:lpwstr>
  </property>
</Properties>
</file>