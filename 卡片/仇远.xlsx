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drawings/vmlDrawing3.vml" ContentType="application/vnd.openxmlformats-officedocument.vmlDrawing"/>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188" windowHeight="9060" firstSheet="1" activeTab="1"/>
  </bookViews>
  <sheets>
    <sheet name="说明" sheetId="1" r:id="rId2" state="hidden"/>
    <sheet name="角色卡 " sheetId="2" r:id="rId3"/>
    <sheet name="角色經歷" sheetId="3" r:id="rId4"/>
    <sheet name="调卡用表" sheetId="7" r:id="rId5"/>
    <sheet name="建卡用参考资源" sheetId="4" r:id="rId6" state="hidden"/>
    <sheet name="技能&amp;宝具资源库" sheetId="5" r:id="rId7" state="hidden"/>
    <sheet name="數值參考" sheetId="6" r:id="rId8" state="hidden"/>
  </sheets>
  <externalReferences>
    <externalReference r:id="rId1"/>
  </externalReferences>
  <definedNames>
    <definedName name="_xlnm.Print_Area" localSheetId="1">'角色卡 '!$B$2:$N$76</definedName>
    <definedName name="阵营">數值參考!$C$3:$C$35</definedName>
  </definedNames>
  <calcPr calcId="191029"/>
</workbook>
</file>

<file path=xl/comments2.xml><?xml version="1.0" encoding="utf-8"?>
<comments xmlns="http://schemas.openxmlformats.org/spreadsheetml/2006/main">
  <authors>
    <author>dell</author>
    <author>萱萱</author>
  </authors>
  <commentList>
    <comment ref="H3" authorId="0">
      <text>
        <r>
          <rPr>
            <sz val="9"/>
            <rFont val="宋体"/>
            <charset val="134"/>
          </rPr>
          <t xml:space="preserve">放置角色肖像的栏位。
请选适当的图片。
若手机没办法贴上，请在交卡时直接传一张给GM。</t>
        </r>
      </text>
    </comment>
    <comment ref="N8" authorId="0">
      <text>
        <r>
          <rPr>
            <sz val="9"/>
            <rFont val="宋体"/>
            <charset val="134"/>
          </rPr>
          <t xml:space="preserve">幻灵皆为虚造。
非特殊情况下，未来、异闻带不开放。</t>
        </r>
      </text>
    </comment>
    <comment ref="F13" authorId="0">
      <text>
        <r>
          <rPr>
            <sz val="9"/>
            <rFont val="宋体"/>
            <charset val="134"/>
          </rPr>
          <t xml:space="preserve">袖珍：0~140cm；
通常：141~220cm；
巨大：221~1000cm；
超巨大：1001~∞。</t>
        </r>
      </text>
    </comment>
    <comment ref="I17" authorId="1">
      <text>
        <r>
          <rPr>
            <sz val="9"/>
            <rFont val="宋体"/>
            <charset val="134"/>
          </rPr>
          <t xml:space="preserve">此处直接填入与持有宝具对应的宝具属性即可，不计入分配属性点数。</t>
        </r>
      </text>
    </comment>
  </commentList>
</comments>
</file>

<file path=xl/comments3.xml><?xml version="1.0" encoding="utf-8"?>
<comments xmlns="http://schemas.openxmlformats.org/spreadsheetml/2006/main">
  <authors>
    <author>misak</author>
  </authors>
  <commentList>
    <comment ref="E18" authorId="0">
      <text>
        <r>
          <rPr>
            <sz val="9"/>
            <rFont val="宋体"/>
            <charset val="134"/>
          </rPr>
          <t xml:space="preserve">此处由GM凭借个人主观意志进行填写。</t>
        </r>
      </text>
    </comment>
  </commentList>
</comments>
</file>

<file path=xl/sharedStrings.xml><?xml version="1.0" encoding="utf-8"?>
<sst xmlns="http://schemas.openxmlformats.org/spreadsheetml/2006/main" uniqueCount="515" count="515">
  <si>
    <t>對應規則書︰2.05</t>
  </si>
  <si>
    <t>更新记录</t>
  </si>
  <si>
    <t>自动化一部份的属性分配</t>
  </si>
  <si>
    <t>加入看上去很酷的属性图</t>
  </si>
  <si>
    <t>加入详细的圣遗物介绍</t>
  </si>
  <si>
    <t>加入特性(可选规则)用的格子</t>
  </si>
  <si>
    <t>只是加了一個職階技能的格子，方便特殊職階車卡。拜託普通職階不要填</t>
  </si>
  <si>
    <t>將特性這不會暴露，暴露後易被針對的效果移至角色卡下方，以便GM處理情報</t>
  </si>
  <si>
    <t>為特性提供了實驗性質的效果槽，是否啟用自行向GM查詢</t>
  </si>
  <si>
    <t>Berserker的基礎屬性調整，1.79以下的版本的參加者請注意</t>
  </si>
  <si>
    <t>六維圖修了修</t>
  </si>
  <si>
    <t>技能效果多加了一行，讓說明有點複雜的技能不用整天拉長行數。但是說明超長的依然要拉長行數</t>
  </si>
  <si>
    <t>其實什麼都沒動，但為了對稱所以再發一版~</t>
  </si>
  <si>
    <t>這回真的有更動!寶具/技能的名稱格子長了!</t>
  </si>
  <si>
    <t>遺物介紹的格子微調了</t>
  </si>
  <si>
    <t>特性由原來的範例，改成一些針對性的問題，寫特性時請將這些問題納入考慮</t>
  </si>
  <si>
    <t>Avenger的基礎屬性確立，2.03以下的版本注意</t>
  </si>
  <si>
    <t>雖然很丟人，但之前一直將貼圖鎖了....現在不解除保護也能貼圖了</t>
  </si>
  <si>
    <t>Lancer的基础属性调整，2.05以下的版本注意</t>
  </si>
  <si>
    <t>6.0</t>
  </si>
  <si>
    <t>角色的屬性改成橫的，方便填表時右鍵</t>
  </si>
  <si>
    <t>角色頭像可以放更大的了</t>
  </si>
  <si>
    <t>陣營的位置改放到「角色經歷」</t>
  </si>
  <si>
    <t>調整了一下排版，如無意外角卡可以用A4size印出來了</t>
  </si>
  <si>
    <t>有些排版出包了，調整完成。</t>
  </si>
  <si>
    <t>GM开团前「可」准备的事</t>
  </si>
  <si>
    <t>在数值参考页面按自己特有的村规进行基础属性、点数的调整。或加入新职阶</t>
  </si>
  <si>
    <t>本角色卡是为圣杯战争跑团准备的战斗计算表。</t>
  </si>
  <si>
    <t>该圣杯战争跑团规则大部分采用了日本现在较流行的男爵圣杯规则作为基底，进行魔改的TRPG规则，在游戏上简约了战斗部分，以实际扮演为主体的游戏方式。</t>
  </si>
  <si>
    <t>若有疑问可加群424815329查询</t>
  </si>
  <si>
    <t>阵营</t>
  </si>
  <si>
    <t>外貌描述</t>
  </si>
  <si>
    <t>肖像</t>
  </si>
  <si>
    <t>资源上限</t>
  </si>
  <si>
    <t>特攻列表</t>
  </si>
  <si>
    <t>职阶特性</t>
  </si>
  <si>
    <t>（简单的外貌描述）</t>
  </si>
  <si>
    <t>（立绘）</t>
  </si>
  <si>
    <t>职阶</t>
  </si>
  <si>
    <t>灵基</t>
  </si>
  <si>
    <t>令咒</t>
  </si>
  <si>
    <t>剩余资源</t>
  </si>
  <si>
    <t>（此区域从者通常不需要使用）</t>
  </si>
  <si>
    <t>特性</t>
  </si>
  <si>
    <t>花费资源</t>
  </si>
  <si>
    <t>时代</t>
  </si>
  <si>
    <t>过去</t>
  </si>
  <si>
    <t>Saber（职阶1）</t>
  </si>
  <si>
    <t>隐属</t>
  </si>
  <si>
    <t>地</t>
  </si>
  <si>
    <t>英灵</t>
  </si>
  <si>
    <t>性别</t>
  </si>
  <si>
    <t>人型</t>
  </si>
  <si>
    <t>扩容</t>
  </si>
  <si>
    <t>体型</t>
  </si>
  <si>
    <t>注释</t>
  </si>
  <si>
    <t>通常</t>
  </si>
  <si>
    <t>特攻列表不会也不能为其他角色所获取。</t>
  </si>
  <si>
    <t>等级</t>
  </si>
  <si>
    <t>筋力</t>
  </si>
  <si>
    <t>耐久</t>
  </si>
  <si>
    <t>敏捷</t>
  </si>
  <si>
    <t>魔力</t>
  </si>
  <si>
    <t>幸运</t>
  </si>
  <si>
    <t>宝具</t>
  </si>
  <si>
    <t>属性点数</t>
  </si>
  <si>
    <t>RP补正</t>
  </si>
  <si>
    <t>合计</t>
  </si>
  <si>
    <t>分配</t>
  </si>
  <si>
    <t>剩余点数</t>
  </si>
  <si>
    <t>基础上限</t>
  </si>
  <si>
    <t>补正</t>
  </si>
  <si>
    <t>职阶技能</t>
  </si>
  <si>
    <t>模板</t>
  </si>
  <si>
    <t>对魔力</t>
  </si>
  <si>
    <t>A(本职)</t>
  </si>
  <si>
    <t>资源</t>
  </si>
  <si>
    <t>风王结界</t>
  </si>
  <si>
    <t>C</t>
  </si>
  <si>
    <t>名称</t>
  </si>
  <si>
    <t>（自定义技能名称）</t>
  </si>
  <si>
    <t>类型</t>
  </si>
  <si>
    <t>回转</t>
  </si>
  <si>
    <t>（自定义宝具名称）</t>
  </si>
  <si>
    <t>对人</t>
  </si>
  <si>
    <t>发动时机</t>
  </si>
  <si>
    <t>常驻</t>
  </si>
  <si>
    <t>魔力消耗</t>
  </si>
  <si>
    <t>效果</t>
  </si>
  <si>
    <t>（不论持有的职阶技能数量，对于从者职阶带来的职介技能，其基础等级皆为E，每提升一级都需要消耗1RP）</t>
  </si>
  <si>
    <t>(资源模板的效果文本)</t>
  </si>
  <si>
    <t>背景</t>
  </si>
  <si>
    <t>(角色与本宝具对应的背景故事，无需暴露真名)</t>
  </si>
  <si>
    <t>骑乘</t>
  </si>
  <si>
    <t>誓约胜利之剑</t>
  </si>
  <si>
    <t>A</t>
  </si>
  <si>
    <t>对城</t>
  </si>
  <si>
    <t>主要工序</t>
  </si>
  <si>
    <t>（每名从者持有一个初始宝具栏，每个额外宝具栏需消耗2RP购入，写作[扩容]）</t>
  </si>
  <si>
    <t>保有技能</t>
  </si>
  <si>
    <t>额外栏位</t>
  </si>
  <si>
    <t>魔力放出</t>
  </si>
  <si>
    <t>/</t>
  </si>
  <si>
    <t>技艺</t>
  </si>
  <si>
    <t>随时</t>
  </si>
  <si>
    <t>（此部分栏位主要用于放置额外的技能和宝具，方便截图使用）</t>
  </si>
  <si>
    <t>(角色与本技能对应的背景故事，无需暴露真名)</t>
  </si>
  <si>
    <t>领袖气质</t>
  </si>
  <si>
    <t>天赋</t>
  </si>
  <si>
    <t>直感</t>
  </si>
  <si>
    <t>最能代表角色的一句话:</t>
  </si>
  <si>
    <t>角色之核心人設</t>
  </si>
  <si>
    <t>(玩家对扮演角色的再解读，以英雄的事迹、史料作参考，构建出有血有肉独属于玩家自己的英灵。）</t>
  </si>
  <si>
    <t>耐力</t>
  </si>
  <si>
    <t>样貌特点</t>
  </si>
  <si>
    <t>身高</t>
  </si>
  <si>
    <t>体重</t>
  </si>
  <si>
    <t>玩家</t>
  </si>
  <si>
    <t>喜好事物</t>
  </si>
  <si>
    <t>厌恶事物</t>
  </si>
  <si>
    <t>秩序-善</t>
  </si>
  <si>
    <t>图片</t>
  </si>
  <si>
    <t>圣遗物评级</t>
  </si>
  <si>
    <t>（圣遗物背景，在梦境召唤的圣杯中无需填写）</t>
  </si>
  <si>
    <t>Euclid</t>
  </si>
  <si>
    <t>地域</t>
  </si>
  <si>
    <t>年代</t>
  </si>
  <si>
    <t>外观</t>
  </si>
  <si>
    <t>出产地点</t>
  </si>
  <si>
    <t>真名</t>
  </si>
  <si>
    <t>英灵愿望</t>
  </si>
  <si>
    <t>你希望拥有怎样的御主？在什么情况下你可能会违背御主的命令？</t>
  </si>
  <si>
    <t>职业</t>
  </si>
  <si>
    <t>（你扮演的角色为了什么回应圣杯？这个愿望可以被放弃吗？在绝对无法做到的情况下你的角色会做什么？）</t>
  </si>
  <si>
    <t>女</t>
  </si>
  <si>
    <t>国家</t>
  </si>
  <si>
    <t>信仰</t>
  </si>
  <si>
    <t>你在战斗中会以怎样的姿态面对你的对手？</t>
  </si>
  <si>
    <t>典出</t>
  </si>
  <si>
    <t>角色资料</t>
  </si>
  <si>
    <t>（此处可以书写百科中对你扮演的角色的介绍，请优先截取侧重点进行复制）</t>
  </si>
  <si>
    <t>你认为友谊是什么？你愿意把后背托付给怎么样的战友？</t>
  </si>
  <si>
    <t>此空白留给GM为了更好理解你扮演的角色而给出询问</t>
  </si>
  <si>
    <t>职阶适性</t>
  </si>
  <si>
    <t>（为什么你扮演的角色作为这个职阶现界？）</t>
  </si>
  <si>
    <t>角色梦境:</t>
  </si>
  <si>
    <t>（在梦境召唤的圣杯中，从者需要写梦境）
（梦境的内容可以是生前的经历，对于过去、某个遭遇的感想等，适合角色就行）
（梦境的目的，主要是寻找一名相性较为匹配的御主）</t>
  </si>
  <si>
    <t>英灵原则</t>
  </si>
  <si>
    <t>（在圣杯战争中，你扮演的角色会遵循哪些世俗的道德原则？又或者他存在自己的原则？）</t>
  </si>
  <si>
    <t>下方的效果将严重影响角色方针，请自行填写描述，由GM决定具体效果</t>
  </si>
  <si>
    <t>特性:</t>
  </si>
  <si>
    <r>
      <rPr>
        <charset val="134"/>
        <sz val="11"/>
        <color rgb="FF000000"/>
        <rFont val="微軟正黑體"/>
      </rPr>
      <t>（例：无尽的强制）</t>
    </r>
    <r>
      <rPr>
        <charset val="134"/>
        <sz val="11"/>
        <color rgb="FFFF0000"/>
        <rFont val="微軟正黑體"/>
      </rPr>
      <t>（此内容是否启用请咨询GM）</t>
    </r>
  </si>
  <si>
    <t>效果︰</t>
  </si>
  <si>
    <t>（例：执行[机动]的回合内作为袭击方参与战斗时将额外获得[+5%]的胜率补正）</t>
  </si>
  <si>
    <t>描述︰</t>
  </si>
  <si>
    <t>（例：你的角色无论如何都不会放弃圣杯，将会用尽一切手段攻击其他可能的阻碍者或在战斗中胜出）</t>
  </si>
  <si>
    <t>职阶名称</t>
  </si>
  <si>
    <t>技能等级</t>
  </si>
  <si>
    <r>
      <rPr>
        <charset val="134"/>
        <sz val="12"/>
        <color rgb="FF000000"/>
        <rFont val="宋体"/>
      </rPr>
      <t>对应</t>
    </r>
    <r>
      <rPr>
        <b/>
        <charset val="134"/>
        <sz val="12"/>
        <color rgb="FF000000"/>
        <rFont val="宋体"/>
      </rPr>
      <t>RP</t>
    </r>
  </si>
  <si>
    <t>宝具等级</t>
  </si>
  <si>
    <t>E</t>
  </si>
  <si>
    <t>你的面板就是你的特性。</t>
  </si>
  <si>
    <t>Saber（职阶2）</t>
  </si>
  <si>
    <t>D</t>
  </si>
  <si>
    <t>建卡时，放弃职阶技能[骑乘]和[10]点[耐久]职阶属性，获得额外的[+2]RP点。</t>
  </si>
  <si>
    <t>Lancer（职阶1）</t>
  </si>
  <si>
    <t>建卡时，使自身等级最高的[类型：对人]宝具魔力消耗[-20]，若那个宝具为[发动时机：常驻]则此效果数值减半；若敌方战斗位单位数高于己方战斗位单位数则主要工序内撤退消耗FP-1；允许宣言指令[冲锋]。</t>
  </si>
  <si>
    <t>Lancer（职阶2）</t>
  </si>
  <si>
    <t>B</t>
  </si>
  <si>
    <t>建卡时，令自身任一宝具获得[骑乘]特性并将[骑乘]作为自身的[职阶技能]。自身宣言[冲锋]时，给予目标[-10%]胜率惩罚，若本次[冲锋]进行了成功的判定，此胜率惩罚翻倍。</t>
  </si>
  <si>
    <t>Archer（职阶1）</t>
  </si>
  <si>
    <t>使作为职阶属性的[筋力][耐久][敏捷]三项[+10]；建卡时允许指定自身持有的任一宝具，消耗[2]RP点（计为扩容）令其获得[爆发]。</t>
  </si>
  <si>
    <t>Archer（职阶2）</t>
  </si>
  <si>
    <t>EX</t>
  </si>
  <si>
    <t>指定自身持有的任一宝具，若其具有[主力位]且不为[类型：结界]，使其失去[主力位]；若其不具有[主力位]且不为[类型：结界]则使其获得[支援]。</t>
  </si>
  <si>
    <t>Rider（职阶1）</t>
  </si>
  <si>
    <t>-(E)</t>
  </si>
  <si>
    <t>建卡时，令自身任一宝具获得[骑乘]特性且自身具有[骑乘]特性的宝具不需要扩容。</t>
  </si>
  <si>
    <t>Rider（职阶2）</t>
  </si>
  <si>
    <t>-(D)</t>
  </si>
  <si>
    <t>建卡时，令自身任一宝具获得[骑乘]特性；自身具有至多6个宝具栏位，但仍然需要支付扩容所需的RP点。</t>
  </si>
  <si>
    <t>Caster（职阶1）</t>
  </si>
  <si>
    <t>-(C)</t>
  </si>
  <si>
    <t>建卡时允许令自身保有的[类型：魔术]技能获得[爆发]特性；始终允许自身在签订任意契约或进行[休整]时视为[御主]单位。</t>
  </si>
  <si>
    <t>Caster（职阶2）</t>
  </si>
  <si>
    <t>-(B)</t>
  </si>
  <si>
    <t>建卡时额外具有一个仅可用于购入[类型：魔术]技能的技能栏位，并令[魔力]属性低于自身的单位以自身为效果对象的[类型：魔术]技能，效果等级下降[[魔力]属性差/20]]级；始终允许自身在签订任意契约或进行[休整]时视为[御主]单位。</t>
  </si>
  <si>
    <t>Assassin（职阶1）</t>
  </si>
  <si>
    <t>-(A)</t>
  </si>
  <si>
    <t>自身发起的负面判定获得[+25%]的最终成功率补正。</t>
  </si>
  <si>
    <t>Assassin（职阶2）</t>
  </si>
  <si>
    <t>-(EX)</t>
  </si>
  <si>
    <t xml:space="preserve">始终给予自身[+10%]胜率补正，在自身宣言[袭击]产生的战斗中，此胜率补正数值翻倍；若敌方[主力位]不为[从者]或初次处于同一场战斗，则此胜率补正再次翻倍。
</t>
  </si>
  <si>
    <t>Berserker（职阶1）</t>
  </si>
  <si>
    <t>E+</t>
  </si>
  <si>
    <t>建卡时，令自身[筋力][耐久][敏捷]的分配属性上限上升[+10]；敌方战斗位上的主力位单位在决胜判定前撤退时，令其撤退消耗FP[+1]。</t>
  </si>
  <si>
    <t>Berserker（职阶2）</t>
  </si>
  <si>
    <t>D+</t>
  </si>
  <si>
    <t>建卡时，令自身[筋力][耐久][敏捷]的分配属性上限上升[+10]；自身宣言死斗时，获得[+20%]胜率补正。</t>
  </si>
  <si>
    <t>C+</t>
  </si>
  <si>
    <t>B+</t>
  </si>
  <si>
    <t>A+</t>
  </si>
  <si>
    <t>E++</t>
  </si>
  <si>
    <t>D++</t>
  </si>
  <si>
    <t>C++</t>
  </si>
  <si>
    <t>B++</t>
  </si>
  <si>
    <t>A++</t>
  </si>
  <si>
    <t>E+++</t>
  </si>
  <si>
    <t>D+++</t>
  </si>
  <si>
    <t>C+++</t>
  </si>
  <si>
    <t>B+++</t>
  </si>
  <si>
    <t>A+++</t>
  </si>
  <si>
    <t>*仅包含常用资源</t>
  </si>
  <si>
    <t>基础属性</t>
  </si>
  <si>
    <t>职阶奖励与特性</t>
  </si>
  <si>
    <t>Saber</t>
  </si>
  <si>
    <t>属性</t>
  </si>
  <si>
    <t>[对魔力]上升一级。</t>
  </si>
  <si>
    <t>点数</t>
  </si>
  <si>
    <t>Lancer</t>
  </si>
  <si>
    <t>需要主动释放且[类型：对人宝具]的宝具所消耗的魔力降低10点。</t>
  </si>
  <si>
    <t>Archer</t>
  </si>
  <si>
    <t>从[对魔力]或[单独行动]中，择一项上升一级。</t>
  </si>
  <si>
    <t>Rider</t>
  </si>
  <si>
    <t>从[对魔力]或[骑乘]中，择一项上升一级。</t>
  </si>
  <si>
    <t>Caster</t>
  </si>
  <si>
    <t>从[阵地制作]或[道具制作]中，择一项上升一级。</t>
  </si>
  <si>
    <t>Assassin</t>
  </si>
  <si>
    <t>[气息遮蔽]上升一级。</t>
  </si>
  <si>
    <t>Berserker</t>
  </si>
  <si>
    <t>[狂化]可选择是否上升或下降一级。</t>
  </si>
  <si>
    <t>除了 EX 级别的狂化外，B 等级以上的狂化解放宝具时，</t>
  </si>
  <si>
    <t>需额外消耗一枚令咒才能解放。(该枚令咒将视为胜率补正消耗)。</t>
  </si>
  <si>
    <t>技能资源库</t>
  </si>
  <si>
    <t>基础技能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</si>
  <si>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</si>
  <si>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</si>
  <si>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</si>
  <si>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</si>
  <si>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</si>
  <si>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</si>
  <si>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</si>
  <si>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</si>
  <si>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</si>
  <si>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</si>
  <si>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</si>
  <si>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</si>
  <si>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</si>
  <si>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</si>
  <si>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</si>
  <si>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</si>
  <si>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</si>
  <si>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</si>
  <si>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</si>
  <si>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</si>
  <si>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</si>
  <si>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</si>
  <si>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</si>
  <si>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</si>
  <si>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</si>
  <si>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</si>
  <si>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</si>
  <si>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</si>
  <si>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</si>
  <si>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</si>
  <si>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</si>
  <si>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</si>
  <si>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</si>
  <si>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</si>
  <si>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</si>
  <si>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</si>
  <si>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</si>
  <si>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</si>
  <si>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</si>
  <si>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</si>
  <si>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</si>
  <si>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</si>
  <si>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</si>
  <si>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</si>
  <si>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</si>
  <si>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</si>
  <si>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</si>
  <si>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</si>
  <si>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</si>
  <si>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</si>
  <si>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</si>
  <si>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本次圣杯战争仅能使用一次，令与自身有关且是自身所签订的一项[契约]失效，且对方将无法察觉[契约]的失效。</t>
  </si>
  <si>
    <t>特化技能</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</si>
  <si>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</si>
  <si>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</si>
  <si>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</si>
  <si>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</si>
  <si>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</si>
  <si>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</si>
  <si>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</si>
  <si>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</si>
  <si>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</si>
  <si>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</si>
  <si>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</si>
  <si>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</si>
  <si>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</si>
  <si>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</si>
  <si>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</si>
  <si>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</si>
  <si>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</si>
  <si>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</si>
  <si>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</si>
  <si>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</si>
  <si>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</si>
  <si>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</si>
  <si>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</si>
  <si>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</si>
  <si>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</si>
  <si>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</si>
  <si>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</si>
  <si>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</si>
  <si>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</si>
  <si>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</si>
  <si>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</si>
  <si>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</si>
  <si>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</si>
  <si>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</si>
  <si>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</si>
  <si>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</si>
  <si>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技能资源列表</t>
  </si>
  <si>
    <t>宝具资源列表</t>
  </si>
  <si>
    <t>时机</t>
  </si>
  <si>
    <t>魔耗</t>
  </si>
  <si>
    <t>职介</t>
  </si>
  <si>
    <t>技能发动时</t>
  </si>
  <si>
    <t>[反击][支援]
当自身成为此技能等级相同或以下的[类型：魔术]技能的效果对象，或受到其效果影响时可以发动，令那个技能对自身可能生效的效果无效，且不会返还发动消耗。</t>
  </si>
  <si>
    <t>自身具有[骑乘]的技能或宝具生效时，给予自身[+10%]的胜率补正。</t>
  </si>
  <si>
    <t>自身具有[骑乘]的技能或宝具生效时，给予自身[+20%]的胜率补正。</t>
  </si>
  <si>
    <t>自身具有[骑乘]的技能或宝具生效时，给予自身[+30%]的胜率补正。</t>
  </si>
  <si>
    <t>自身具有[骑乘]的技能或宝具生效时，给予自身[+40%]的胜率补正。</t>
  </si>
  <si>
    <t>自身具有[骑乘]的技能或宝具生效时，给予自身[+50%]的胜率补正。</t>
  </si>
  <si>
    <t>单独行动</t>
  </si>
  <si>
    <t>自身进行广泛侦查时，额外获得[+10%]的最终成功率补正。
自身魔力下限改为[-200]，魔力不足惩罚改为每达到[-20]，全属性将受到[-5]的惩罚。
御主死亡或与御主解除[圣杯契约]后仍可以存活[1]天，在此期间将不结算待机耗魔，但亦无法获得来自[灵脉]或[圣杯]的供魔。
魔力不足达到下限或剩余回合数不足时将会消灭。</t>
  </si>
  <si>
    <t>自身进行广泛侦查时，额外获得[+20%]的最终成功率补正。
自身魔力下限改为[-200]，魔力不足惩罚改为每达到[-20]，全属性将受到[-5]的惩罚。
御主死亡或与御主解除[圣杯契约]后仍可以存活[2]天，在此期间将不结算待机耗魔，但亦无法获得来自[灵脉]或[圣杯]的供魔。
魔力不足达到下限或剩余回合数不足时将会消灭。</t>
  </si>
  <si>
    <t>自身进行广泛侦查时，额外获得[+30%]的最终成功率补正。
自身魔力下限改为[-200]，魔力不足惩罚改为每达到[-20]，全属性将受到[-5]的惩罚。
御主死亡或与御主解除[圣杯契约]后仍可以存活[3]天，在此期间将不结算待机耗魔，但亦无法获得来自[灵脉]或[圣杯]的供魔。
魔力不足达到下限或剩余回合数不足时将会消灭。</t>
  </si>
  <si>
    <t>自身进行广泛侦查时，额外获得[+40%]的最终成功率补正。
自身魔力下限改为[-200]，魔力不足惩罚改为每达到[-20]，全属性将受到[-5]的惩罚。
御主死亡或与御主解除[圣杯契约]后仍可以存活[4]天，在此期间将不结算待机耗魔，但亦无法获得来自[灵脉]或[圣杯]的供魔。
魔力不足达到下限或剩余回合数不足时将会消灭。</t>
  </si>
  <si>
    <t>自身进行广泛侦查时，额外获得[+50%]的最终成功率补正。
自身魔力下限改为[-200]，魔力不足惩罚改为每达到[-20]，全属性将受到[-5]的惩罚。
御主死亡或与御主解除[圣杯契约]后仍可以存活[5]天，在此期间将不结算待机耗魔，但亦无法获得来自[灵脉]或[圣杯]的供魔。
魔力不足达到下限或剩余回合数不足时将会消灭。</t>
  </si>
  <si>
    <t>阵地制作</t>
  </si>
  <si>
    <t>职介/魔术</t>
  </si>
  <si>
    <t>消耗一回合行动后发动，付与当前灵脉[阵地]。赋予灵脉[+10]的魔力量提升。
在该[阵地]上进行战斗时，将会自动触发，给予对方[-10%]的[胜率惩罚]。[阵地]不可叠加。</t>
  </si>
  <si>
    <t>消耗一回合行动后发动，付与当前灵脉[阵地]。赋予灵脉[+10]的魔力量提升。
在该[阵地]上进行战斗时，将会自动触发，给予对方[-20%]的[胜率惩罚]。[阵地]不可叠加。</t>
  </si>
  <si>
    <t>允许持有者进行[魔术工房]的建设，可以20的魔力消耗代替建造所消耗的次数。自阵营持有存在[魔术工房]的灵脉上，构造容量获得[2]的扩充。</t>
  </si>
  <si>
    <t>允许持有者进行[魔术工房]的建设，可以20的魔力消耗代替建造所消耗的次数。自阵营持有存在[魔术工房]的灵脉上，构造容量获得[4]的扩充。</t>
  </si>
  <si>
    <t>允许进行[神殿]的建设。可以消耗魔力与行动阶段，将当前灵脉上全部工房的基本构件更换为一个神殿的基本构件。</t>
  </si>
  <si>
    <t>道具制作</t>
  </si>
  <si>
    <t>允许持有者进行礼装制作。
在自身[制作礼装]时，可将成功率改为自身[基础魔力*2%]。
一场战斗中自身可以使用的礼装上限额外[+1]。</t>
  </si>
  <si>
    <t>允许持有者进行礼装制作。
在自身[制作礼装]时，可将成功率改为自身[基础魔力*2%]。
一场战斗中自身可以使用的礼装上限额外[+2]。</t>
  </si>
  <si>
    <t>允许持有者进行礼装制作。
在自身[制作礼装]时，可将成功率改为自身[基础魔力*2%]。
一场战斗中自身可以使用的礼装上限额外[+3]。</t>
  </si>
  <si>
    <t>允许持有者进行礼装制作。
在自身[制作礼装]时，可将成功率改为自身[基础魔力*2%]。
一场战斗中自身可以使用的礼装上限额外[+4]。</t>
  </si>
  <si>
    <t>允许持有者进行礼装制作。
在自身[制作礼装]时，可将成功率改为自身[基础魔力*2%]。
一场战斗中自身可以使用的礼装上限额外[+5]。</t>
  </si>
  <si>
    <t>气息遮蔽</t>
  </si>
  <si>
    <t>任意阵营进行广泛侦查时，若侦查判定结果在[25]以上，那么自身不会因此暴露所在位置。自身不会因开局获得情报的能力暴露所在位置。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若敌方主力位单位初次与自身进行战斗，且未对自身进行成功的真名猜测时，则给予己方[+10%]的胜率补正。</t>
  </si>
  <si>
    <t>任意阵营进行广泛侦查时，若侦查判定结果在[20]以上，那么自身不会因此暴露所在位置。自身不会因开局获得情报的能力暴露所在位置。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若敌方主力位单位初次与自身进行战斗，且未对自身进行成功的真名猜测时，则给予己方[+20%]的胜率补正。</t>
  </si>
  <si>
    <t>任意阵营进行广泛侦查时，若侦查判定结果在[15]以上，那么自身不会因此暴露所在位置。自身不会因开局获得情报的能力暴露所在位置。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若敌方主力位单位初次与自身进行战斗，且未对自身进行成功的真名猜测时，则给予己方[+30%]的胜率补正。</t>
  </si>
  <si>
    <t>任意阵营进行广泛侦查时，若侦查判定结果在[10]以上，那么自身不会因此暴露所在位置。自身不会因开局获得情报的能力暴露所在位置。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若敌方主力位单位初次与自身进行战斗，且未对自身进行成功的真名猜测时，则给予己方[+40%]的胜率补正。</t>
  </si>
  <si>
    <t>任意阵营进行广泛侦查时，若侦查判定结果在[5]以上，那么自身不会因此暴露所在位置。自身不会因开局获得情报的能力暴露所在位置。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若敌方主力位单位初次与自身进行战斗，且未对自身进行成功的真名猜测时，则给予己方[+50%]的胜率补正。</t>
  </si>
  <si>
    <t>狂化</t>
  </si>
  <si>
    <t>自身拥有除[宝具]以外全属性[+10]的常驻补正。
自身每次主动解放宝具时，如御主不宣言消耗一枚令咒则无法进行解放。
自身契约御主每消耗一枚令咒时，此技能带来的常驻补正[+5]，且消耗魔力[+10]。</t>
  </si>
  <si>
    <t>自身拥有除[宝具]以外全属性[+15]的常驻补正。
自身每次主动解放宝具时，如御主不宣言消耗一枚令咒则无法进行解放。
自身契约御主每消耗一枚令咒时，此技能带来的常驻补正[+5]，且消耗魔力[+10]。</t>
  </si>
  <si>
    <t>自身拥有除[宝具]以外全属性[+20]的常驻补正。
自身每次主动解放宝具时，如御主不宣言消耗一枚令咒则无法进行解放。
自身契约御主每消耗一枚令咒时，此技能带来的常驻补正[+5]，且消耗魔力[+10]。</t>
  </si>
  <si>
    <t>自身拥有除[宝具]以外全属性[+25]的常驻补正。
自身每次主动解放宝具时，如御主不宣言消耗一枚令咒则无法进行解放。
自身契约御主每消耗一枚令咒时，此技能带来的常驻补正[+5]，且消耗魔力[+10]。</t>
  </si>
  <si>
    <t>自身拥有除[宝具]以外全属性[+30]的常驻补正。
自身每次主动解放宝具时，如御主不宣言消耗一枚令咒则无法进行解放。
自身契约御主每消耗一枚令咒时，此技能带来的常驻补正[+5]，且消耗魔力[+10]。</t>
  </si>
  <si>
    <t>自身拥有除[宝具]以外全属性[+20]的常驻补正。
建卡时必须从以下效果中选择1项：
1、在战斗中，自身无法撤退；
2、自身无法与任意其他单位共处一方战斗位上；
3、自身无法交流，无法进行语言类和心理类的角色扮演（原则上禁止脑交）；
4、自身无法经由任何办法发起袭击；
5、每天必须参与一次战斗、否则额外产生20魔耗。</t>
  </si>
  <si>
    <t>己方战斗位上存在每一体单位，将会给予自身[+10%]的胜率补正。
这个技能带来的胜率补正上限为[10%]。</t>
  </si>
  <si>
    <t>己方战斗位上存在每一体单位，将会给予自身[+10%]的胜率补正。
这个技能带来的胜率补正上限为[20%]。</t>
  </si>
  <si>
    <t>己方战斗位上存在每一体单位，将会给予自身[+10%]的胜率补正。
这个技能带来的胜率补正上限为[30%]。</t>
  </si>
  <si>
    <t>己方战斗位上存在每一体单位，将会给予自身[+10%]的胜率补正。
这个技能带来的胜率补正上限为[40%]。</t>
  </si>
  <si>
    <t>己方战斗位上存在每一体单位，将会给予自身[+10%]的胜率补正。
这个技能带来的胜率补正上限为[50%]。</t>
  </si>
  <si>
    <t>[反击][支援]
当自身成为任一与不大于此技能等级的技能或宝具目标时才可以解放，指定那个技能或宝具的发动者。
给予自身[抗性上升：15%]。
以自身为目标的每个负面判定失败时，给予自身[+5%]的胜率补正。</t>
  </si>
  <si>
    <t>心眼（伪）</t>
  </si>
  <si>
    <t>每有一项在[战斗属性表]中处于劣势的属性，都会给予自身[+15%]的胜率补正。
这个技能带来的胜率补正上限为[15%]。</t>
  </si>
  <si>
    <t>每有一项在[战斗属性表]中处于劣势的属性，都会给予自身[+15%]的胜率补正。
这个技能带来的胜率补正上限为[30%]。</t>
  </si>
  <si>
    <t>每有一项在[战斗属性表]中处于劣势的属性，都会给予自身[+15%]的胜率补正。
这个技能带来的胜率补正上限为[45%]。</t>
  </si>
  <si>
    <t>勇猛</t>
  </si>
  <si>
    <t>战术为[强击]或[破袭]，且未失效的场合，给予自身[+15%]的胜率补正。</t>
  </si>
  <si>
    <t>战术为[强击]或[破袭]，且未失效的场合，给予自身[+20%]的胜率补正。</t>
  </si>
  <si>
    <t>战术为[强击]或[破袭]，且未失效的场合，给予自身[+25%]的胜率补正。</t>
  </si>
  <si>
    <t>战术为[强击]或[破袭]，且未失效的场合，给予自身[+30%]的胜率补正。</t>
  </si>
  <si>
    <t>战术为[强击]或[破袭]，且未失效的场合，给予自身[+35%]的胜率补正。</t>
  </si>
  <si>
    <t>怪力</t>
  </si>
  <si>
    <t>自身的[筋力]获得[+20]的基础补正。</t>
  </si>
  <si>
    <t>自身的[筋力]获得[+25]的基础补正。</t>
  </si>
  <si>
    <t>自身的[筋力]获得[+30]的基础补正。</t>
  </si>
  <si>
    <t>千里眼</t>
  </si>
  <si>
    <t>自身不必处于战斗发生灵脉上，也能知悉未被隐藏的战斗之[战斗计算表]上的内容。
当自身在进行[侦查]相关的行动指令时，将会获得[+10%]的基础成功率补正。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</si>
  <si>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当自身在进行[侦查]相关的行动指令时，将会获得[+20%]的基础成功率补正。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</si>
  <si>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当自身在进行[侦查]相关的行动指令时，将会获得[+30%]的基础成功率补正。
当自身保有的[类型：魔术]技能发动时，若需进行发动判定，则判定出目默认为[1]。</t>
  </si>
  <si>
    <t>石化之魔眼</t>
  </si>
  <si>
    <t>回合开始或发生干涉时，对当前灵脉上除自身以外所有单位进行一次成功率为[10%]的[石化]判定。成功的场合下，给予目标[石化]。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</si>
  <si>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回合开始或发生干涉时，对当前灵脉上除自身以外所有单位进行一次成功率为[25%]的[石化]判定。成功的场合下，给予目标[石化]。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</si>
  <si>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回合开始或发生干涉时，对当前灵脉上除自身以外所有单位进行一次成功率为[40%]的[石化]判定。成功的场合下，给予目标[石化]。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</si>
  <si>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藏知的司书</t>
  </si>
  <si>
    <t>进行一次成功率=[20%]的判定，成功的场合下，获得除自身与同阵营单位外随机单位的位置信息；若已知其位置信息，且对方为御主，则获得其详细侦查信息。</t>
  </si>
  <si>
    <t>进行一次成功率=[40%]的判定，成功的场合下，获得除自身与同阵营单位外随机单位的位置信息；若已知其位置信息，且对方为御主，则获得其详细侦查信息。</t>
  </si>
  <si>
    <t>进行一次成功率=[60%]的判定，成功的场合下，获得除自身与同阵营单位外随机单位的位置信息；若已知其位置信息，且对方为御主，则获得其详细侦查信息。</t>
  </si>
  <si>
    <t>进行一次成功率=[80%]的判定，成功的场合下，获得除自身与同阵营单位外随机单位的位置信息；若已知其位置信息，且对方为御主，则获得其详细侦查信息。</t>
  </si>
  <si>
    <t>给予自身的[筋力][耐久][敏捷]当中的任一项属性[+5]的常驻补正与[+10%]的胜率补正。
这个技能带来的常驻补正将会在回合结束时失去。</t>
  </si>
  <si>
    <t>给予自身的[筋力][耐久][敏捷]当中的任一项属性[+10]的常驻补正与[+10%]的胜率补正。
这个技能带来的常驻补正将会在回合结束时失去。</t>
  </si>
  <si>
    <t>给予自身的[筋力][耐久][敏捷]当中的任一项属性[+15]的常驻补正与[+10%]的胜率补正。
这个技能带来的常驻补正将会在回合结束时失去。</t>
  </si>
  <si>
    <t>军略</t>
  </si>
  <si>
    <t>[主力位]
自身[战术]未被克制时才能生效。
我方发动[对军宝具]时，给予自身[+5%]的胜率补正。
自身[战术]克制敌方，且在敌方发动[对军宝具]时，给予自身[+5%]的胜率补正。</t>
  </si>
  <si>
    <t>[主力位]
自身[战术]未被克制时才能生效。
我方发动[对军宝具]时，给予自身[+10%]的胜率补正。
自身[战术]克制敌方，且在敌方发动[对军宝具]时，给予自身[+10%]的胜率补正。</t>
  </si>
  <si>
    <t>[主力位]
自身[战术]未被克制时才能生效。
我方发动[对军宝具]时，给予自身[+15%]的胜率补正。
自身[战术]克制敌方，且在敌方发动[对军宝具]时，给予自身[+15%]的胜率补正。</t>
  </si>
  <si>
    <t>[主力位]
自身[战术]未被克制时才能生效。
我方发动[对军宝具]时，给予自身[+20%]的胜率补正。
自身[战术]克制敌方，且在敌方发动[对军宝具]时，给予自身[+20%]的胜率补正。</t>
  </si>
  <si>
    <t>[主力位]
自身[战术]未被克制时才能生效。
我方发动[对军宝具]时，给予自身[+25%]的胜率补正。
自身[战术]克制敌方，且在敌方发动[对军宝具]时，给予自身[+25%]的胜率补正。</t>
  </si>
  <si>
    <t>从者等级</t>
  </si>
  <si>
    <t>分配点数</t>
  </si>
  <si>
    <t>筋力：</t>
  </si>
  <si>
    <t>耐力：</t>
  </si>
  <si>
    <t>敏捷：</t>
  </si>
  <si>
    <t>魔力：</t>
  </si>
  <si>
    <t>幸运：</t>
  </si>
  <si>
    <t>宝具：</t>
  </si>
  <si>
    <t>秩序·善</t>
  </si>
  <si>
    <t>宝具栏数量最大为2，建卡时可以通过放弃【骑乘】来额外获得2的RP用于资源兑换。</t>
  </si>
  <si>
    <t>中立·善</t>
  </si>
  <si>
    <t>自身的其中一项等级最高宝具的魔耗【-20】（最低为0），允许宣言指令【冲锋】。</t>
  </si>
  <si>
    <t>混沌·善</t>
  </si>
  <si>
    <t>自身的其中一项等级最高宝具获得【爆发】特性，且建卡时额外拥有2的RP用于在宝具资源上的兑换。</t>
  </si>
  <si>
    <t>秩序·中立</t>
  </si>
  <si>
    <t>初始宝具栏数量为2，且自身其中一项宝具获得【骑乘】特性。</t>
  </si>
  <si>
    <t>空</t>
  </si>
  <si>
    <t>中立·中庸</t>
  </si>
  <si>
    <t>自身的【魔力】属性视为等值的【回路】属性，魔力池额外获得50上限，且自身持有的魔术技能获得【双发】特性。</t>
  </si>
  <si>
    <t>混沌·中立</t>
  </si>
  <si>
    <t>自身发起的负面判定成功率[+20%]调整值。</t>
  </si>
  <si>
    <t>秩序·恶</t>
  </si>
  <si>
    <t>【筋力】【耐久】【敏捷】的分配属性上限修改为80，【魔力】【幸运】的分配属性上限修改为40。</t>
  </si>
  <si>
    <t>中立·恶</t>
  </si>
  <si>
    <t>Saber(骑乘)</t>
  </si>
  <si>
    <t>混沌·恶</t>
  </si>
  <si>
    <t>Ruler</t>
  </si>
  <si>
    <t>秩序·狂</t>
  </si>
  <si>
    <t>Shielder</t>
  </si>
  <si>
    <t>中立·狂</t>
  </si>
  <si>
    <t>Foreigner</t>
  </si>
  <si>
    <t>混沌·狂</t>
  </si>
  <si>
    <t>Alterego</t>
  </si>
  <si>
    <t>Moon Cancer</t>
  </si>
  <si>
    <t>Beast</t>
  </si>
  <si>
    <t>Avenger</t>
  </si>
  <si>
    <t>技能等级转化资源</t>
  </si>
  <si>
    <t>宝具等级转化资源</t>
  </si>
  <si>
    <t>职阶技能等级转化资源</t>
  </si>
  <si>
    <t>A+(本职)</t>
  </si>
  <si>
    <t>A++++</t>
  </si>
  <si>
    <t>- [视为A级]</t>
  </si>
  <si>
    <t>B(本职)</t>
  </si>
  <si>
    <t>- [视为B级]</t>
  </si>
  <si>
    <t>C(本职)</t>
  </si>
  <si>
    <t>- [视为C级]</t>
  </si>
  <si>
    <t>D(本职)</t>
  </si>
  <si>
    <t>E(本职)</t>
  </si>
  <si>
    <t>常柱</t>
  </si>
  <si>
    <t>令自身受到的，来源于技能和宝具的负面判定受到[-10%]的基础成功率惩罚。
若受到此技能效果影响的[类型：魔术]技能未能对自身造成效果，给予自身[+10%]胜率补正。
当自身成为不来源自身的[类型：魔术]技能的效果对象时，允许宣言令其对自身的效果下降
[-]级。
若因此技能而导致其效果等级降低，但其效果不存在相应模板时，将以其效果最低等级生效；
若其效果等级降低至低于E级，则使之无效化，且不会返还发动消耗</t>
  </si>
  <si>
    <t>自身受到己方战斗位上具有[骑乘]的技能宝具效果影响时，本场战斗内下列效果生效：
自身拥有[+50/40/30/20/10%]的胜率补正；
若敌方战斗位上没有单位宣言[冲锋]，额外获得[+25%]的胜率补正。
判定上，这个技能也视为[类型：技艺]</t>
  </si>
  <si>
    <t>自身受到己方战斗位上具有[骑乘]的技能宝具效果影响时，本场战斗内下列效果生效：
自身拥有[+50%]的胜率补正；
若敌方战斗位上没有单位宣言[冲锋]，额外获得[+25%]的胜率补正。
判定上，这个技能也视为[类型：技艺]</t>
  </si>
  <si>
    <t>2、始终给予自身[幸运]属性[-10]的常驻惩罚、除[幸运]外任一属性[+20]的常驻补正；
3、自身发起的所有判定、以及自身受到的负面判定获得[+20%]的基础成功率补正；
6、以与此技能等级相同的模板获取自身未持有面向的任一从者保有技能置于此技能下，始终给
予自身[抗性破除]以及[抗性下降：-40%]，自身持有的具有[抗性上升][抗性无效]
的技能和宝具无效化。特别的，此效果无法获取仅有等级 A 的技能，若那个技能可以以其他等
级的模板获取，则不在此列。
此技能等级达到EX时，效果6仅能获取A级的技能，并遵守原本规则</t>
  </si>
  <si>
    <t>建卡时，若自身持有职阶技能[骑乘]，则将其等级提升[3/2/1]级，否则给予自身职阶技能[骑乘
C]。
若自身不持有[骑乘]宝具，始终给予自身任一宝具[骑乘]效果。否之将此效果改为始终给予自身[
敏捷]属性[+10]常驻补正。
始终给予自身[+20]等级补正和[敏捷]属性[+30]常驻补正。
在战斗中，己方[战术]总是被克制</t>
  </si>
  <si>
    <t>布利里安德罗的嘶鸣</t>
  </si>
  <si>
    <t xml:space="preserve">对敌方战斗位上任一单位进行一次成功率=[30%]的负面判定。判定成功的场合下，令目标除[宝
具]以外的一项属性受到[-25/20/15]的属性惩罚，以及[-25/20/15%]的胜率惩罚。 </t>
  </si>
  <si>
    <t xml:space="preserve">对敌方战斗位上任一单位进行一次成功率=[30%]的负面判定。判定成功的场合下，令目标除[宝
具]以外的一项属性受到[-15]的属性惩罚，以及[-15%]的胜率惩罚。 </t>
  </si>
  <si>
    <t>天逆矛</t>
  </si>
  <si>
    <t>兵器</t>
  </si>
  <si>
    <t>无辜的怪物</t>
  </si>
  <si>
    <t>[支援]
建卡时，从[类型：技艺/兵器/魔术]中选择[3/2/1]种类型记录。
允许随时发动，将自身持有的[骑乘]技能替换为与其同等级的任一非[发动时机：常驻]的从者保
有技能，此技能在发动时，产生对应的魔力消耗和回转。
无法获取此技能未记录类型的技能。
同时视为多个类型的技能，则需要此技能同时持有那些类型的记录才能进行替换。
以此法获得的技能在判定上视为保有技能，总是在回合结束时重新与[骑乘]交换。多次获取时视
为同一技能，其先前产生的效果总是存在，并且在那个技能因任何效果破弃后将无法再次获取。
特别的，此技能记录类型的技能，处于回转时也可以获取，但在获取的当下依然处于回转</t>
  </si>
  <si>
    <t>[支援]
建卡时，从[类型：技艺/兵器/魔术]中选择[1]种类型记录。[技艺]
允许随时发动，将自身持有的[骑乘]技能替换为与其同等级的任一非[发动时机：常驻]的从者保
有技能，此技能在发动时，产生对应的魔力消耗和回转。
无法获取此技能未记录类型的技能。
同时视为多个类型的技能，则需要此技能同时持有那些类型的记录才能进行替换。
以此法获得的技能在判定上视为保有技能，总是在回合结束时重新与[骑乘]交换。多次获取时视
为同一技能，其先前产生的效果总是存在，并且在那个技能因任何效果破弃后将无法再次获取。
特别的，此技能记录类型的技能，处于回转时也可以获取，但在获取的当下依然处于回转</t>
  </si>
  <si>
    <t>骥足百般</t>
  </si>
  <si>
    <t>祝福</t>
  </si>
  <si>
    <t>常</t>
  </si>
  <si>
    <t>荣冠</t>
  </si>
  <si>
    <t>[主力位]
令敌方主力位受到三次成功率=[80%]的负面判定（视为[即死]判定），若目标[敏捷]属性不小于
[40]，则这个判定的成功率减半。
每个成功的判定，都将令目标[筋力][耐久][敏捷]三项属性中一项属性受到[-20]的属性惩罚，若
目标对应属性存在补正，则这个属性惩罚减半；
若本次解放中，此宝具判定成功数达到[3]，则额外对目标造成一次[即死]效果，若不消耗一枚令
咒抵消，则立即退场。每场战斗中，此效果仅会在此宝具首次生效时生效。
解放此宝具后，给予自身[迟滞 1]。</t>
  </si>
  <si>
    <t>无明三段突</t>
  </si>
  <si>
    <t>对人魔剑</t>
  </si>
  <si>
    <t>[主力位][必中][无敌贯通]
宣言一项属性，给予敌方主力位[-宣言属性差%]的胜率惩罚；若双方战斗位上仅主力位存在单
位，则令此宝具带来的胜率惩罚翻倍；此宝具带来的胜率惩罚至多为[-120/100/80%]。</t>
  </si>
  <si>
    <t>[主力位][骑乘]
令敌方主力位受到三次成功率=[80%]的负面判定（视为[即死]判定），若目标[敏捷]属性不小于
[40]，则这个判定的成功率减半。
每个成功的判定，都将令目标[筋力][耐久][敏捷]三项属性中一项属性受到[-20]的属性惩罚，若
目标对应属性存在补正，则这个属性惩罚减半；
若本次解放中，此宝具判定成功数达到[3]，则额外对目标造成一次[即死]效果，若不消耗一枚令
咒抵消，则立即退场。每场战斗中，此效果仅会在此宝具首次生效时生效。
解放此宝具后，给予自身[迟滞 1]。</t>
  </si>
  <si>
    <t>源流斗争</t>
  </si>
  <si>
    <t>[主力位][必中][无敌贯通]
宣言一项属性，给予敌方主力位[-宣言属性差%]的胜率惩罚；若双方战斗位上仅主力位存在单
位，则令此宝具带来的胜率惩罚翻倍；此宝具带来的胜率惩罚至多为[-100%]。</t>
  </si>
  <si>
    <t>答辨三剑</t>
  </si>
  <si>
    <t>[主力位]
解放后，给予自身[迟滞 1]。
特别的，下列效果同样受此[迟滞]效果影响。
令敌方主力位受到三次成功率=[40%]的负面判定，若目标[敏捷]属性不小于[40]，则这个判定
的成功率减半；若目标[敏捷]属性大于最终成功率，这个判定必定失败。
每个成功的判定，都将令目标[筋力][耐久][敏捷]三项属性中一项属性受到[-30]的属性惩罚。每
个失败的判定，都将令后续判定获得[+30%]基础成功率补正。
此宝具判定成功次数达到[1]时，基于此宝具提供给此次判定的基础成功率，给予目标[-判定成
功率%]的胜率惩罚。每场战斗中，此效果仅会在此宝具首次生效时生效</t>
  </si>
  <si>
    <t>秘剑·燕返</t>
  </si>
  <si>
    <t>绝招</t>
  </si>
  <si>
    <t>魔王</t>
  </si>
  <si>
    <t>三段突</t>
  </si>
  <si>
    <t>龙凯</t>
  </si>
  <si>
    <t>源流</t>
  </si>
  <si>
    <t>[主力位]
令敌方主力位受到三次成功率=[80%]的负面判定（视为[即死]判定），若目标[敏捷]属性不小于
[40]，则这个判定的成功率减半。
每个成功的判定，都将令目标[筋力][耐久][敏捷]三项属性中一项属性受到[-20]的属性惩罚，若
目标对应属性存在补正，则这个属性惩罚减半；
若本次解放中，此宝具判定成功数达到[3]，则额外对目标造成一次[即死]效果，若不消耗一枚令
咒抵消，则立即退场。每场战斗中，此效果仅会在此宝具首次生效时生效。
解放此宝具后，给予自身[迟滞 1]。</t>
  </si>
  <si>
    <t xml:space="preserve">对敌方战斗位上任一单位进行一次成功率=[30%]的负面判定。判定成功的场合下，令目标除[宝
具]以外的一项属性受到[-25]的属性惩罚，以及[-25%]的胜率惩罚。 </t>
  </si>
  <si>
    <t xml:space="preserve">对敌方战斗位上任一单位进行一次成功率=[30%]的负面判定。判定成功的场合下，令目标除[宝
具]以外的一项属性受到[-20]的属性惩罚，以及[-20%]的胜率惩罚。 </t>
  </si>
  <si>
    <t>仇远</t>
  </si>
  <si>
    <t>任官</t>
  </si>
  <si>
    <t>男</t>
  </si>
  <si>
    <t>cn</t>
  </si>
  <si>
    <t>天海</t>
  </si>
  <si>
    <t xml:space="preserve">对 魔力 </t>
  </si>
  <si>
    <t>作为职阶而获得</t>
  </si>
  <si>
    <t>反...复朝之心</t>
  </si>
  <si>
    <t>答辨三连</t>
  </si>
  <si>
    <t>一斩，足矣</t>
  </si>
  <si>
    <t>连续三道的踏足反击</t>
  </si>
  <si>
    <t>将手中的力气用于最后一段 ，凭借这最后一斩就够了</t>
  </si>
  <si>
    <t>秘剑</t>
  </si>
  <si>
    <t>拿起手中的武器 多想让自己直接的保家卫国</t>
  </si>
  <si>
    <t>成为这里并非我的所愿，总有1日 我会复兴曾经的他们的</t>
  </si>
  <si>
    <t>无辜的他</t>
  </si>
  <si>
    <t>改朝换代并非他所之愿，只是被迫而行</t>
  </si>
  <si>
    <t>这是最后的绝招，这是在乱世之中苟活下来的秘籍</t>
  </si>
  <si>
    <t>[主力位][反击]
自身发动技能或宝具时自动生效，令自身进行一次成功率=[30%]的判定，在成功的场合下，再
次支付一份发动条件，令这个技能或宝具的效果再次生效一次（视为同一次发动）。此效果不
会对[额外技能]和[额外宝具]生效</t>
  </si>
  <si>
    <t>[主力位]
建卡时，此技能允许无视面向获取。
发动时，此技能默认优先结算。
本场战斗中，自身下一个发动的技能或解放的宝具获得[无敌贯通]。
这之后，从以下效果选择一项生效：
1、令那个技能或宝具在首次生效时，其发起的判定获得[+40%]判定成功率。
2、令那个技能或宝具在首次生效时，给予目标[-40%]胜率惩罚以及[底限穿透：-10%]。
3、令那个技能或宝具在首次生效时，给予目标[耐久]属性[-40]属性惩罚。</t>
  </si>
  <si>
    <t>令自身受到的，来源于技能和宝具的负面判定受到[-10%]的基础成功率惩罚。
若受到此技能效果影响的[类型：魔术]技能未能对自身造成效果，给予自身[+10%]胜率补正。
当自身成为不来源自身的[类型：魔术]技能的效果对象时，允许宣言令其对自身的效果下降
[-]级。
若因此技能而导致其效果等级降低，但其效果不存在相应模板时，将以其效果最低等级生效；
若其效果等级降低至低于E级，则使之无效化，且不会返还发动消耗。</t>
  </si>
</sst>
</file>

<file path=xl/styles.xml><?xml version="1.0" encoding="utf-8"?>
<styleSheet xmlns="http://schemas.openxmlformats.org/spreadsheetml/2006/main">
  <numFmts count="4">
    <numFmt numFmtId="0" formatCode="General"/>
    <numFmt numFmtId="49" formatCode="@"/>
    <numFmt numFmtId="164" formatCode="[&gt;0]\ &quot;+&quot;?;[&lt;0]&quot;-&quot;?;General"/>
    <numFmt numFmtId="165" formatCode="&quot;/&quot;@"/>
  </numFmts>
  <fonts count="47">
    <font>
      <name val="宋体"/>
      <sz val="12"/>
    </font>
    <font>
      <name val="宋体"/>
      <b/>
      <charset val="134"/>
      <sz val="50"/>
      <color rgb="FFFF0000"/>
    </font>
    <font>
      <name val="新細明體"/>
      <charset val="134"/>
      <sz val="11"/>
      <color rgb="FF000000"/>
    </font>
    <font>
      <name val="宋体"/>
      <charset val="136"/>
      <sz val="12"/>
      <color rgb="FF000000"/>
    </font>
    <font>
      <name val="宋体"/>
      <b/>
      <charset val="134"/>
      <sz val="12"/>
      <color rgb="FFFF0000"/>
    </font>
    <font>
      <name val="微軟正黑體"/>
      <charset val="136"/>
      <sz val="12"/>
      <color rgb="FF000000"/>
    </font>
    <font>
      <name val="Microsoft JhengHei"/>
      <charset val="136"/>
      <sz val="12"/>
      <color rgb="FF000000"/>
    </font>
    <font>
      <name val="微软雅黑"/>
      <charset val="134"/>
      <sz val="12"/>
      <color rgb="FF000000"/>
    </font>
    <font>
      <name val="微软雅黑"/>
      <charset val="134"/>
      <sz val="12"/>
      <color rgb="FFF2F2F2"/>
    </font>
    <font>
      <name val="Microsoft JhengHei"/>
      <charset val="134"/>
      <sz val="11"/>
      <color rgb="FF000000"/>
    </font>
    <font>
      <name val="Microsoft JhengHei"/>
      <charset val="136"/>
      <sz val="11"/>
      <color rgb="FF000000"/>
    </font>
    <font>
      <name val="Microsoft JhengHei"/>
      <charset val="134"/>
      <sz val="12"/>
    </font>
    <font>
      <name val="Microsoft JhengHei"/>
      <charset val="134"/>
      <sz val="12"/>
      <color rgb="FFFFFFFF"/>
    </font>
    <font>
      <name val="Microsoft JhengHei"/>
      <charset val="134"/>
      <sz val="10"/>
      <color rgb="FF000000"/>
    </font>
    <font>
      <name val="Microsoft JhengHei"/>
      <b/>
      <charset val="136"/>
      <sz val="11"/>
      <color rgb="FF000000"/>
    </font>
    <font>
      <name val="Microsoft JhengHei"/>
      <charset val="134"/>
      <sz val="11"/>
    </font>
    <font>
      <name val="Microsoft JhengHei"/>
      <charset val="134"/>
      <sz val="12"/>
      <color rgb="FF000000"/>
    </font>
    <font>
      <name val="Microsoft JhengHei"/>
      <charset val="134"/>
      <sz val="10"/>
    </font>
    <font>
      <name val="Microsoft JhengHei"/>
      <b/>
      <charset val="134"/>
      <sz val="10"/>
      <color rgb="FF000000"/>
    </font>
    <font>
      <name val="Microsoft JhengHei"/>
      <charset val="134"/>
      <sz val="11"/>
      <color rgb="FFFFFFFF"/>
    </font>
    <font>
      <name val="Microsoft JhengHei"/>
      <b/>
      <charset val="134"/>
      <sz val="11"/>
    </font>
    <font>
      <name val="Microsoft JhengHei"/>
      <charset val="134"/>
      <sz val="10"/>
      <color rgb="FF000000"/>
    </font>
    <font>
      <name val="Microsoft JhengHei"/>
      <b/>
      <charset val="134"/>
      <sz val="11"/>
      <color rgb="FF000000"/>
    </font>
    <font>
      <name val="微軟正黑體"/>
      <charset val="134"/>
      <sz val="11"/>
    </font>
    <font>
      <name val="汉仪青云简"/>
      <charset val="134"/>
      <sz val="18"/>
    </font>
    <font>
      <name val="微軟正黑體"/>
      <charset val="134"/>
      <sz val="12"/>
      <color rgb="FF000000"/>
    </font>
    <font>
      <name val="微軟正黑體"/>
      <b/>
      <charset val="134"/>
      <sz val="12"/>
      <color rgb="FF000000"/>
    </font>
    <font>
      <name val="微軟正黑體"/>
      <charset val="134"/>
      <sz val="11"/>
      <color rgb="FF000000"/>
    </font>
    <font>
      <name val="汉仪青云简"/>
      <b/>
      <charset val="134"/>
      <sz val="18"/>
      <color rgb="FF000000"/>
    </font>
    <font>
      <name val="微軟正黑體"/>
      <charset val="134"/>
      <sz val="12"/>
    </font>
    <font>
      <name val="微軟正黑體"/>
      <b/>
      <charset val="134"/>
      <sz val="11"/>
      <color rgb="FFFF0000"/>
    </font>
    <font>
      <name val="宋体"/>
      <charset val="134"/>
      <sz val="12"/>
      <color rgb="FF000000"/>
    </font>
    <font>
      <name val="微軟正黑體"/>
      <charset val="134"/>
      <sz val="11"/>
      <color rgb="FF000000"/>
    </font>
    <font>
      <name val="kaiti"/>
      <charset val="136"/>
      <sz val="12"/>
      <color rgb="FF000000"/>
    </font>
    <font>
      <name val="kaiti"/>
      <charset val="136"/>
      <sz val="12"/>
      <color rgb="FFFF0000"/>
    </font>
    <font>
      <name val="KaiTi"/>
      <charset val="134"/>
      <sz val="11"/>
      <color rgb="FF000000"/>
    </font>
    <font>
      <name val="微软雅黑 Light"/>
      <charset val="136"/>
      <sz val="12"/>
      <color rgb="FF000000"/>
    </font>
    <font>
      <name val="微软雅黑 Light"/>
      <charset val="136"/>
      <sz val="12"/>
      <color rgb="FFFFFFFF"/>
    </font>
    <font>
      <name val="正黑宋体"/>
      <charset val="134"/>
      <sz val="12"/>
    </font>
    <font>
      <name val="正黑宋体"/>
      <charset val="136"/>
      <sz val="12"/>
      <color rgb="FF000000"/>
    </font>
    <font>
      <name val="正黑宋体"/>
      <charset val="134"/>
      <sz val="11"/>
      <color rgb="FF000000"/>
    </font>
    <font>
      <name val="正黑宋体"/>
      <charset val="136"/>
      <sz val="12"/>
    </font>
    <font>
      <name val="宋体"/>
      <charset val="134"/>
      <sz val="12"/>
      <color rgb="FF000000"/>
    </font>
    <font>
      <name val="宋体"/>
      <b/>
      <charset val="136"/>
      <sz val="11"/>
      <color rgb="FF1F497D"/>
    </font>
    <font>
      <name val="宋体"/>
      <b/>
      <charset val="134"/>
      <sz val="11"/>
      <color rgb="FF1F497D"/>
    </font>
    <font>
      <name val="宋体"/>
      <charset val="134"/>
      <sz val="12"/>
      <color rgb="FF3F3F76"/>
    </font>
    <font>
      <name val="宋体"/>
      <b/>
      <charset val="136"/>
      <sz val="15"/>
      <color rgb="FF1F497D"/>
    </font>
  </fonts>
  <fills count="27">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BFBFBF"/>
        <bgColor indexed="64"/>
      </patternFill>
    </fill>
    <fill>
      <patternFill patternType="solid">
        <fgColor rgb="FFFFC000"/>
        <bgColor indexed="64"/>
      </patternFill>
    </fill>
    <fill>
      <patternFill patternType="solid">
        <fgColor rgb="FFC5D9F1"/>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963634"/>
        <bgColor indexed="64"/>
      </patternFill>
    </fill>
    <fill>
      <patternFill patternType="solid">
        <fgColor rgb="FFDA9694"/>
        <bgColor indexed="64"/>
      </patternFill>
    </fill>
    <fill>
      <patternFill patternType="solid">
        <fgColor rgb="FF8DB4E2"/>
        <bgColor indexed="64"/>
      </patternFill>
    </fill>
    <fill>
      <patternFill patternType="solid">
        <fgColor rgb="FFFFCC99"/>
        <bgColor indexed="64"/>
      </patternFill>
    </fill>
  </fills>
  <borders count="6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BFBFBF"/>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medium">
        <color rgb="FF95B3D7"/>
      </bottom>
      <diagonal/>
    </border>
    <border>
      <left/>
      <right/>
      <top/>
      <bottom style="medium">
        <color rgb="FF4F81BD"/>
      </bottom>
      <diagonal/>
    </border>
  </borders>
  <cellStyleXfs count="7">
    <xf numFmtId="0" fontId="0" fillId="0" borderId="0">
      <alignment vertical="center"/>
    </xf>
    <xf numFmtId="0" fontId="42" fillId="0" borderId="0">
      <alignment vertical="bottom"/>
      <protection locked="0" hidden="0"/>
    </xf>
    <xf numFmtId="0" fontId="43" fillId="0" borderId="0">
      <alignment vertical="bottom"/>
      <protection locked="0" hidden="0"/>
    </xf>
    <xf numFmtId="0" fontId="44" fillId="0" borderId="0">
      <alignment vertical="bottom"/>
      <protection locked="0" hidden="0"/>
    </xf>
    <xf numFmtId="0" fontId="45" fillId="26" borderId="62">
      <alignment vertical="bottom"/>
      <protection locked="0" hidden="0"/>
    </xf>
    <xf numFmtId="0" fontId="44" fillId="0" borderId="63">
      <alignment vertical="bottom"/>
      <protection locked="0" hidden="0"/>
    </xf>
    <xf numFmtId="0" fontId="46" fillId="0" borderId="64">
      <alignment vertical="bottom"/>
      <protection locked="0" hidden="0"/>
    </xf>
  </cellStyleXfs>
  <cellXfs count="478">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Font="1" applyAlignment="1">
      <alignment horizontal="right" vertical="center"/>
    </xf>
    <xf numFmtId="0" fontId="4" fillId="0" borderId="0" xfId="0" applyFont="1">
      <alignment vertical="center"/>
    </xf>
    <xf numFmtId="49" fontId="5" fillId="0" borderId="0" xfId="0" applyNumberFormat="1" applyFont="1" applyAlignment="1">
      <alignment horizontal="right" vertical="center"/>
    </xf>
    <xf numFmtId="0" fontId="5" fillId="0" borderId="0" xfId="0" applyFont="1">
      <alignment vertical="center"/>
    </xf>
    <xf numFmtId="49" fontId="3" fillId="0" borderId="0" xfId="0" applyNumberFormat="1" applyFont="1" applyAlignment="1">
      <alignment horizontal="right" vertical="center"/>
    </xf>
    <xf numFmtId="0" fontId="3" fillId="0" borderId="0" xfId="0" applyFont="1">
      <alignment vertical="center"/>
    </xf>
    <xf numFmtId="0" fontId="6" fillId="0" borderId="0" xfId="0" applyFont="1">
      <alignment vertical="center"/>
    </xf>
    <xf numFmtId="0" fontId="2" fillId="0" borderId="0" xfId="0" applyFont="1" applyAlignment="1">
      <alignment horizontal="center" vertical="center"/>
    </xf>
    <xf numFmtId="0" fontId="7" fillId="0" borderId="0" xfId="1" applyFont="1">
      <alignment vertical="center"/>
    </xf>
    <xf numFmtId="0" fontId="8" fillId="0" borderId="0" xfId="1" applyFont="1" applyAlignment="1">
      <alignment horizontal="center" vertical="center"/>
    </xf>
    <xf numFmtId="0" fontId="9" fillId="2" borderId="1" xfId="1" applyFont="1" applyFill="1" applyBorder="1" applyAlignment="1">
      <alignment horizontal="center" vertical="center" wrapText="1"/>
    </xf>
    <xf numFmtId="0" fontId="9" fillId="2" borderId="2" xfId="1"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4"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9" fillId="2" borderId="6" xfId="1" applyFont="1" applyFill="1" applyBorder="1" applyAlignment="1">
      <alignment horizontal="center" vertical="center" wrapText="1"/>
    </xf>
    <xf numFmtId="0" fontId="10" fillId="2" borderId="1" xfId="0" applyFont="1" applyFill="1" applyBorder="1" applyAlignment="1">
      <alignment horizontal="center" vertical="center" wrapText="1"/>
    </xf>
    <xf numFmtId="164" fontId="11" fillId="3" borderId="7" xfId="1" applyNumberFormat="1" applyFont="1" applyFill="1" applyBorder="1" applyAlignment="1">
      <alignment horizontal="center" vertical="center" wrapText="1"/>
    </xf>
    <xf numFmtId="164" fontId="12" fillId="3" borderId="8" xfId="1" applyNumberFormat="1" applyFont="1" applyFill="1" applyBorder="1" applyAlignment="1">
      <alignment horizontal="center" vertical="center" wrapText="1"/>
    </xf>
    <xf numFmtId="164" fontId="12" fillId="3" borderId="9" xfId="1" applyNumberFormat="1" applyFont="1" applyFill="1" applyBorder="1" applyAlignment="1">
      <alignment horizontal="center" vertical="center" wrapText="1"/>
    </xf>
    <xf numFmtId="0" fontId="11" fillId="0" borderId="0" xfId="0" applyFont="1" applyAlignment="1">
      <alignment vertical="center" wrapText="1"/>
    </xf>
    <xf numFmtId="0" fontId="13" fillId="0" borderId="10" xfId="1" applyFont="1" applyBorder="1" applyAlignment="1">
      <alignment horizontal="center" vertical="center" wrapText="1"/>
    </xf>
    <xf numFmtId="0" fontId="13" fillId="0" borderId="0" xfId="1" applyFont="1" applyAlignment="1">
      <alignment horizontal="center" vertical="center" wrapText="1"/>
    </xf>
    <xf numFmtId="0" fontId="13" fillId="0" borderId="0" xfId="1" applyFont="1" applyBorder="1" applyAlignment="1">
      <alignment horizontal="center" vertical="center" wrapText="1"/>
    </xf>
    <xf numFmtId="49" fontId="13" fillId="4" borderId="4" xfId="1" applyNumberFormat="1" applyFont="1" applyFill="1" applyBorder="1" applyAlignment="1">
      <alignment horizontal="center" vertical="center" wrapText="1"/>
      <protection locked="0" hidden="0"/>
    </xf>
    <xf numFmtId="49" fontId="13" fillId="4" borderId="5" xfId="1" applyNumberFormat="1" applyFont="1" applyFill="1" applyBorder="1" applyAlignment="1">
      <alignment horizontal="center" vertical="center" wrapText="1"/>
      <protection locked="0" hidden="0"/>
    </xf>
    <xf numFmtId="49" fontId="13" fillId="4" borderId="6" xfId="1" applyNumberFormat="1" applyFont="1" applyFill="1" applyBorder="1" applyAlignment="1">
      <alignment horizontal="center" vertical="center" wrapText="1"/>
      <protection locked="0" hidden="0"/>
    </xf>
    <xf numFmtId="0" fontId="13" fillId="0" borderId="0" xfId="1" applyFont="1" applyBorder="1" applyAlignment="1">
      <alignment horizontal="center" vertical="center" wrapText="1"/>
      <protection locked="0" hidden="0"/>
    </xf>
    <xf numFmtId="0" fontId="13" fillId="0" borderId="0" xfId="1" applyFont="1" applyAlignment="1">
      <alignment horizontal="center" vertical="center" wrapText="1"/>
      <protection locked="0" hidden="0"/>
    </xf>
    <xf numFmtId="0" fontId="13" fillId="0" borderId="11" xfId="1" applyFont="1" applyBorder="1" applyAlignment="1">
      <alignment horizontal="center" vertical="center" wrapText="1"/>
      <protection locked="0" hidden="0"/>
    </xf>
    <xf numFmtId="0" fontId="14" fillId="2" borderId="12" xfId="0" applyFont="1" applyFill="1" applyBorder="1" applyAlignment="1">
      <alignment horizontal="center" vertical="center" wrapText="1"/>
    </xf>
    <xf numFmtId="164" fontId="15" fillId="5" borderId="13" xfId="1" applyNumberFormat="1" applyFont="1" applyFill="1" applyBorder="1" applyAlignment="1">
      <alignment horizontal="center" vertical="center" wrapText="1"/>
    </xf>
    <xf numFmtId="164" fontId="15" fillId="5" borderId="14" xfId="1" applyNumberFormat="1" applyFont="1" applyFill="1" applyBorder="1" applyAlignment="1">
      <alignment horizontal="center" vertical="center" wrapText="1"/>
    </xf>
    <xf numFmtId="164" fontId="15" fillId="6" borderId="14" xfId="1" applyNumberFormat="1" applyFont="1" applyFill="1" applyBorder="1" applyAlignment="1">
      <alignment horizontal="center" vertical="center" wrapText="1"/>
    </xf>
    <xf numFmtId="164" fontId="15" fillId="6" borderId="15" xfId="1" applyNumberFormat="1" applyFont="1" applyFill="1" applyBorder="1" applyAlignment="1">
      <alignment horizontal="center" vertical="center" wrapText="1"/>
    </xf>
    <xf numFmtId="0" fontId="16" fillId="0" borderId="0" xfId="1" applyFont="1" applyAlignment="1">
      <alignment vertical="center" wrapText="1"/>
    </xf>
    <xf numFmtId="0" fontId="16" fillId="6" borderId="13" xfId="1" applyFont="1" applyFill="1" applyBorder="1" applyAlignment="1">
      <alignment horizontal="center" vertical="center" wrapText="1"/>
    </xf>
    <xf numFmtId="0" fontId="16" fillId="6" borderId="14" xfId="1" applyFont="1" applyFill="1" applyBorder="1" applyAlignment="1">
      <alignment horizontal="center" vertical="center" wrapText="1"/>
    </xf>
    <xf numFmtId="0" fontId="16" fillId="6" borderId="15" xfId="1" applyFont="1" applyFill="1" applyBorder="1" applyAlignment="1">
      <alignment horizontal="center" vertical="center" wrapText="1"/>
    </xf>
    <xf numFmtId="0" fontId="13" fillId="0" borderId="16" xfId="1" applyFont="1" applyBorder="1" applyAlignment="1">
      <alignment horizontal="center" vertical="center" wrapText="1"/>
    </xf>
    <xf numFmtId="0" fontId="13" fillId="0" borderId="17" xfId="1" applyFont="1" applyBorder="1" applyAlignment="1">
      <alignment horizontal="center" vertical="center" wrapText="1"/>
    </xf>
    <xf numFmtId="49" fontId="13" fillId="4" borderId="10" xfId="1" applyNumberFormat="1" applyFont="1" applyFill="1" applyBorder="1" applyAlignment="1">
      <alignment horizontal="center" vertical="center" wrapText="1"/>
      <protection locked="0" hidden="0"/>
    </xf>
    <xf numFmtId="49" fontId="13" fillId="4" borderId="0" xfId="1" applyNumberFormat="1" applyFont="1" applyFill="1" applyAlignment="1">
      <alignment horizontal="center" vertical="center" wrapText="1"/>
      <protection locked="0" hidden="0"/>
    </xf>
    <xf numFmtId="49" fontId="13" fillId="4" borderId="11" xfId="1" applyNumberFormat="1" applyFont="1" applyFill="1" applyBorder="1" applyAlignment="1">
      <alignment horizontal="center" vertical="center" wrapText="1"/>
      <protection locked="0" hidden="0"/>
    </xf>
    <xf numFmtId="0" fontId="14" fillId="0" borderId="0" xfId="0" applyFont="1" applyFill="1" applyAlignment="1">
      <alignment horizontal="center" vertical="center" wrapText="1"/>
    </xf>
    <xf numFmtId="0" fontId="9" fillId="5" borderId="13" xfId="1" applyFont="1" applyFill="1" applyBorder="1" applyAlignment="1">
      <alignment horizontal="center" vertical="center" wrapText="1"/>
    </xf>
    <xf numFmtId="0" fontId="9" fillId="5" borderId="14" xfId="1" applyFont="1" applyFill="1" applyBorder="1" applyAlignment="1">
      <alignment horizontal="center" vertical="center" wrapText="1"/>
    </xf>
    <xf numFmtId="0" fontId="9" fillId="6" borderId="14" xfId="1" applyFont="1" applyFill="1" applyBorder="1" applyAlignment="1">
      <alignment horizontal="center" vertical="center" wrapText="1"/>
    </xf>
    <xf numFmtId="0" fontId="9" fillId="6" borderId="15" xfId="1" applyFont="1" applyFill="1" applyBorder="1" applyAlignment="1">
      <alignment horizontal="center" vertical="center" wrapText="1"/>
    </xf>
    <xf numFmtId="0" fontId="9" fillId="2" borderId="7" xfId="1" applyFont="1" applyFill="1" applyBorder="1" applyAlignment="1">
      <alignment horizontal="center" vertical="center" wrapText="1"/>
    </xf>
    <xf numFmtId="0" fontId="9" fillId="2" borderId="8" xfId="1" applyFont="1" applyFill="1" applyBorder="1" applyAlignment="1">
      <alignment horizontal="center" vertical="center" wrapText="1"/>
    </xf>
    <xf numFmtId="0" fontId="9" fillId="2" borderId="18" xfId="1" applyFont="1" applyFill="1" applyBorder="1" applyAlignment="1">
      <alignment horizontal="center" vertical="center" wrapText="1"/>
    </xf>
    <xf numFmtId="0" fontId="13" fillId="0" borderId="19" xfId="1" applyFont="1" applyBorder="1" applyAlignment="1">
      <alignment horizontal="center" vertical="center" wrapText="1"/>
      <protection locked="0" hidden="0"/>
    </xf>
    <xf numFmtId="0" fontId="13" fillId="0" borderId="20" xfId="1" applyFont="1" applyBorder="1" applyAlignment="1">
      <alignment horizontal="center" vertical="center" wrapText="1"/>
      <protection locked="0" hidden="0"/>
    </xf>
    <xf numFmtId="0" fontId="9" fillId="6" borderId="21" xfId="1" applyFont="1" applyFill="1" applyBorder="1" applyAlignment="1">
      <alignment horizontal="center" vertical="center" wrapText="1"/>
    </xf>
    <xf numFmtId="0" fontId="13" fillId="0" borderId="10" xfId="1" applyFont="1" applyBorder="1" applyAlignment="1">
      <alignment horizontal="center" vertical="center" wrapText="1"/>
      <protection locked="0" hidden="0"/>
    </xf>
    <xf numFmtId="164" fontId="9" fillId="4" borderId="0" xfId="0" applyNumberFormat="1" applyFont="1" applyFill="1" applyAlignment="1">
      <alignment horizontal="center" vertical="center" wrapText="1"/>
    </xf>
    <xf numFmtId="0" fontId="16" fillId="6" borderId="22" xfId="1" applyFont="1" applyFill="1" applyBorder="1" applyAlignment="1">
      <alignment horizontal="center" vertical="center" wrapText="1"/>
    </xf>
    <xf numFmtId="0" fontId="16" fillId="6" borderId="23" xfId="1" applyFont="1" applyFill="1" applyBorder="1" applyAlignment="1">
      <alignment horizontal="center" vertical="center" wrapText="1"/>
    </xf>
    <xf numFmtId="0" fontId="16" fillId="6" borderId="24" xfId="1" applyFont="1" applyFill="1" applyBorder="1" applyAlignment="1">
      <alignment horizontal="center" vertical="center" wrapText="1"/>
    </xf>
    <xf numFmtId="49" fontId="13" fillId="4" borderId="16" xfId="1" applyNumberFormat="1" applyFont="1" applyFill="1" applyBorder="1" applyAlignment="1">
      <alignment horizontal="center" vertical="center" wrapText="1"/>
      <protection locked="0" hidden="0"/>
    </xf>
    <xf numFmtId="49" fontId="13" fillId="4" borderId="17" xfId="1" applyNumberFormat="1" applyFont="1" applyFill="1" applyBorder="1" applyAlignment="1">
      <alignment horizontal="center" vertical="center" wrapText="1"/>
      <protection locked="0" hidden="0"/>
    </xf>
    <xf numFmtId="49" fontId="13" fillId="4" borderId="25" xfId="1" applyNumberFormat="1" applyFont="1" applyFill="1" applyBorder="1" applyAlignment="1">
      <alignment horizontal="center" vertical="center" wrapText="1"/>
      <protection locked="0" hidden="0"/>
    </xf>
    <xf numFmtId="0" fontId="9" fillId="4" borderId="14" xfId="1" applyFont="1" applyFill="1" applyBorder="1" applyAlignment="1">
      <alignment horizontal="center" vertical="center" wrapText="1"/>
      <protection locked="0" hidden="0"/>
    </xf>
    <xf numFmtId="0" fontId="9" fillId="4" borderId="15" xfId="1" applyFont="1" applyFill="1" applyBorder="1" applyAlignment="1">
      <alignment horizontal="center" vertical="center" wrapText="1"/>
      <protection locked="0" hidden="0"/>
    </xf>
    <xf numFmtId="0" fontId="13" fillId="0" borderId="8" xfId="0" applyFont="1" applyBorder="1" applyAlignment="1">
      <alignment horizontal="center" vertical="center" wrapText="1"/>
      <protection locked="0" hidden="0"/>
    </xf>
    <xf numFmtId="0" fontId="13" fillId="0" borderId="9" xfId="0" applyFont="1" applyBorder="1" applyAlignment="1">
      <alignment horizontal="center" vertical="center" wrapText="1"/>
      <protection locked="0" hidden="0"/>
    </xf>
    <xf numFmtId="0" fontId="9" fillId="2" borderId="13" xfId="1" applyFont="1" applyFill="1" applyBorder="1" applyAlignment="1">
      <alignment horizontal="center" vertical="center" wrapText="1"/>
    </xf>
    <xf numFmtId="0" fontId="13" fillId="4" borderId="14" xfId="1" applyFont="1" applyFill="1" applyBorder="1" applyAlignment="1">
      <alignment horizontal="center" vertical="center" wrapText="1"/>
      <protection locked="0" hidden="0"/>
    </xf>
    <xf numFmtId="0" fontId="13" fillId="4" borderId="15" xfId="1" applyFont="1" applyFill="1" applyBorder="1" applyAlignment="1">
      <alignment horizontal="center" vertical="center" wrapText="1"/>
      <protection locked="0" hidden="0"/>
    </xf>
    <xf numFmtId="0" fontId="13" fillId="2" borderId="13" xfId="1" applyFont="1" applyFill="1" applyBorder="1" applyAlignment="1">
      <alignment horizontal="center" vertical="center" wrapText="1"/>
    </xf>
    <xf numFmtId="164" fontId="15" fillId="5" borderId="22" xfId="1" applyNumberFormat="1" applyFont="1" applyFill="1" applyBorder="1" applyAlignment="1">
      <alignment horizontal="center" vertical="center" wrapText="1"/>
    </xf>
    <xf numFmtId="164" fontId="15" fillId="5" borderId="23" xfId="1" applyNumberFormat="1" applyFont="1" applyFill="1" applyBorder="1" applyAlignment="1">
      <alignment horizontal="center" vertical="center" wrapText="1"/>
    </xf>
    <xf numFmtId="164" fontId="15" fillId="6" borderId="23" xfId="1" applyNumberFormat="1" applyFont="1" applyFill="1" applyBorder="1" applyAlignment="1">
      <alignment horizontal="center" vertical="center" wrapText="1"/>
    </xf>
    <xf numFmtId="164" fontId="15" fillId="6" borderId="24" xfId="1" applyNumberFormat="1" applyFont="1" applyFill="1" applyBorder="1" applyAlignment="1">
      <alignment horizontal="center" vertical="center" wrapText="1"/>
    </xf>
    <xf numFmtId="0" fontId="16" fillId="3" borderId="4" xfId="1" applyFont="1" applyFill="1" applyBorder="1" applyAlignment="1">
      <alignment horizontal="center" vertical="center" wrapText="1"/>
    </xf>
    <xf numFmtId="0" fontId="16" fillId="3" borderId="5" xfId="1" applyFont="1" applyFill="1" applyBorder="1" applyAlignment="1">
      <alignment horizontal="center" vertical="center" wrapText="1"/>
    </xf>
    <xf numFmtId="0" fontId="16" fillId="3" borderId="6" xfId="1" applyFont="1" applyFill="1" applyBorder="1" applyAlignment="1">
      <alignment horizontal="center" vertical="center" wrapText="1"/>
    </xf>
    <xf numFmtId="0" fontId="9" fillId="2" borderId="22" xfId="1" applyFont="1" applyFill="1" applyBorder="1" applyAlignment="1">
      <alignment horizontal="center" vertical="center" wrapText="1"/>
    </xf>
    <xf numFmtId="164" fontId="17" fillId="4" borderId="23" xfId="1" applyNumberFormat="1" applyFont="1" applyFill="1" applyBorder="1" applyAlignment="1">
      <alignment horizontal="center" vertical="center" wrapText="1"/>
      <protection locked="0" hidden="0"/>
    </xf>
    <xf numFmtId="164" fontId="17" fillId="4" borderId="24" xfId="1" applyNumberFormat="1" applyFont="1" applyFill="1" applyBorder="1" applyAlignment="1">
      <alignment horizontal="center" vertical="center" wrapText="1"/>
      <protection locked="0" hidden="0"/>
    </xf>
    <xf numFmtId="0" fontId="9" fillId="0" borderId="0" xfId="1" applyFont="1" applyAlignment="1">
      <alignment vertical="center" wrapText="1"/>
    </xf>
    <xf numFmtId="0" fontId="15" fillId="5" borderId="13" xfId="2" applyFont="1" applyFill="1" applyBorder="1" applyAlignment="1">
      <alignment horizontal="center" vertical="center" wrapText="1"/>
    </xf>
    <xf numFmtId="164" fontId="15" fillId="5" borderId="14" xfId="2" applyNumberFormat="1" applyFont="1" applyFill="1" applyBorder="1" applyAlignment="1">
      <alignment horizontal="center" vertical="center" wrapText="1"/>
    </xf>
    <xf numFmtId="0" fontId="15" fillId="5" borderId="14" xfId="2" applyNumberFormat="1" applyFont="1" applyFill="1" applyBorder="1" applyAlignment="1">
      <alignment horizontal="center" vertical="center" wrapText="1"/>
    </xf>
    <xf numFmtId="0" fontId="15" fillId="5" borderId="15" xfId="2" applyNumberFormat="1" applyFont="1" applyFill="1" applyBorder="1" applyAlignment="1">
      <alignment horizontal="center" vertical="center" wrapText="1"/>
    </xf>
    <xf numFmtId="0" fontId="13" fillId="2" borderId="7" xfId="1" applyFont="1" applyFill="1" applyBorder="1" applyAlignment="1">
      <alignment horizontal="center" vertical="center" wrapText="1"/>
    </xf>
    <xf numFmtId="0" fontId="9" fillId="2" borderId="8" xfId="2" applyFont="1" applyFill="1" applyBorder="1" applyAlignment="1">
      <alignment horizontal="center" vertical="center" wrapText="1"/>
    </xf>
    <xf numFmtId="0" fontId="9" fillId="2" borderId="26" xfId="2" applyFont="1" applyFill="1" applyBorder="1" applyAlignment="1">
      <alignment horizontal="center" vertical="center" wrapText="1"/>
    </xf>
    <xf numFmtId="0" fontId="13" fillId="2" borderId="9" xfId="1" applyFont="1" applyFill="1" applyBorder="1" applyAlignment="1">
      <alignment horizontal="center" vertical="center" wrapText="1"/>
    </xf>
    <xf numFmtId="0" fontId="15" fillId="5" borderId="22" xfId="2" applyNumberFormat="1" applyFont="1" applyFill="1" applyBorder="1" applyAlignment="1">
      <alignment horizontal="center" vertical="center" wrapText="1"/>
    </xf>
    <xf numFmtId="164" fontId="15" fillId="5" borderId="23" xfId="2" applyNumberFormat="1" applyFont="1" applyFill="1" applyBorder="1" applyAlignment="1">
      <alignment horizontal="center" vertical="center" wrapText="1"/>
    </xf>
    <xf numFmtId="0" fontId="15" fillId="5" borderId="23" xfId="2" applyNumberFormat="1" applyFont="1" applyFill="1" applyBorder="1" applyAlignment="1">
      <alignment horizontal="center" vertical="center" wrapText="1"/>
    </xf>
    <xf numFmtId="0" fontId="15" fillId="5" borderId="24" xfId="2" applyNumberFormat="1" applyFont="1" applyFill="1" applyBorder="1" applyAlignment="1">
      <alignment horizontal="center" vertical="center" wrapText="1"/>
    </xf>
    <xf numFmtId="0" fontId="9" fillId="0" borderId="0" xfId="1" applyFont="1" applyAlignment="1">
      <alignment horizontal="center" vertical="center" wrapText="1"/>
    </xf>
    <xf numFmtId="0" fontId="18" fillId="2" borderId="14" xfId="1" applyFont="1" applyFill="1" applyBorder="1" applyAlignment="1">
      <alignment horizontal="center" vertical="center" wrapText="1"/>
    </xf>
    <xf numFmtId="0" fontId="18" fillId="2" borderId="14" xfId="1" applyNumberFormat="1" applyFont="1" applyFill="1" applyBorder="1" applyAlignment="1">
      <alignment horizontal="center" vertical="center" wrapText="1"/>
    </xf>
    <xf numFmtId="0" fontId="18" fillId="2" borderId="15" xfId="1" applyFont="1" applyFill="1" applyBorder="1" applyAlignment="1">
      <alignment horizontal="center" vertical="center" wrapText="1"/>
    </xf>
    <xf numFmtId="0" fontId="14" fillId="2" borderId="27" xfId="0" applyFont="1" applyFill="1" applyBorder="1" applyAlignment="1">
      <alignment horizontal="center" vertical="center" wrapText="1"/>
    </xf>
    <xf numFmtId="164" fontId="19" fillId="4" borderId="0" xfId="1" applyNumberFormat="1" applyFont="1" applyFill="1" applyAlignment="1">
      <alignment horizontal="center" vertical="center" wrapText="1"/>
    </xf>
    <xf numFmtId="164" fontId="13" fillId="2" borderId="14" xfId="1" applyNumberFormat="1" applyFont="1" applyFill="1" applyBorder="1" applyAlignment="1">
      <alignment horizontal="center" vertical="center" wrapText="1"/>
    </xf>
    <xf numFmtId="0" fontId="9" fillId="2" borderId="14" xfId="3" applyFont="1" applyFill="1" applyBorder="1" applyAlignment="1">
      <alignment horizontal="center" vertical="center" wrapText="1"/>
    </xf>
    <xf numFmtId="0" fontId="13" fillId="2" borderId="14" xfId="1" applyFont="1" applyFill="1" applyBorder="1" applyAlignment="1">
      <alignment horizontal="center" vertical="center" wrapText="1"/>
    </xf>
    <xf numFmtId="0" fontId="17" fillId="0" borderId="0" xfId="0" applyFont="1" applyAlignment="1">
      <alignment vertical="center" wrapText="1"/>
    </xf>
    <xf numFmtId="0" fontId="9" fillId="0" borderId="0" xfId="1" applyFont="1" applyFill="1" applyAlignment="1">
      <alignment horizontal="center" vertical="center" wrapText="1"/>
    </xf>
    <xf numFmtId="0" fontId="9" fillId="0" borderId="0" xfId="1" applyFont="1" applyFill="1" applyAlignment="1">
      <alignment vertical="center" wrapText="1"/>
    </xf>
    <xf numFmtId="0" fontId="13" fillId="0" borderId="14" xfId="0" applyFont="1" applyBorder="1" applyAlignment="1">
      <alignment horizontal="center" vertical="center" wrapText="1"/>
      <protection locked="0" hidden="0"/>
    </xf>
    <xf numFmtId="0" fontId="13" fillId="4" borderId="14" xfId="2" applyFont="1" applyFill="1" applyBorder="1" applyAlignment="1">
      <alignment horizontal="center" vertical="center" wrapText="1"/>
      <protection locked="0" hidden="0"/>
    </xf>
    <xf numFmtId="0" fontId="13" fillId="4" borderId="14" xfId="1" applyNumberFormat="1" applyFont="1" applyFill="1" applyBorder="1" applyAlignment="1">
      <alignment horizontal="center" vertical="center" wrapText="1"/>
      <protection locked="0" hidden="0"/>
    </xf>
    <xf numFmtId="0" fontId="13" fillId="2" borderId="28" xfId="1" applyFont="1" applyFill="1" applyBorder="1" applyAlignment="1">
      <alignment horizontal="center" vertical="center" wrapText="1"/>
    </xf>
    <xf numFmtId="0" fontId="13" fillId="2" borderId="29" xfId="1" applyFont="1" applyFill="1" applyBorder="1" applyAlignment="1">
      <alignment horizontal="center" vertical="center" wrapText="1"/>
    </xf>
    <xf numFmtId="0" fontId="16" fillId="0" borderId="0" xfId="1" applyFont="1" applyFill="1" applyAlignment="1">
      <alignment vertical="center" wrapText="1"/>
    </xf>
    <xf numFmtId="0" fontId="13" fillId="2" borderId="22" xfId="1" applyFont="1" applyFill="1" applyBorder="1" applyAlignment="1">
      <alignment horizontal="center" vertical="center" wrapText="1"/>
    </xf>
    <xf numFmtId="164" fontId="13" fillId="4" borderId="23" xfId="2" applyNumberFormat="1" applyFont="1" applyFill="1" applyBorder="1" applyAlignment="1">
      <alignment horizontal="center" vertical="center" wrapText="1"/>
      <protection locked="0" hidden="0"/>
    </xf>
    <xf numFmtId="164" fontId="13" fillId="4" borderId="23" xfId="1" applyNumberFormat="1" applyFont="1" applyFill="1" applyBorder="1" applyAlignment="1">
      <alignment horizontal="center" vertical="center" wrapText="1"/>
      <protection locked="0" hidden="0"/>
    </xf>
    <xf numFmtId="0" fontId="18" fillId="2" borderId="30" xfId="1" applyNumberFormat="1" applyFont="1" applyFill="1" applyBorder="1" applyAlignment="1">
      <alignment horizontal="center" vertical="center" wrapText="1"/>
    </xf>
    <xf numFmtId="0" fontId="13" fillId="0" borderId="27" xfId="1" applyFont="1" applyBorder="1" applyAlignment="1">
      <alignment horizontal="center" vertical="center" wrapText="1"/>
      <protection locked="0" hidden="0"/>
    </xf>
    <xf numFmtId="0" fontId="20" fillId="7" borderId="31" xfId="2" applyFont="1" applyFill="1" applyBorder="1" applyAlignment="1">
      <alignment horizontal="center" vertical="center" wrapText="1"/>
    </xf>
    <xf numFmtId="0" fontId="20" fillId="7" borderId="32" xfId="2" applyNumberFormat="1" applyFont="1" applyFill="1" applyBorder="1" applyAlignment="1">
      <alignment horizontal="center" vertical="center" wrapText="1"/>
    </xf>
    <xf numFmtId="0" fontId="20" fillId="7" borderId="32" xfId="2" applyFont="1" applyFill="1" applyBorder="1" applyAlignment="1">
      <alignment horizontal="center" vertical="center" wrapText="1"/>
    </xf>
    <xf numFmtId="0" fontId="20" fillId="7" borderId="33" xfId="2" applyNumberFormat="1" applyFont="1" applyFill="1" applyBorder="1" applyAlignment="1">
      <alignment horizontal="center" vertical="center" wrapText="1"/>
    </xf>
    <xf numFmtId="0" fontId="20" fillId="8" borderId="34" xfId="3" applyFont="1" applyFill="1" applyBorder="1" applyAlignment="1">
      <alignment horizontal="center" vertical="center" wrapText="1"/>
    </xf>
    <xf numFmtId="0" fontId="20" fillId="8" borderId="35" xfId="3" applyFont="1" applyFill="1" applyBorder="1" applyAlignment="1">
      <alignment horizontal="center" vertical="center" wrapText="1"/>
    </xf>
    <xf numFmtId="0" fontId="20" fillId="8" borderId="35" xfId="3" applyNumberFormat="1" applyFont="1" applyFill="1" applyBorder="1" applyAlignment="1">
      <alignment horizontal="center" vertical="center" wrapText="1"/>
    </xf>
    <xf numFmtId="0" fontId="20" fillId="8" borderId="36" xfId="3" applyNumberFormat="1" applyFont="1" applyFill="1" applyBorder="1" applyAlignment="1">
      <alignment horizontal="center" vertical="center" wrapText="1"/>
    </xf>
    <xf numFmtId="0" fontId="9" fillId="9" borderId="13" xfId="2" applyFont="1" applyFill="1" applyBorder="1" applyAlignment="1">
      <alignment horizontal="center" vertical="center" wrapText="1"/>
    </xf>
    <xf numFmtId="0" fontId="9" fillId="0" borderId="14" xfId="1" applyFont="1" applyBorder="1" applyAlignment="1">
      <alignment horizontal="center" vertical="center" wrapText="1"/>
      <protection locked="0" hidden="0"/>
    </xf>
    <xf numFmtId="0" fontId="9" fillId="9" borderId="14" xfId="2" applyFont="1" applyFill="1" applyBorder="1" applyAlignment="1">
      <alignment horizontal="center" vertical="center" wrapText="1"/>
    </xf>
    <xf numFmtId="0" fontId="9" fillId="4" borderId="14" xfId="2" applyFont="1" applyFill="1" applyBorder="1" applyAlignment="1">
      <alignment horizontal="center" vertical="center" wrapText="1"/>
      <protection locked="0" hidden="0"/>
    </xf>
    <xf numFmtId="0" fontId="9" fillId="0" borderId="14" xfId="1" applyFont="1" applyFill="1" applyBorder="1" applyAlignment="1">
      <alignment horizontal="center" vertical="center" wrapText="1"/>
      <protection locked="0" hidden="0"/>
    </xf>
    <xf numFmtId="0" fontId="9" fillId="4" borderId="15" xfId="2" applyFont="1" applyFill="1" applyBorder="1" applyAlignment="1">
      <alignment horizontal="center" vertical="center" wrapText="1"/>
    </xf>
    <xf numFmtId="0" fontId="9" fillId="10" borderId="13" xfId="2" applyFont="1" applyFill="1" applyBorder="1" applyAlignment="1">
      <alignment horizontal="center" vertical="center" wrapText="1"/>
    </xf>
    <xf numFmtId="0" fontId="9" fillId="10" borderId="14" xfId="2" applyFont="1" applyFill="1" applyBorder="1" applyAlignment="1">
      <alignment horizontal="center" vertical="center" wrapText="1"/>
    </xf>
    <xf numFmtId="0" fontId="9" fillId="0" borderId="37" xfId="1" applyFont="1" applyBorder="1" applyAlignment="1">
      <alignment horizontal="center" vertical="center" wrapText="1"/>
      <protection locked="0" hidden="0"/>
    </xf>
    <xf numFmtId="0" fontId="9" fillId="0" borderId="38" xfId="1" applyFont="1" applyBorder="1" applyAlignment="1">
      <alignment horizontal="center" vertical="center" wrapText="1"/>
      <protection locked="0" hidden="0"/>
    </xf>
    <xf numFmtId="0" fontId="9" fillId="0" borderId="28" xfId="1" applyFont="1" applyFill="1" applyBorder="1" applyAlignment="1">
      <alignment horizontal="center" vertical="center" wrapText="1"/>
      <protection locked="0" hidden="0"/>
    </xf>
    <xf numFmtId="165" fontId="9" fillId="0" borderId="39" xfId="1" applyNumberFormat="1" applyFont="1" applyBorder="1" applyAlignment="1">
      <alignment horizontal="left" vertical="center" wrapText="1"/>
      <protection locked="0" hidden="0"/>
    </xf>
    <xf numFmtId="0" fontId="9" fillId="0" borderId="40" xfId="1" applyFont="1" applyBorder="1" applyAlignment="1">
      <alignment horizontal="center" vertical="center" wrapText="1"/>
      <protection locked="0" hidden="0"/>
    </xf>
    <xf numFmtId="0" fontId="9" fillId="0" borderId="41" xfId="1" applyFont="1" applyBorder="1" applyAlignment="1">
      <alignment horizontal="center" vertical="center" wrapText="1"/>
      <protection locked="0" hidden="0"/>
    </xf>
    <xf numFmtId="0" fontId="9" fillId="0" borderId="39" xfId="1" applyFont="1" applyBorder="1" applyAlignment="1">
      <alignment horizontal="center" vertical="center" wrapText="1"/>
      <protection locked="0" hidden="0"/>
    </xf>
    <xf numFmtId="0" fontId="7" fillId="0" borderId="0" xfId="1" applyFont="1" applyFill="1">
      <alignment vertical="center"/>
    </xf>
    <xf numFmtId="0" fontId="9" fillId="0" borderId="15" xfId="1" applyFont="1" applyBorder="1" applyAlignment="1">
      <alignment horizontal="center" vertical="center" wrapText="1"/>
      <protection locked="0" hidden="0"/>
    </xf>
    <xf numFmtId="0" fontId="21" fillId="0" borderId="14" xfId="1" applyFont="1" applyBorder="1" applyAlignment="1">
      <alignment horizontal="center" vertical="center" wrapText="1"/>
      <protection locked="0" hidden="0"/>
    </xf>
    <xf numFmtId="0" fontId="21" fillId="0" borderId="15" xfId="1" applyFont="1" applyBorder="1" applyAlignment="1">
      <alignment horizontal="center" vertical="center" wrapText="1"/>
      <protection locked="0" hidden="0"/>
    </xf>
    <xf numFmtId="0" fontId="7" fillId="0" borderId="0" xfId="1" applyFont="1" applyAlignment="1">
      <alignment horizontal="center" vertical="center"/>
    </xf>
    <xf numFmtId="165" fontId="9" fillId="0" borderId="39" xfId="1" applyNumberFormat="1" applyFont="1" applyBorder="1" applyAlignment="1">
      <alignment horizontal="center" vertical="center" wrapText="1"/>
      <protection locked="0" hidden="0"/>
    </xf>
    <xf numFmtId="0" fontId="9" fillId="0" borderId="28" xfId="1" applyFont="1" applyFill="1" applyBorder="1" applyAlignment="1">
      <alignment horizontal="right" vertical="center" wrapText="1"/>
      <protection locked="0" hidden="0"/>
    </xf>
    <xf numFmtId="0" fontId="9" fillId="0" borderId="39" xfId="1" applyFont="1" applyBorder="1" applyAlignment="1">
      <alignment horizontal="left" vertical="center" wrapText="1"/>
      <protection locked="0" hidden="0"/>
    </xf>
    <xf numFmtId="0" fontId="9" fillId="9" borderId="42" xfId="2" applyFont="1" applyFill="1" applyBorder="1" applyAlignment="1">
      <alignment horizontal="center" vertical="center" wrapText="1"/>
    </xf>
    <xf numFmtId="0" fontId="9" fillId="0" borderId="43" xfId="1" applyFont="1" applyBorder="1" applyAlignment="1">
      <alignment horizontal="center" vertical="center" wrapText="1"/>
      <protection locked="0" hidden="0"/>
    </xf>
    <xf numFmtId="0" fontId="9" fillId="0" borderId="44" xfId="1" applyFont="1" applyBorder="1" applyAlignment="1">
      <alignment horizontal="center" vertical="center" wrapText="1"/>
      <protection locked="0" hidden="0"/>
    </xf>
    <xf numFmtId="0" fontId="9" fillId="10" borderId="42" xfId="2" applyFont="1" applyFill="1" applyBorder="1" applyAlignment="1">
      <alignment horizontal="center" vertical="center" wrapText="1"/>
    </xf>
    <xf numFmtId="0" fontId="20" fillId="11" borderId="34" xfId="2" applyFont="1" applyFill="1" applyBorder="1" applyAlignment="1">
      <alignment horizontal="center" vertical="center" wrapText="1"/>
    </xf>
    <xf numFmtId="0" fontId="20" fillId="11" borderId="35" xfId="2" applyFont="1" applyFill="1" applyBorder="1" applyAlignment="1">
      <alignment horizontal="center" vertical="center" wrapText="1"/>
    </xf>
    <xf numFmtId="0" fontId="20" fillId="11" borderId="35" xfId="2" applyNumberFormat="1" applyFont="1" applyFill="1" applyBorder="1" applyAlignment="1">
      <alignment horizontal="center" vertical="center" wrapText="1"/>
    </xf>
    <xf numFmtId="0" fontId="20" fillId="11" borderId="36" xfId="2" applyNumberFormat="1" applyFont="1" applyFill="1" applyBorder="1" applyAlignment="1">
      <alignment horizontal="center" vertical="center" wrapText="1"/>
    </xf>
    <xf numFmtId="0" fontId="22" fillId="0" borderId="0" xfId="1" applyFont="1" applyAlignment="1">
      <alignment horizontal="center" vertical="center" wrapText="1"/>
    </xf>
    <xf numFmtId="0" fontId="20" fillId="12" borderId="34" xfId="3" applyFont="1" applyFill="1" applyBorder="1" applyAlignment="1">
      <alignment horizontal="center" vertical="center" wrapText="1"/>
    </xf>
    <xf numFmtId="0" fontId="20" fillId="12" borderId="35" xfId="3" applyFont="1" applyFill="1" applyBorder="1" applyAlignment="1">
      <alignment horizontal="center" vertical="center" wrapText="1"/>
    </xf>
    <xf numFmtId="0" fontId="20" fillId="12" borderId="35" xfId="3" applyNumberFormat="1" applyFont="1" applyFill="1" applyBorder="1" applyAlignment="1">
      <alignment horizontal="center" vertical="center" wrapText="1"/>
    </xf>
    <xf numFmtId="0" fontId="20" fillId="12" borderId="36" xfId="3" applyNumberFormat="1" applyFont="1" applyFill="1" applyBorder="1" applyAlignment="1">
      <alignment horizontal="center" vertical="center" wrapText="1"/>
    </xf>
    <xf numFmtId="0" fontId="21" fillId="13" borderId="13" xfId="2" applyFont="1" applyFill="1" applyBorder="1" applyAlignment="1">
      <alignment horizontal="center" vertical="center" wrapText="1"/>
    </xf>
    <xf numFmtId="0" fontId="21" fillId="13" borderId="14" xfId="2" applyFont="1" applyFill="1" applyBorder="1" applyAlignment="1">
      <alignment horizontal="center" vertical="center" wrapText="1"/>
    </xf>
    <xf numFmtId="0" fontId="21" fillId="4" borderId="14" xfId="2" applyFont="1" applyFill="1" applyBorder="1" applyAlignment="1">
      <alignment horizontal="center" vertical="center" wrapText="1"/>
      <protection locked="0" hidden="0"/>
    </xf>
    <xf numFmtId="0" fontId="21" fillId="0" borderId="14" xfId="1" applyFont="1" applyFill="1" applyBorder="1" applyAlignment="1">
      <alignment horizontal="center" vertical="center" wrapText="1"/>
      <protection locked="0" hidden="0"/>
    </xf>
    <xf numFmtId="0" fontId="21" fillId="4" borderId="15" xfId="2" applyFont="1" applyFill="1" applyBorder="1" applyAlignment="1">
      <alignment horizontal="center" vertical="center" wrapText="1"/>
    </xf>
    <xf numFmtId="0" fontId="21" fillId="0" borderId="0" xfId="1" applyFont="1" applyAlignment="1">
      <alignment horizontal="center" vertical="center" wrapText="1"/>
    </xf>
    <xf numFmtId="0" fontId="21" fillId="6" borderId="13" xfId="2" applyFont="1" applyFill="1" applyBorder="1" applyAlignment="1">
      <alignment horizontal="center" vertical="center" wrapText="1"/>
    </xf>
    <xf numFmtId="0" fontId="21" fillId="6" borderId="14" xfId="2" applyFont="1" applyFill="1" applyBorder="1" applyAlignment="1">
      <alignment horizontal="center" vertical="center" wrapText="1"/>
    </xf>
    <xf numFmtId="0" fontId="21" fillId="0" borderId="37" xfId="1" applyFont="1" applyBorder="1" applyAlignment="1">
      <alignment horizontal="center" vertical="center" wrapText="1"/>
      <protection locked="0" hidden="0"/>
    </xf>
    <xf numFmtId="0" fontId="21" fillId="0" borderId="38" xfId="1" applyFont="1" applyBorder="1" applyAlignment="1">
      <alignment horizontal="center" vertical="center" wrapText="1"/>
      <protection locked="0" hidden="0"/>
    </xf>
    <xf numFmtId="0" fontId="21" fillId="0" borderId="28" xfId="1" applyFont="1" applyFill="1" applyBorder="1" applyAlignment="1">
      <alignment horizontal="center" vertical="center" wrapText="1"/>
      <protection locked="0" hidden="0"/>
    </xf>
    <xf numFmtId="165" fontId="21" fillId="0" borderId="39" xfId="1" applyNumberFormat="1" applyFont="1" applyBorder="1" applyAlignment="1">
      <alignment horizontal="center" vertical="center" wrapText="1"/>
      <protection locked="0" hidden="0"/>
    </xf>
    <xf numFmtId="0" fontId="21" fillId="0" borderId="40" xfId="1" applyFont="1" applyBorder="1" applyAlignment="1">
      <alignment horizontal="center" vertical="center" wrapText="1"/>
      <protection locked="0" hidden="0"/>
    </xf>
    <xf numFmtId="0" fontId="21" fillId="0" borderId="41" xfId="1" applyFont="1" applyBorder="1" applyAlignment="1">
      <alignment horizontal="center" vertical="center" wrapText="1"/>
      <protection locked="0" hidden="0"/>
    </xf>
    <xf numFmtId="0" fontId="21" fillId="0" borderId="39" xfId="1" applyFont="1" applyBorder="1" applyAlignment="1">
      <alignment horizontal="center" vertical="center" wrapText="1"/>
      <protection locked="0" hidden="0"/>
    </xf>
    <xf numFmtId="0" fontId="9" fillId="13" borderId="13" xfId="2" applyFont="1" applyFill="1" applyBorder="1" applyAlignment="1">
      <alignment horizontal="center" vertical="center" wrapText="1"/>
    </xf>
    <xf numFmtId="0" fontId="22" fillId="0" borderId="37" xfId="1" applyFont="1" applyBorder="1" applyAlignment="1">
      <alignment horizontal="center" vertical="center" wrapText="1"/>
      <protection locked="0" hidden="0"/>
    </xf>
    <xf numFmtId="0" fontId="22" fillId="0" borderId="38" xfId="1" applyFont="1" applyBorder="1" applyAlignment="1">
      <alignment horizontal="center" vertical="center" wrapText="1"/>
      <protection locked="0" hidden="0"/>
    </xf>
    <xf numFmtId="0" fontId="9" fillId="13" borderId="14" xfId="2" applyFont="1" applyFill="1" applyBorder="1" applyAlignment="1">
      <alignment horizontal="center" vertical="center" wrapText="1"/>
    </xf>
    <xf numFmtId="165" fontId="22" fillId="0" borderId="39" xfId="1" applyNumberFormat="1" applyFont="1" applyBorder="1" applyAlignment="1">
      <alignment horizontal="center" vertical="center" wrapText="1"/>
      <protection locked="0" hidden="0"/>
    </xf>
    <xf numFmtId="0" fontId="9" fillId="6" borderId="13" xfId="2" applyFont="1" applyFill="1" applyBorder="1" applyAlignment="1">
      <alignment horizontal="center" vertical="center" wrapText="1"/>
    </xf>
    <xf numFmtId="0" fontId="9" fillId="6" borderId="14" xfId="2" applyFont="1" applyFill="1" applyBorder="1" applyAlignment="1">
      <alignment horizontal="center" vertical="center" wrapText="1"/>
    </xf>
    <xf numFmtId="0" fontId="22" fillId="0" borderId="14" xfId="1" applyFont="1" applyBorder="1" applyAlignment="1">
      <alignment horizontal="center" vertical="center" wrapText="1"/>
      <protection locked="0" hidden="0"/>
    </xf>
    <xf numFmtId="0" fontId="22" fillId="0" borderId="28" xfId="1" applyFont="1" applyFill="1" applyBorder="1" applyAlignment="1">
      <alignment horizontal="center" vertical="center" wrapText="1"/>
      <protection locked="0" hidden="0"/>
    </xf>
    <xf numFmtId="0" fontId="22" fillId="0" borderId="40" xfId="1" applyFont="1" applyBorder="1" applyAlignment="1">
      <alignment horizontal="center" vertical="center" wrapText="1"/>
      <protection locked="0" hidden="0"/>
    </xf>
    <xf numFmtId="0" fontId="22" fillId="0" borderId="41" xfId="1" applyFont="1" applyBorder="1" applyAlignment="1">
      <alignment horizontal="center" vertical="center" wrapText="1"/>
      <protection locked="0" hidden="0"/>
    </xf>
    <xf numFmtId="0" fontId="22" fillId="0" borderId="39" xfId="1" applyFont="1" applyBorder="1" applyAlignment="1">
      <alignment horizontal="center" vertical="center" wrapText="1"/>
      <protection locked="0" hidden="0"/>
    </xf>
    <xf numFmtId="0" fontId="22" fillId="0" borderId="15" xfId="1" applyFont="1" applyBorder="1" applyAlignment="1">
      <alignment horizontal="center" vertical="center" wrapText="1"/>
      <protection locked="0" hidden="0"/>
    </xf>
    <xf numFmtId="0" fontId="22" fillId="4" borderId="14" xfId="2" applyFont="1" applyFill="1" applyBorder="1" applyAlignment="1">
      <alignment horizontal="center" vertical="center" wrapText="1"/>
      <protection locked="0" hidden="0"/>
    </xf>
    <xf numFmtId="0" fontId="22" fillId="0" borderId="14" xfId="1" applyFont="1" applyFill="1" applyBorder="1" applyAlignment="1">
      <alignment horizontal="center" vertical="center" wrapText="1"/>
      <protection locked="0" hidden="0"/>
    </xf>
    <xf numFmtId="0" fontId="22" fillId="4" borderId="15" xfId="2" applyFont="1" applyFill="1" applyBorder="1" applyAlignment="1">
      <alignment horizontal="center" vertical="center" wrapText="1"/>
    </xf>
    <xf numFmtId="0" fontId="9" fillId="13" borderId="22" xfId="2" applyFont="1" applyFill="1" applyBorder="1" applyAlignment="1">
      <alignment horizontal="center" vertical="center" wrapText="1"/>
    </xf>
    <xf numFmtId="0" fontId="9" fillId="0" borderId="23" xfId="1" applyFont="1" applyBorder="1" applyAlignment="1">
      <alignment horizontal="center" vertical="center" wrapText="1"/>
      <protection locked="0" hidden="0"/>
    </xf>
    <xf numFmtId="0" fontId="9" fillId="0" borderId="24" xfId="1" applyFont="1" applyBorder="1" applyAlignment="1">
      <alignment horizontal="center" vertical="center" wrapText="1"/>
      <protection locked="0" hidden="0"/>
    </xf>
    <xf numFmtId="0" fontId="9" fillId="6" borderId="22" xfId="2" applyFont="1" applyFill="1" applyBorder="1" applyAlignment="1">
      <alignment horizontal="center" vertical="center" wrapText="1"/>
    </xf>
    <xf numFmtId="0" fontId="22" fillId="0" borderId="23" xfId="1" applyFont="1" applyBorder="1" applyAlignment="1">
      <alignment horizontal="center" vertical="center" wrapText="1"/>
      <protection locked="0" hidden="0"/>
    </xf>
    <xf numFmtId="0" fontId="22" fillId="0" borderId="24" xfId="1" applyFont="1" applyBorder="1" applyAlignment="1">
      <alignment horizontal="center" vertical="center" wrapText="1"/>
      <protection locked="0" hidden="0"/>
    </xf>
    <xf numFmtId="0" fontId="7" fillId="0" borderId="0" xfId="0" applyFont="1" applyFill="1">
      <alignment vertical="center"/>
      <protection locked="0" hidden="0"/>
    </xf>
    <xf numFmtId="0" fontId="23" fillId="14" borderId="7" xfId="3" applyFont="1" applyFill="1" applyBorder="1" applyAlignment="1">
      <alignment horizontal="center" vertical="center" wrapText="1"/>
    </xf>
    <xf numFmtId="0" fontId="23" fillId="14" borderId="8" xfId="3" applyFont="1" applyFill="1" applyBorder="1" applyAlignment="1">
      <alignment horizontal="center" vertical="center" wrapText="1"/>
    </xf>
    <xf numFmtId="0" fontId="23" fillId="14" borderId="9" xfId="3" applyFont="1" applyFill="1" applyBorder="1" applyAlignment="1">
      <alignment horizontal="center" vertical="center" wrapText="1"/>
    </xf>
    <xf numFmtId="0" fontId="5" fillId="0" borderId="5" xfId="0" applyFont="1" applyBorder="1" applyAlignment="1">
      <alignment vertical="center" wrapText="1"/>
    </xf>
    <xf numFmtId="0" fontId="5" fillId="13" borderId="7"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5" fillId="13" borderId="9" xfId="0" applyFont="1" applyFill="1" applyBorder="1" applyAlignment="1">
      <alignment horizontal="center" vertical="center" wrapText="1"/>
    </xf>
    <xf numFmtId="0" fontId="24" fillId="0" borderId="13" xfId="4" applyFont="1" applyFill="1" applyBorder="1" applyAlignment="1">
      <alignment horizontal="center" vertical="center" wrapText="1"/>
      <protection locked="0" hidden="0"/>
    </xf>
    <xf numFmtId="0" fontId="24" fillId="0" borderId="14" xfId="4" applyFont="1" applyFill="1" applyBorder="1" applyAlignment="1">
      <alignment horizontal="center" vertical="center" wrapText="1"/>
      <protection locked="0" hidden="0"/>
    </xf>
    <xf numFmtId="0" fontId="24" fillId="0" borderId="15" xfId="4" applyFont="1" applyFill="1" applyBorder="1" applyAlignment="1">
      <alignment horizontal="center" vertical="center" wrapText="1"/>
      <protection locked="0" hidden="0"/>
    </xf>
    <xf numFmtId="0" fontId="5" fillId="0" borderId="0" xfId="0" applyFont="1" applyAlignment="1">
      <alignment vertical="center" wrapText="1"/>
    </xf>
    <xf numFmtId="0" fontId="25" fillId="0" borderId="13" xfId="0" applyFont="1" applyFill="1" applyBorder="1" applyAlignment="1">
      <alignment horizontal="center" vertical="center" wrapText="1"/>
      <protection locked="0" hidden="0"/>
    </xf>
    <xf numFmtId="0" fontId="25" fillId="0" borderId="14" xfId="0" applyFont="1" applyFill="1" applyBorder="1" applyAlignment="1">
      <alignment horizontal="center" vertical="center" wrapText="1"/>
      <protection locked="0" hidden="0"/>
    </xf>
    <xf numFmtId="0" fontId="25" fillId="0" borderId="15" xfId="0" applyFont="1" applyFill="1" applyBorder="1" applyAlignment="1">
      <alignment horizontal="center" vertical="center" wrapText="1"/>
      <protection locked="0" hidden="0"/>
    </xf>
    <xf numFmtId="0" fontId="24" fillId="0" borderId="42" xfId="4" applyFont="1" applyFill="1" applyBorder="1" applyAlignment="1">
      <alignment horizontal="center" vertical="center" wrapText="1"/>
      <protection locked="0" hidden="0"/>
    </xf>
    <xf numFmtId="0" fontId="24" fillId="0" borderId="43" xfId="4" applyFont="1" applyFill="1" applyBorder="1" applyAlignment="1">
      <alignment horizontal="center" vertical="center" wrapText="1"/>
      <protection locked="0" hidden="0"/>
    </xf>
    <xf numFmtId="0" fontId="24" fillId="0" borderId="44" xfId="4" applyFont="1" applyFill="1" applyBorder="1" applyAlignment="1">
      <alignment horizontal="center" vertical="center" wrapText="1"/>
      <protection locked="0" hidden="0"/>
    </xf>
    <xf numFmtId="0" fontId="25" fillId="14" borderId="13" xfId="2" applyFont="1" applyFill="1" applyBorder="1" applyAlignment="1">
      <alignment horizontal="center" vertical="center" wrapText="1"/>
    </xf>
    <xf numFmtId="0" fontId="25" fillId="14" borderId="14" xfId="2" applyFont="1" applyFill="1" applyBorder="1" applyAlignment="1">
      <alignment horizontal="center" vertical="center" wrapText="1"/>
    </xf>
    <xf numFmtId="0" fontId="25" fillId="14" borderId="15" xfId="2" applyFont="1" applyFill="1" applyBorder="1" applyAlignment="1">
      <alignment horizontal="center" vertical="center" wrapText="1"/>
    </xf>
    <xf numFmtId="0" fontId="26" fillId="0" borderId="42" xfId="1" applyFont="1" applyFill="1" applyBorder="1" applyAlignment="1">
      <alignment horizontal="center" vertical="center" wrapText="1"/>
    </xf>
    <xf numFmtId="0" fontId="26" fillId="0" borderId="23" xfId="1" applyNumberFormat="1" applyFont="1" applyFill="1" applyBorder="1" applyAlignment="1">
      <alignment horizontal="center" vertical="center" wrapText="1"/>
    </xf>
    <xf numFmtId="0" fontId="26" fillId="0" borderId="23" xfId="1" applyFont="1" applyFill="1" applyBorder="1" applyAlignment="1">
      <alignment horizontal="center" vertical="center" wrapText="1"/>
    </xf>
    <xf numFmtId="0" fontId="26" fillId="0" borderId="24" xfId="1" applyNumberFormat="1" applyFont="1" applyFill="1" applyBorder="1" applyAlignment="1">
      <alignment horizontal="center" vertical="center" wrapText="1"/>
    </xf>
    <xf numFmtId="0" fontId="25" fillId="13" borderId="7" xfId="0" applyFont="1" applyFill="1" applyBorder="1" applyAlignment="1">
      <alignment horizontal="center" vertical="center" wrapText="1"/>
    </xf>
    <xf numFmtId="0" fontId="25" fillId="0" borderId="8" xfId="0" applyFont="1" applyFill="1" applyBorder="1" applyAlignment="1">
      <alignment horizontal="center" vertical="center" wrapText="1"/>
      <protection locked="0" hidden="0"/>
    </xf>
    <xf numFmtId="0" fontId="25" fillId="13" borderId="8" xfId="0" applyFont="1" applyFill="1" applyBorder="1" applyAlignment="1">
      <alignment horizontal="center" vertical="center" wrapText="1"/>
    </xf>
    <xf numFmtId="0" fontId="25" fillId="0" borderId="45" xfId="0" applyFont="1" applyFill="1" applyBorder="1" applyAlignment="1">
      <alignment horizontal="right" vertical="center" wrapText="1"/>
      <protection locked="0" hidden="0"/>
    </xf>
    <xf numFmtId="0" fontId="25" fillId="0" borderId="46" xfId="0" applyFont="1" applyFill="1" applyBorder="1" applyAlignment="1">
      <alignment horizontal="right" vertical="center" wrapText="1"/>
      <protection locked="0" hidden="0"/>
    </xf>
    <xf numFmtId="0" fontId="25" fillId="13" borderId="13" xfId="0" applyFont="1" applyFill="1" applyBorder="1" applyAlignment="1">
      <alignment horizontal="center" vertical="center" wrapText="1"/>
    </xf>
    <xf numFmtId="0" fontId="5" fillId="0" borderId="14" xfId="0" applyFont="1" applyBorder="1" applyAlignment="1">
      <alignment horizontal="right" vertical="center" wrapText="1"/>
      <protection locked="0" hidden="0"/>
    </xf>
    <xf numFmtId="0" fontId="5" fillId="0" borderId="26" xfId="0" applyFont="1" applyBorder="1" applyAlignment="1">
      <alignment horizontal="right" vertical="center" wrapText="1"/>
      <protection locked="0" hidden="0"/>
    </xf>
    <xf numFmtId="0" fontId="5" fillId="0" borderId="47" xfId="0" applyFont="1" applyBorder="1" applyAlignment="1">
      <alignment horizontal="right" vertical="center" wrapText="1"/>
      <protection locked="0" hidden="0"/>
    </xf>
    <xf numFmtId="0" fontId="5" fillId="0" borderId="15" xfId="0" applyFont="1" applyBorder="1" applyAlignment="1">
      <alignment horizontal="right" vertical="center" wrapText="1"/>
      <protection locked="0" hidden="0"/>
    </xf>
    <xf numFmtId="0" fontId="27" fillId="13" borderId="13" xfId="0" applyFont="1" applyFill="1" applyBorder="1" applyAlignment="1">
      <alignment horizontal="center" vertical="center" wrapText="1"/>
      <protection locked="0" hidden="0"/>
    </xf>
    <xf numFmtId="0" fontId="27" fillId="13" borderId="14" xfId="0" applyFont="1" applyFill="1" applyBorder="1" applyAlignment="1">
      <alignment horizontal="center" vertical="center" wrapText="1"/>
      <protection locked="0" hidden="0"/>
    </xf>
    <xf numFmtId="0" fontId="25" fillId="13" borderId="14" xfId="0" applyFont="1" applyFill="1" applyBorder="1" applyAlignment="1">
      <alignment horizontal="center" vertical="center" wrapText="1"/>
    </xf>
    <xf numFmtId="0" fontId="25" fillId="0" borderId="43" xfId="0" applyFont="1" applyFill="1" applyBorder="1" applyAlignment="1">
      <alignment horizontal="right" vertical="center" wrapText="1"/>
      <protection locked="0" hidden="0"/>
    </xf>
    <xf numFmtId="0" fontId="25" fillId="0" borderId="44" xfId="0" applyFont="1" applyFill="1" applyBorder="1" applyAlignment="1">
      <alignment horizontal="right" vertical="center" wrapText="1"/>
      <protection locked="0" hidden="0"/>
    </xf>
    <xf numFmtId="0" fontId="5" fillId="0" borderId="13" xfId="0" applyFont="1" applyBorder="1" applyAlignment="1">
      <alignment horizontal="center" vertical="center" wrapText="1"/>
      <protection locked="0" hidden="0"/>
    </xf>
    <xf numFmtId="0" fontId="5" fillId="0" borderId="14" xfId="0" applyFont="1" applyBorder="1" applyAlignment="1">
      <alignment horizontal="center" vertical="center" wrapText="1"/>
      <protection locked="0" hidden="0"/>
    </xf>
    <xf numFmtId="0" fontId="5" fillId="0" borderId="14" xfId="0" applyFont="1" applyBorder="1" applyAlignment="1">
      <alignment horizontal="right" vertical="top" wrapText="1"/>
      <protection locked="0" hidden="0"/>
    </xf>
    <xf numFmtId="0" fontId="5" fillId="0" borderId="26" xfId="0" applyFont="1" applyBorder="1" applyAlignment="1">
      <alignment horizontal="right" vertical="top" wrapText="1"/>
      <protection locked="0" hidden="0"/>
    </xf>
    <xf numFmtId="0" fontId="5" fillId="0" borderId="47" xfId="0" applyFont="1" applyBorder="1" applyAlignment="1">
      <alignment horizontal="right" vertical="top" wrapText="1"/>
      <protection locked="0" hidden="0"/>
    </xf>
    <xf numFmtId="0" fontId="5" fillId="0" borderId="15" xfId="0" applyFont="1" applyBorder="1" applyAlignment="1">
      <alignment horizontal="right" vertical="top" wrapText="1"/>
      <protection locked="0" hidden="0"/>
    </xf>
    <xf numFmtId="0" fontId="27" fillId="13" borderId="13" xfId="5" applyFont="1" applyFill="1" applyBorder="1" applyAlignment="1">
      <alignment horizontal="center" vertical="center" wrapText="1"/>
    </xf>
    <xf numFmtId="0" fontId="27" fillId="13" borderId="14" xfId="5" applyFont="1" applyFill="1" applyBorder="1" applyAlignment="1">
      <alignment horizontal="center" vertical="center" wrapText="1"/>
    </xf>
    <xf numFmtId="0" fontId="28" fillId="0" borderId="13" xfId="0" applyFont="1" applyBorder="1" applyAlignment="1">
      <alignment horizontal="center" vertical="center" wrapText="1"/>
      <protection locked="0" hidden="0"/>
    </xf>
    <xf numFmtId="0" fontId="28" fillId="0" borderId="14" xfId="0" applyFont="1" applyBorder="1" applyAlignment="1">
      <alignment horizontal="center" vertical="center" wrapText="1"/>
      <protection locked="0" hidden="0"/>
    </xf>
    <xf numFmtId="0" fontId="28" fillId="0" borderId="22" xfId="0" applyFont="1" applyFill="1" applyBorder="1" applyAlignment="1">
      <alignment horizontal="center" vertical="center" wrapText="1"/>
      <protection locked="0" hidden="0"/>
    </xf>
    <xf numFmtId="0" fontId="28" fillId="0" borderId="23" xfId="0" applyFont="1" applyBorder="1" applyAlignment="1">
      <alignment horizontal="center" vertical="center" wrapText="1"/>
      <protection locked="0" hidden="0"/>
    </xf>
    <xf numFmtId="0" fontId="5" fillId="0" borderId="23" xfId="0" applyFont="1" applyBorder="1" applyAlignment="1">
      <alignment horizontal="right" vertical="top" wrapText="1"/>
      <protection locked="0" hidden="0"/>
    </xf>
    <xf numFmtId="0" fontId="5" fillId="0" borderId="24" xfId="0" applyFont="1" applyBorder="1" applyAlignment="1">
      <alignment horizontal="right" vertical="top" wrapText="1"/>
      <protection locked="0" hidden="0"/>
    </xf>
    <xf numFmtId="164" fontId="29" fillId="4" borderId="10" xfId="0" applyNumberFormat="1" applyFont="1" applyFill="1" applyBorder="1" applyAlignment="1">
      <alignment horizontal="center" vertical="center" wrapText="1"/>
      <protection locked="0" hidden="0"/>
    </xf>
    <xf numFmtId="164" fontId="29" fillId="4" borderId="0" xfId="0" applyNumberFormat="1" applyFont="1" applyFill="1" applyAlignment="1">
      <alignment horizontal="center" vertical="center" wrapText="1"/>
      <protection locked="0" hidden="0"/>
    </xf>
    <xf numFmtId="0" fontId="25" fillId="9" borderId="26" xfId="0" applyFont="1" applyFill="1" applyBorder="1" applyAlignment="1">
      <alignment horizontal="center" vertical="center" wrapText="1"/>
      <protection locked="0" hidden="0"/>
    </xf>
    <xf numFmtId="164" fontId="29" fillId="4" borderId="48" xfId="0" applyNumberFormat="1" applyFont="1" applyFill="1" applyBorder="1" applyAlignment="1">
      <alignment horizontal="center" vertical="center" wrapText="1"/>
      <protection locked="0" hidden="0"/>
    </xf>
    <xf numFmtId="164" fontId="29" fillId="4" borderId="11" xfId="0" applyNumberFormat="1" applyFont="1" applyFill="1" applyBorder="1" applyAlignment="1">
      <alignment horizontal="center" vertical="center" wrapText="1"/>
      <protection locked="0" hidden="0"/>
    </xf>
    <xf numFmtId="0" fontId="25" fillId="0" borderId="14" xfId="0" applyFont="1" applyBorder="1" applyAlignment="1">
      <alignment horizontal="center" vertical="center" wrapText="1"/>
      <protection locked="0" hidden="0"/>
    </xf>
    <xf numFmtId="0" fontId="25" fillId="9" borderId="14" xfId="0" applyFont="1" applyFill="1" applyBorder="1" applyAlignment="1">
      <alignment horizontal="center" vertical="center" wrapText="1"/>
    </xf>
    <xf numFmtId="0" fontId="25" fillId="9" borderId="14" xfId="0" applyFont="1" applyFill="1" applyBorder="1" applyAlignment="1">
      <alignment vertical="center" wrapText="1"/>
    </xf>
    <xf numFmtId="164" fontId="29" fillId="4" borderId="16" xfId="0" applyNumberFormat="1" applyFont="1" applyFill="1" applyBorder="1" applyAlignment="1">
      <alignment horizontal="center" vertical="center" wrapText="1"/>
      <protection locked="0" hidden="0"/>
    </xf>
    <xf numFmtId="164" fontId="29" fillId="4" borderId="17" xfId="0" applyNumberFormat="1" applyFont="1" applyFill="1" applyBorder="1" applyAlignment="1">
      <alignment horizontal="center" vertical="center" wrapText="1"/>
      <protection locked="0" hidden="0"/>
    </xf>
    <xf numFmtId="0" fontId="25" fillId="9" borderId="23" xfId="0" applyFont="1" applyFill="1" applyBorder="1" applyAlignment="1">
      <alignment vertical="center" wrapText="1"/>
    </xf>
    <xf numFmtId="0" fontId="25" fillId="0" borderId="23" xfId="0" applyFont="1" applyFill="1" applyBorder="1" applyAlignment="1">
      <alignment horizontal="center" vertical="center" wrapText="1"/>
      <protection locked="0" hidden="0"/>
    </xf>
    <xf numFmtId="164" fontId="29" fillId="4" borderId="49" xfId="0" applyNumberFormat="1" applyFont="1" applyFill="1" applyBorder="1" applyAlignment="1">
      <alignment horizontal="center" vertical="center" wrapText="1"/>
      <protection locked="0" hidden="0"/>
    </xf>
    <xf numFmtId="164" fontId="29" fillId="4" borderId="25" xfId="0" applyNumberFormat="1" applyFont="1" applyFill="1" applyBorder="1" applyAlignment="1">
      <alignment horizontal="center" vertical="center" wrapText="1"/>
      <protection locked="0" hidden="0"/>
    </xf>
    <xf numFmtId="0" fontId="25" fillId="5" borderId="50" xfId="5" applyFont="1" applyFill="1" applyBorder="1" applyAlignment="1">
      <alignment horizontal="center" vertical="center" wrapText="1"/>
    </xf>
    <xf numFmtId="0" fontId="25" fillId="4" borderId="40" xfId="0" applyFont="1" applyFill="1" applyBorder="1" applyAlignment="1">
      <alignment horizontal="center" vertical="center" wrapText="1"/>
      <protection locked="0" hidden="0"/>
    </xf>
    <xf numFmtId="0" fontId="25" fillId="4" borderId="41" xfId="0" applyFont="1" applyFill="1" applyBorder="1" applyAlignment="1">
      <alignment horizontal="center" vertical="center" wrapText="1"/>
      <protection locked="0" hidden="0"/>
    </xf>
    <xf numFmtId="0" fontId="25" fillId="5" borderId="26" xfId="0" applyFont="1" applyFill="1" applyBorder="1" applyAlignment="1">
      <alignment horizontal="center" vertical="center" wrapText="1"/>
      <protection locked="0" hidden="0"/>
    </xf>
    <xf numFmtId="0" fontId="25" fillId="5" borderId="47" xfId="0" applyFont="1" applyFill="1" applyBorder="1" applyAlignment="1">
      <alignment horizontal="center" vertical="center" wrapText="1"/>
      <protection locked="0" hidden="0"/>
    </xf>
    <xf numFmtId="0" fontId="5" fillId="13" borderId="13"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3" borderId="15" xfId="0" applyFont="1" applyFill="1" applyBorder="1" applyAlignment="1">
      <alignment horizontal="center" vertical="center" wrapText="1"/>
    </xf>
    <xf numFmtId="0" fontId="25" fillId="5" borderId="13" xfId="5" applyFont="1" applyFill="1" applyBorder="1" applyAlignment="1">
      <alignment horizontal="center" vertical="center" wrapText="1"/>
    </xf>
    <xf numFmtId="0" fontId="25" fillId="4" borderId="28" xfId="0" applyFont="1" applyFill="1" applyBorder="1" applyAlignment="1">
      <alignment horizontal="center" vertical="center" wrapText="1"/>
      <protection locked="0" hidden="0"/>
    </xf>
    <xf numFmtId="0" fontId="25" fillId="4" borderId="21" xfId="0" applyFont="1" applyFill="1" applyBorder="1" applyAlignment="1">
      <alignment horizontal="center" vertical="center" wrapText="1"/>
      <protection locked="0" hidden="0"/>
    </xf>
    <xf numFmtId="0" fontId="25" fillId="4" borderId="14" xfId="0" applyFont="1" applyFill="1" applyBorder="1" applyAlignment="1">
      <alignment horizontal="center" vertical="center" wrapText="1"/>
      <protection locked="0" hidden="0"/>
    </xf>
    <xf numFmtId="0" fontId="25" fillId="4" borderId="15" xfId="0" applyFont="1" applyFill="1" applyBorder="1" applyAlignment="1">
      <alignment horizontal="center" vertical="center" wrapText="1"/>
      <protection locked="0" hidden="0"/>
    </xf>
    <xf numFmtId="0" fontId="25" fillId="5" borderId="13" xfId="0" applyFont="1" applyFill="1" applyBorder="1" applyAlignment="1">
      <alignment horizontal="center" vertical="center" wrapText="1"/>
    </xf>
    <xf numFmtId="0" fontId="25" fillId="5" borderId="42" xfId="3" applyFont="1" applyFill="1" applyBorder="1" applyAlignment="1">
      <alignment horizontal="center" vertical="center" wrapText="1"/>
    </xf>
    <xf numFmtId="0" fontId="5" fillId="0" borderId="37" xfId="0" applyFont="1" applyBorder="1" applyAlignment="1">
      <alignment horizontal="center" vertical="center" wrapText="1"/>
      <protection locked="0" hidden="0"/>
    </xf>
    <xf numFmtId="0" fontId="5" fillId="0" borderId="38" xfId="0" applyFont="1" applyBorder="1" applyAlignment="1">
      <alignment horizontal="center" vertical="center" wrapText="1"/>
      <protection locked="0" hidden="0"/>
    </xf>
    <xf numFmtId="0" fontId="25" fillId="4" borderId="43" xfId="0" applyFont="1" applyFill="1" applyBorder="1" applyAlignment="1">
      <alignment horizontal="center" vertical="center" wrapText="1"/>
      <protection locked="0" hidden="0"/>
    </xf>
    <xf numFmtId="0" fontId="25" fillId="4" borderId="44" xfId="0" applyFont="1" applyFill="1" applyBorder="1" applyAlignment="1">
      <alignment horizontal="center" vertical="center" wrapText="1"/>
      <protection locked="0" hidden="0"/>
    </xf>
    <xf numFmtId="0" fontId="5" fillId="5" borderId="13"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25" fillId="0" borderId="13" xfId="3" applyFont="1" applyBorder="1" applyAlignment="1">
      <alignment horizontal="center" vertical="center" wrapText="1"/>
      <protection locked="0" hidden="0"/>
    </xf>
    <xf numFmtId="0" fontId="25" fillId="13" borderId="14" xfId="3" applyFont="1" applyFill="1" applyBorder="1" applyAlignment="1">
      <alignment horizontal="center" vertical="center" wrapText="1"/>
      <protection locked="0" hidden="0"/>
    </xf>
    <xf numFmtId="0" fontId="25" fillId="0" borderId="14" xfId="3" applyFont="1" applyBorder="1" applyAlignment="1">
      <alignment horizontal="center" vertical="center" wrapText="1"/>
      <protection locked="0" hidden="0"/>
    </xf>
    <xf numFmtId="0" fontId="25" fillId="0" borderId="15" xfId="3" applyFont="1" applyBorder="1" applyAlignment="1">
      <alignment horizontal="center" vertical="center" wrapText="1"/>
      <protection locked="0" hidden="0"/>
    </xf>
    <xf numFmtId="0" fontId="25" fillId="4" borderId="14" xfId="3" applyFont="1" applyFill="1" applyBorder="1" applyAlignment="1">
      <alignment horizontal="center" vertical="center" wrapText="1"/>
      <protection locked="0" hidden="0"/>
    </xf>
    <xf numFmtId="0" fontId="25" fillId="13" borderId="13" xfId="3" applyFont="1" applyFill="1" applyBorder="1" applyAlignment="1">
      <alignment horizontal="center" vertical="center" wrapText="1"/>
      <protection locked="0" hidden="0"/>
    </xf>
    <xf numFmtId="0" fontId="25" fillId="5" borderId="13" xfId="4" applyFont="1" applyFill="1" applyBorder="1" applyAlignment="1">
      <alignment horizontal="center" vertical="center" wrapText="1"/>
      <protection locked="0" hidden="0"/>
    </xf>
    <xf numFmtId="0" fontId="25" fillId="5" borderId="14" xfId="4" applyFont="1" applyFill="1" applyBorder="1" applyAlignment="1">
      <alignment horizontal="center" vertical="center" wrapText="1"/>
      <protection locked="0" hidden="0"/>
    </xf>
    <xf numFmtId="0" fontId="25" fillId="5" borderId="15" xfId="4" applyFont="1" applyFill="1" applyBorder="1" applyAlignment="1">
      <alignment horizontal="center" vertical="center" wrapText="1"/>
      <protection locked="0" hidden="0"/>
    </xf>
    <xf numFmtId="0" fontId="25" fillId="0" borderId="22" xfId="0" applyFont="1" applyFill="1" applyBorder="1" applyAlignment="1">
      <alignment horizontal="center" vertical="center" wrapText="1"/>
      <protection locked="0" hidden="0"/>
    </xf>
    <xf numFmtId="0" fontId="25" fillId="0" borderId="24" xfId="0" applyFont="1" applyFill="1" applyBorder="1" applyAlignment="1">
      <alignment horizontal="center" vertical="center" wrapText="1"/>
      <protection locked="0" hidden="0"/>
    </xf>
    <xf numFmtId="0" fontId="25" fillId="0" borderId="19" xfId="0" applyFont="1" applyBorder="1" applyAlignment="1">
      <alignment horizontal="center" vertical="center" wrapText="1"/>
      <protection locked="0" hidden="0"/>
    </xf>
    <xf numFmtId="0" fontId="25" fillId="0" borderId="20" xfId="0" applyFont="1" applyFill="1" applyBorder="1" applyAlignment="1">
      <alignment horizontal="center" vertical="center" wrapText="1"/>
      <protection locked="0" hidden="0"/>
    </xf>
    <xf numFmtId="0" fontId="25" fillId="0" borderId="20" xfId="0" applyFont="1" applyBorder="1" applyAlignment="1">
      <alignment horizontal="center" vertical="center" wrapText="1"/>
      <protection locked="0" hidden="0"/>
    </xf>
    <xf numFmtId="0" fontId="25" fillId="0" borderId="51" xfId="0" applyFont="1" applyBorder="1" applyAlignment="1">
      <alignment horizontal="center" vertical="center" wrapText="1"/>
      <protection locked="0" hidden="0"/>
    </xf>
    <xf numFmtId="0" fontId="23" fillId="15" borderId="52" xfId="3" applyFont="1" applyFill="1" applyBorder="1" applyAlignment="1">
      <alignment horizontal="center" vertical="center"/>
    </xf>
    <xf numFmtId="0" fontId="23" fillId="15" borderId="53" xfId="3" applyFont="1" applyFill="1" applyBorder="1" applyAlignment="1">
      <alignment horizontal="center" vertical="center"/>
    </xf>
    <xf numFmtId="0" fontId="23" fillId="15" borderId="54" xfId="3" applyFont="1" applyFill="1" applyBorder="1" applyAlignment="1">
      <alignment horizontal="center" vertical="center"/>
    </xf>
    <xf numFmtId="0" fontId="25" fillId="0" borderId="10" xfId="0" applyFont="1" applyFill="1" applyBorder="1" applyAlignment="1">
      <alignment horizontal="center" vertical="center" wrapText="1"/>
      <protection locked="0" hidden="0"/>
    </xf>
    <xf numFmtId="0" fontId="25" fillId="0" borderId="0" xfId="0" applyFont="1" applyFill="1" applyAlignment="1">
      <alignment horizontal="center" vertical="center" wrapText="1"/>
      <protection locked="0" hidden="0"/>
    </xf>
    <xf numFmtId="0" fontId="25" fillId="0" borderId="0" xfId="0" applyFont="1" applyAlignment="1">
      <alignment horizontal="center" vertical="center" wrapText="1"/>
      <protection locked="0" hidden="0"/>
    </xf>
    <xf numFmtId="0" fontId="25" fillId="0" borderId="11" xfId="0" applyFont="1" applyBorder="1" applyAlignment="1">
      <alignment horizontal="center" vertical="center" wrapText="1"/>
      <protection locked="0" hidden="0"/>
    </xf>
    <xf numFmtId="0" fontId="25" fillId="4" borderId="10" xfId="3" applyFont="1" applyFill="1" applyBorder="1" applyAlignment="1">
      <alignment horizontal="center" vertical="center" wrapText="1"/>
    </xf>
    <xf numFmtId="0" fontId="25" fillId="4" borderId="0" xfId="3" applyFont="1" applyFill="1" applyAlignment="1">
      <alignment horizontal="center" vertical="center" wrapText="1"/>
    </xf>
    <xf numFmtId="0" fontId="25" fillId="4" borderId="11" xfId="3" applyFont="1" applyFill="1" applyBorder="1" applyAlignment="1">
      <alignment horizontal="center" vertical="center" wrapText="1"/>
    </xf>
    <xf numFmtId="0" fontId="25" fillId="0" borderId="52" xfId="0" applyFont="1" applyFill="1" applyBorder="1" applyAlignment="1">
      <alignment horizontal="center" vertical="center" wrapText="1"/>
      <protection locked="0" hidden="0"/>
    </xf>
    <xf numFmtId="0" fontId="25" fillId="0" borderId="53" xfId="0" applyFont="1" applyFill="1" applyBorder="1" applyAlignment="1">
      <alignment horizontal="center" vertical="center" wrapText="1"/>
      <protection locked="0" hidden="0"/>
    </xf>
    <xf numFmtId="0" fontId="25" fillId="0" borderId="53" xfId="0" applyFont="1" applyBorder="1" applyAlignment="1">
      <alignment horizontal="center" vertical="center" wrapText="1"/>
      <protection locked="0" hidden="0"/>
    </xf>
    <xf numFmtId="0" fontId="25" fillId="0" borderId="54" xfId="0" applyFont="1" applyBorder="1" applyAlignment="1">
      <alignment horizontal="center" vertical="center" wrapText="1"/>
      <protection locked="0" hidden="0"/>
    </xf>
    <xf numFmtId="0" fontId="5" fillId="0" borderId="15" xfId="0" applyFont="1" applyBorder="1" applyAlignment="1">
      <alignment horizontal="center" vertical="center" wrapText="1"/>
      <protection locked="0" hidden="0"/>
    </xf>
    <xf numFmtId="0" fontId="5" fillId="0" borderId="42" xfId="0" applyFont="1" applyBorder="1" applyAlignment="1">
      <alignment horizontal="center" vertical="center" wrapText="1"/>
      <protection locked="0" hidden="0"/>
    </xf>
    <xf numFmtId="0" fontId="5" fillId="0" borderId="43" xfId="0" applyFont="1" applyBorder="1" applyAlignment="1">
      <alignment horizontal="center" vertical="center" wrapText="1"/>
      <protection locked="0" hidden="0"/>
    </xf>
    <xf numFmtId="0" fontId="5" fillId="0" borderId="44" xfId="0" applyFont="1" applyBorder="1" applyAlignment="1">
      <alignment horizontal="center" vertical="center" wrapText="1"/>
      <protection locked="0" hidden="0"/>
    </xf>
    <xf numFmtId="0" fontId="30" fillId="16" borderId="1" xfId="1" applyFont="1" applyFill="1" applyBorder="1" applyAlignment="1">
      <alignment horizontal="center" vertical="center" wrapText="1"/>
    </xf>
    <xf numFmtId="0" fontId="30" fillId="16" borderId="2" xfId="1" applyFont="1" applyFill="1" applyBorder="1" applyAlignment="1">
      <alignment horizontal="center" vertical="center" wrapText="1"/>
    </xf>
    <xf numFmtId="0" fontId="30" fillId="16" borderId="3" xfId="1" applyFont="1" applyFill="1" applyBorder="1" applyAlignment="1">
      <alignment horizontal="center" vertical="center" wrapText="1"/>
    </xf>
    <xf numFmtId="0" fontId="27" fillId="16" borderId="13" xfId="6" applyFont="1" applyFill="1" applyBorder="1" applyAlignment="1">
      <alignment horizontal="center" vertical="center" wrapText="1"/>
    </xf>
    <xf numFmtId="0" fontId="27" fillId="0" borderId="14" xfId="2" applyFont="1" applyFill="1" applyBorder="1" applyAlignment="1">
      <alignment horizontal="center" vertical="center" wrapText="1"/>
      <protection locked="0" hidden="0"/>
    </xf>
    <xf numFmtId="0" fontId="27" fillId="0" borderId="15" xfId="2" applyFont="1" applyFill="1" applyBorder="1" applyAlignment="1">
      <alignment horizontal="center" vertical="center" wrapText="1"/>
      <protection locked="0" hidden="0"/>
    </xf>
    <xf numFmtId="0" fontId="27" fillId="16" borderId="13" xfId="2" applyFont="1" applyFill="1" applyBorder="1" applyAlignment="1">
      <alignment horizontal="center" vertical="center" wrapText="1"/>
    </xf>
    <xf numFmtId="0" fontId="27" fillId="0" borderId="28" xfId="1" applyFont="1" applyFill="1" applyBorder="1" applyAlignment="1">
      <alignment horizontal="center" vertical="center" wrapText="1"/>
      <protection locked="0" hidden="0"/>
    </xf>
    <xf numFmtId="0" fontId="27" fillId="0" borderId="55" xfId="1" applyFont="1" applyFill="1" applyBorder="1" applyAlignment="1">
      <alignment horizontal="center" vertical="center" wrapText="1"/>
      <protection locked="0" hidden="0"/>
    </xf>
    <xf numFmtId="0" fontId="27" fillId="0" borderId="56" xfId="1" applyFont="1" applyFill="1" applyBorder="1" applyAlignment="1">
      <alignment horizontal="center" vertical="center" wrapText="1"/>
      <protection locked="0" hidden="0"/>
    </xf>
    <xf numFmtId="0" fontId="27" fillId="0" borderId="37" xfId="1" applyFont="1" applyFill="1" applyBorder="1" applyAlignment="1">
      <alignment horizontal="center" vertical="center" wrapText="1"/>
      <protection locked="0" hidden="0"/>
    </xf>
    <xf numFmtId="0" fontId="27" fillId="0" borderId="20" xfId="1" applyFont="1" applyFill="1" applyBorder="1" applyAlignment="1">
      <alignment horizontal="center" vertical="center" wrapText="1"/>
      <protection locked="0" hidden="0"/>
    </xf>
    <xf numFmtId="0" fontId="27" fillId="0" borderId="51" xfId="1" applyFont="1" applyFill="1" applyBorder="1" applyAlignment="1">
      <alignment horizontal="center" vertical="center" wrapText="1"/>
      <protection locked="0" hidden="0"/>
    </xf>
    <xf numFmtId="0" fontId="27" fillId="0" borderId="48" xfId="1" applyFont="1" applyFill="1" applyBorder="1" applyAlignment="1">
      <alignment horizontal="center" vertical="center" wrapText="1"/>
      <protection locked="0" hidden="0"/>
    </xf>
    <xf numFmtId="0" fontId="27" fillId="0" borderId="0" xfId="1" applyFont="1" applyFill="1" applyAlignment="1">
      <alignment horizontal="center" vertical="center" wrapText="1"/>
      <protection locked="0" hidden="0"/>
    </xf>
    <xf numFmtId="0" fontId="27" fillId="0" borderId="11" xfId="1" applyFont="1" applyFill="1" applyBorder="1" applyAlignment="1">
      <alignment horizontal="center" vertical="center" wrapText="1"/>
      <protection locked="0" hidden="0"/>
    </xf>
    <xf numFmtId="0" fontId="27" fillId="16" borderId="22" xfId="2" applyFont="1" applyFill="1" applyBorder="1" applyAlignment="1">
      <alignment horizontal="center" vertical="center" wrapText="1"/>
    </xf>
    <xf numFmtId="0" fontId="27" fillId="0" borderId="49" xfId="1" applyFont="1" applyFill="1" applyBorder="1" applyAlignment="1">
      <alignment horizontal="center" vertical="center" wrapText="1"/>
      <protection locked="0" hidden="0"/>
    </xf>
    <xf numFmtId="0" fontId="27" fillId="0" borderId="17" xfId="1" applyFont="1" applyFill="1" applyBorder="1" applyAlignment="1">
      <alignment horizontal="center" vertical="center" wrapText="1"/>
      <protection locked="0" hidden="0"/>
    </xf>
    <xf numFmtId="0" fontId="27" fillId="0" borderId="25" xfId="1" applyFont="1" applyFill="1" applyBorder="1" applyAlignment="1">
      <alignment horizontal="center" vertical="center" wrapText="1"/>
      <protection locked="0" hidden="0"/>
    </xf>
    <xf numFmtId="0" fontId="5" fillId="0" borderId="17" xfId="0" applyFont="1" applyBorder="1" applyAlignment="1">
      <alignment vertical="center" wrapText="1"/>
    </xf>
    <xf numFmtId="0" fontId="25" fillId="4" borderId="52" xfId="3" applyFont="1" applyFill="1" applyBorder="1" applyAlignment="1">
      <alignment horizontal="center" vertical="center" wrapText="1"/>
    </xf>
    <xf numFmtId="0" fontId="25" fillId="4" borderId="53" xfId="3" applyFont="1" applyFill="1" applyBorder="1" applyAlignment="1">
      <alignment horizontal="center" vertical="center" wrapText="1"/>
    </xf>
    <xf numFmtId="0" fontId="25" fillId="4" borderId="54" xfId="3" applyFont="1" applyFill="1" applyBorder="1" applyAlignment="1">
      <alignment horizontal="center" vertical="center" wrapText="1"/>
    </xf>
    <xf numFmtId="0" fontId="3" fillId="0" borderId="0" xfId="0" applyFont="1" applyFill="1">
      <alignment vertical="center"/>
    </xf>
    <xf numFmtId="0" fontId="31" fillId="17" borderId="14" xfId="0" applyFont="1" applyFill="1" applyBorder="1">
      <alignment vertical="center"/>
    </xf>
    <xf numFmtId="0" fontId="32" fillId="17" borderId="14" xfId="3" applyFont="1" applyFill="1" applyBorder="1" applyAlignment="1">
      <alignment horizontal="center" vertical="center"/>
    </xf>
    <xf numFmtId="0" fontId="31" fillId="17" borderId="28" xfId="0" applyFont="1" applyFill="1" applyBorder="1" applyAlignment="1">
      <alignment horizontal="center" vertical="center" wrapText="1"/>
    </xf>
    <xf numFmtId="0" fontId="31" fillId="17" borderId="21" xfId="0" applyFont="1" applyFill="1" applyBorder="1" applyAlignment="1">
      <alignment horizontal="center" vertical="center" wrapText="1"/>
    </xf>
    <xf numFmtId="0" fontId="32" fillId="17" borderId="14" xfId="0" applyNumberFormat="1" applyFont="1" applyFill="1" applyBorder="1" applyAlignment="1">
      <alignment horizontal="center" vertical="center"/>
    </xf>
    <xf numFmtId="49" fontId="32" fillId="17" borderId="14" xfId="0" applyNumberFormat="1" applyFont="1" applyFill="1" applyBorder="1" applyAlignment="1">
      <alignment horizontal="center" vertical="center"/>
    </xf>
    <xf numFmtId="0" fontId="31" fillId="17" borderId="14" xfId="0" applyFont="1" applyFill="1" applyBorder="1" applyAlignment="1">
      <alignment vertical="center" wrapText="1"/>
    </xf>
    <xf numFmtId="0" fontId="32" fillId="17" borderId="14" xfId="0" applyFont="1" applyFill="1" applyBorder="1" applyAlignment="1">
      <alignment horizontal="center" vertical="center"/>
    </xf>
    <xf numFmtId="49" fontId="32" fillId="17" borderId="14" xfId="3" applyNumberFormat="1" applyFont="1" applyFill="1" applyBorder="1" applyAlignment="1">
      <alignment horizontal="center" vertical="center"/>
    </xf>
    <xf numFmtId="0" fontId="33" fillId="0" borderId="0" xfId="0" applyFont="1">
      <alignment vertical="center"/>
    </xf>
    <xf numFmtId="0" fontId="34" fillId="0" borderId="0" xfId="0" applyFont="1">
      <alignment vertical="center"/>
    </xf>
    <xf numFmtId="0" fontId="33" fillId="2" borderId="1" xfId="0" applyFont="1" applyFill="1" applyBorder="1">
      <alignment vertical="center"/>
    </xf>
    <xf numFmtId="0" fontId="33" fillId="2" borderId="2" xfId="0" applyFont="1" applyFill="1" applyBorder="1">
      <alignment vertical="center"/>
    </xf>
    <xf numFmtId="0" fontId="33" fillId="2" borderId="18" xfId="0" applyFont="1" applyFill="1" applyBorder="1">
      <alignment vertical="center"/>
    </xf>
    <xf numFmtId="0" fontId="33" fillId="2" borderId="3" xfId="0" applyFont="1" applyFill="1" applyBorder="1">
      <alignment vertical="center"/>
    </xf>
    <xf numFmtId="0" fontId="33" fillId="0" borderId="52" xfId="0" applyFont="1" applyBorder="1">
      <alignment vertical="center"/>
    </xf>
    <xf numFmtId="0" fontId="33" fillId="0" borderId="53" xfId="0" applyFont="1" applyBorder="1">
      <alignment vertical="center"/>
    </xf>
    <xf numFmtId="0" fontId="33" fillId="0" borderId="48" xfId="0" applyFont="1" applyBorder="1">
      <alignment vertical="center"/>
    </xf>
    <xf numFmtId="0" fontId="33" fillId="0" borderId="11" xfId="0" applyFont="1" applyBorder="1">
      <alignment vertical="center"/>
    </xf>
    <xf numFmtId="0" fontId="33" fillId="0" borderId="10" xfId="0" applyFont="1" applyBorder="1">
      <alignment vertical="center"/>
    </xf>
    <xf numFmtId="0" fontId="33" fillId="0" borderId="48" xfId="0" applyFont="1" applyBorder="1" applyAlignment="1">
      <alignment horizontal="center" vertical="center"/>
    </xf>
    <xf numFmtId="0" fontId="33" fillId="0" borderId="0" xfId="0" applyFont="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20" xfId="0" applyFont="1" applyBorder="1">
      <alignment vertical="center"/>
    </xf>
    <xf numFmtId="0" fontId="33" fillId="0" borderId="37" xfId="0" applyFont="1" applyBorder="1">
      <alignment vertical="center"/>
    </xf>
    <xf numFmtId="0" fontId="33" fillId="0" borderId="51" xfId="0" applyFont="1" applyBorder="1">
      <alignment vertical="center"/>
    </xf>
    <xf numFmtId="0" fontId="33" fillId="0" borderId="57" xfId="0" applyFont="1" applyBorder="1">
      <alignment vertical="center"/>
    </xf>
    <xf numFmtId="0" fontId="33" fillId="0" borderId="55" xfId="0" applyFont="1" applyBorder="1">
      <alignment vertical="center"/>
    </xf>
    <xf numFmtId="0" fontId="33" fillId="0" borderId="40" xfId="0" applyFont="1" applyBorder="1">
      <alignment vertical="center"/>
    </xf>
    <xf numFmtId="0" fontId="33" fillId="0" borderId="54" xfId="0" applyFont="1" applyBorder="1">
      <alignment vertical="center"/>
    </xf>
    <xf numFmtId="0" fontId="33" fillId="0" borderId="48" xfId="0" applyFont="1" applyBorder="1" applyAlignment="1">
      <alignment vertical="center" wrapText="1"/>
    </xf>
    <xf numFmtId="0" fontId="33" fillId="0" borderId="16" xfId="0" applyFont="1" applyBorder="1">
      <alignment vertical="center"/>
    </xf>
    <xf numFmtId="0" fontId="33" fillId="0" borderId="49" xfId="0" applyFont="1" applyBorder="1">
      <alignment vertical="center"/>
    </xf>
    <xf numFmtId="0" fontId="33" fillId="0" borderId="30" xfId="0" applyFont="1" applyBorder="1" applyAlignment="1">
      <alignment horizontal="center" vertical="center"/>
    </xf>
    <xf numFmtId="0" fontId="33" fillId="0" borderId="58" xfId="0" applyFont="1" applyBorder="1" applyAlignment="1">
      <alignment horizontal="center" vertical="center"/>
    </xf>
    <xf numFmtId="0" fontId="33" fillId="0" borderId="59" xfId="0" applyFont="1" applyBorder="1" applyAlignment="1">
      <alignment horizontal="center" vertical="center"/>
    </xf>
    <xf numFmtId="0" fontId="33" fillId="0" borderId="49" xfId="0" applyFont="1" applyBorder="1" applyAlignment="1">
      <alignment vertical="center" wrapText="1"/>
    </xf>
    <xf numFmtId="0" fontId="33" fillId="0" borderId="17" xfId="0" applyFont="1" applyBorder="1">
      <alignment vertical="center"/>
    </xf>
    <xf numFmtId="0" fontId="33" fillId="0" borderId="25" xfId="0" applyFont="1" applyBorder="1">
      <alignment vertical="center"/>
    </xf>
    <xf numFmtId="0" fontId="33" fillId="18" borderId="60" xfId="0" applyFont="1" applyFill="1" applyBorder="1" applyAlignment="1">
      <alignment horizontal="center" vertical="center"/>
    </xf>
    <xf numFmtId="0" fontId="33" fillId="18" borderId="45" xfId="0" applyFont="1" applyFill="1" applyBorder="1" applyAlignment="1">
      <alignment horizontal="center" vertical="center"/>
    </xf>
    <xf numFmtId="0" fontId="33" fillId="18" borderId="46" xfId="0" applyFont="1" applyFill="1" applyBorder="1" applyAlignment="1">
      <alignment horizontal="center" vertical="center"/>
    </xf>
    <xf numFmtId="0" fontId="33" fillId="19" borderId="57" xfId="0" applyFont="1" applyFill="1" applyBorder="1" applyAlignment="1">
      <alignment horizontal="center" vertical="center"/>
    </xf>
    <xf numFmtId="0" fontId="33" fillId="19" borderId="55" xfId="0" applyFont="1" applyFill="1" applyBorder="1" applyAlignment="1">
      <alignment horizontal="center" vertical="center"/>
    </xf>
    <xf numFmtId="0" fontId="33" fillId="7" borderId="50" xfId="0" applyFont="1" applyFill="1" applyBorder="1" applyAlignment="1">
      <alignment horizontal="center" vertical="center"/>
    </xf>
    <xf numFmtId="0" fontId="33" fillId="7" borderId="26" xfId="0" applyFont="1" applyFill="1" applyBorder="1" applyAlignment="1">
      <alignment horizontal="center" vertical="center"/>
    </xf>
    <xf numFmtId="0" fontId="33" fillId="7" borderId="47" xfId="0" applyFont="1" applyFill="1" applyBorder="1" applyAlignment="1">
      <alignment horizontal="center" vertical="center"/>
    </xf>
    <xf numFmtId="0" fontId="35" fillId="9" borderId="13" xfId="3" applyFont="1" applyFill="1" applyBorder="1" applyAlignment="1">
      <alignment horizontal="center" vertical="center" wrapText="1"/>
    </xf>
    <xf numFmtId="0" fontId="35" fillId="0" borderId="14" xfId="0" applyFont="1" applyBorder="1" applyAlignment="1">
      <alignment horizontal="center" vertical="center" wrapText="1"/>
      <protection locked="0" hidden="0"/>
    </xf>
    <xf numFmtId="0" fontId="35" fillId="9" borderId="14" xfId="3" applyFont="1" applyFill="1" applyBorder="1" applyAlignment="1">
      <alignment horizontal="center" vertical="center" wrapText="1"/>
    </xf>
    <xf numFmtId="0" fontId="35" fillId="9" borderId="14" xfId="3" applyFont="1" applyFill="1" applyBorder="1" applyAlignment="1">
      <alignment horizontal="center" vertical="center"/>
    </xf>
    <xf numFmtId="0" fontId="33" fillId="0" borderId="14" xfId="0" applyFont="1" applyBorder="1" applyAlignment="1">
      <alignment horizontal="center" vertical="center"/>
    </xf>
    <xf numFmtId="0" fontId="33" fillId="0" borderId="15" xfId="0" applyFont="1" applyBorder="1" applyAlignment="1">
      <alignment horizontal="center" vertical="center"/>
    </xf>
    <xf numFmtId="0" fontId="33" fillId="0" borderId="14" xfId="0" applyFont="1" applyBorder="1" applyAlignment="1">
      <alignment horizontal="center" vertical="center" wrapText="1"/>
    </xf>
    <xf numFmtId="0" fontId="33" fillId="0" borderId="15" xfId="0" applyFont="1" applyBorder="1" applyAlignment="1">
      <alignment horizontal="center" vertical="center" wrapText="1"/>
    </xf>
    <xf numFmtId="0" fontId="33" fillId="7" borderId="14" xfId="0" applyFont="1" applyFill="1" applyBorder="1" applyAlignment="1">
      <alignment horizontal="center" vertical="center"/>
    </xf>
    <xf numFmtId="0" fontId="33" fillId="7" borderId="15" xfId="0" applyFont="1" applyFill="1" applyBorder="1" applyAlignment="1">
      <alignment horizontal="center" vertical="center"/>
    </xf>
    <xf numFmtId="0" fontId="33" fillId="7" borderId="13" xfId="0" applyFont="1" applyFill="1" applyBorder="1" applyAlignment="1">
      <alignment horizontal="center" vertical="center"/>
    </xf>
    <xf numFmtId="0" fontId="35" fillId="9" borderId="22" xfId="3" applyFont="1" applyFill="1" applyBorder="1" applyAlignment="1">
      <alignment horizontal="center" vertical="center" wrapText="1"/>
    </xf>
    <xf numFmtId="0" fontId="33" fillId="0" borderId="23" xfId="0" applyFont="1" applyBorder="1" applyAlignment="1">
      <alignment horizontal="center" vertical="center"/>
    </xf>
    <xf numFmtId="0" fontId="35" fillId="9" borderId="23" xfId="3" applyFont="1" applyFill="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19" borderId="14" xfId="0" applyFont="1" applyFill="1" applyBorder="1" applyAlignment="1">
      <alignment horizontal="center" vertical="center"/>
    </xf>
    <xf numFmtId="0" fontId="33" fillId="19" borderId="15" xfId="0" applyFont="1" applyFill="1" applyBorder="1" applyAlignment="1">
      <alignment horizontal="center" vertical="center"/>
    </xf>
    <xf numFmtId="0" fontId="33" fillId="20" borderId="60" xfId="0" applyFont="1" applyFill="1" applyBorder="1" applyAlignment="1">
      <alignment horizontal="center" vertical="center"/>
    </xf>
    <xf numFmtId="0" fontId="33" fillId="20" borderId="45" xfId="0" applyFont="1" applyFill="1" applyBorder="1" applyAlignment="1">
      <alignment horizontal="center" vertical="center"/>
    </xf>
    <xf numFmtId="0" fontId="33" fillId="20" borderId="46" xfId="0" applyFont="1" applyFill="1" applyBorder="1" applyAlignment="1">
      <alignment horizontal="center" vertical="center"/>
    </xf>
    <xf numFmtId="0" fontId="33" fillId="21" borderId="13" xfId="0" applyFont="1" applyFill="1" applyBorder="1" applyAlignment="1">
      <alignment horizontal="center" vertical="center"/>
    </xf>
    <xf numFmtId="0" fontId="33" fillId="21" borderId="14" xfId="0" applyFont="1" applyFill="1" applyBorder="1" applyAlignment="1">
      <alignment horizontal="center" vertical="center"/>
    </xf>
    <xf numFmtId="0" fontId="33" fillId="21" borderId="21" xfId="0" applyFont="1" applyFill="1" applyBorder="1" applyAlignment="1">
      <alignment horizontal="center" vertical="center"/>
    </xf>
    <xf numFmtId="0" fontId="33" fillId="21" borderId="15" xfId="0" applyFont="1" applyFill="1" applyBorder="1" applyAlignment="1">
      <alignment horizontal="center" vertical="center"/>
    </xf>
    <xf numFmtId="0" fontId="35" fillId="22" borderId="13" xfId="3" applyFont="1" applyFill="1" applyBorder="1" applyAlignment="1">
      <alignment horizontal="center" vertical="center" wrapText="1"/>
    </xf>
    <xf numFmtId="0" fontId="35" fillId="22" borderId="14" xfId="3" applyFont="1" applyFill="1" applyBorder="1" applyAlignment="1">
      <alignment horizontal="center" vertical="center" wrapText="1"/>
    </xf>
    <xf numFmtId="0" fontId="35" fillId="22" borderId="14" xfId="3" applyFont="1" applyFill="1" applyBorder="1" applyAlignment="1">
      <alignment horizontal="center" vertical="center"/>
    </xf>
    <xf numFmtId="0" fontId="35" fillId="22" borderId="21" xfId="3" applyFont="1" applyFill="1" applyBorder="1" applyAlignment="1">
      <alignment horizontal="center" vertical="center" wrapText="1"/>
    </xf>
    <xf numFmtId="0" fontId="35" fillId="0" borderId="15" xfId="0" applyFont="1" applyBorder="1" applyAlignment="1">
      <alignment horizontal="center" vertical="center" wrapText="1"/>
      <protection locked="0" hidden="0"/>
    </xf>
    <xf numFmtId="0" fontId="35" fillId="0" borderId="37" xfId="0" applyFont="1" applyBorder="1" applyAlignment="1">
      <alignment horizontal="center" vertical="center" wrapText="1"/>
      <protection locked="0" hidden="0"/>
    </xf>
    <xf numFmtId="0" fontId="35" fillId="0" borderId="20" xfId="0" applyFont="1" applyBorder="1" applyAlignment="1">
      <alignment horizontal="center" vertical="center" wrapText="1"/>
      <protection locked="0" hidden="0"/>
    </xf>
    <xf numFmtId="0" fontId="35" fillId="0" borderId="38" xfId="0" applyFont="1" applyBorder="1" applyAlignment="1">
      <alignment horizontal="center" vertical="center" wrapText="1"/>
      <protection locked="0" hidden="0"/>
    </xf>
    <xf numFmtId="0" fontId="35" fillId="0" borderId="51" xfId="0" applyFont="1" applyBorder="1" applyAlignment="1">
      <alignment horizontal="center" vertical="center" wrapText="1"/>
      <protection locked="0" hidden="0"/>
    </xf>
    <xf numFmtId="0" fontId="35" fillId="0" borderId="48" xfId="0" applyFont="1" applyBorder="1" applyAlignment="1">
      <alignment horizontal="center" vertical="center" wrapText="1"/>
      <protection locked="0" hidden="0"/>
    </xf>
    <xf numFmtId="0" fontId="35" fillId="0" borderId="0" xfId="0" applyFont="1" applyAlignment="1">
      <alignment horizontal="center" vertical="center" wrapText="1"/>
      <protection locked="0" hidden="0"/>
    </xf>
    <xf numFmtId="0" fontId="35" fillId="0" borderId="61" xfId="0" applyFont="1" applyBorder="1" applyAlignment="1">
      <alignment horizontal="center" vertical="center" wrapText="1"/>
      <protection locked="0" hidden="0"/>
    </xf>
    <xf numFmtId="0" fontId="35" fillId="0" borderId="11" xfId="0" applyFont="1" applyBorder="1" applyAlignment="1">
      <alignment horizontal="center" vertical="center" wrapText="1"/>
      <protection locked="0" hidden="0"/>
    </xf>
    <xf numFmtId="0" fontId="35" fillId="0" borderId="40" xfId="0" applyFont="1" applyBorder="1" applyAlignment="1">
      <alignment horizontal="center" vertical="center" wrapText="1"/>
      <protection locked="0" hidden="0"/>
    </xf>
    <xf numFmtId="0" fontId="35" fillId="0" borderId="53" xfId="0" applyFont="1" applyBorder="1" applyAlignment="1">
      <alignment horizontal="center" vertical="center" wrapText="1"/>
      <protection locked="0" hidden="0"/>
    </xf>
    <xf numFmtId="0" fontId="35" fillId="0" borderId="41" xfId="0" applyFont="1" applyBorder="1" applyAlignment="1">
      <alignment horizontal="center" vertical="center" wrapText="1"/>
      <protection locked="0" hidden="0"/>
    </xf>
    <xf numFmtId="0" fontId="35" fillId="0" borderId="54" xfId="0" applyFont="1" applyBorder="1" applyAlignment="1">
      <alignment horizontal="center" vertical="center" wrapText="1"/>
      <protection locked="0" hidden="0"/>
    </xf>
    <xf numFmtId="0" fontId="35" fillId="22" borderId="22" xfId="3" applyFont="1" applyFill="1" applyBorder="1" applyAlignment="1">
      <alignment horizontal="center" vertical="center" wrapText="1"/>
    </xf>
    <xf numFmtId="0" fontId="35" fillId="0" borderId="23" xfId="0" applyFont="1" applyBorder="1" applyAlignment="1">
      <alignment horizontal="center" vertical="center" wrapText="1"/>
      <protection locked="0" hidden="0"/>
    </xf>
    <xf numFmtId="0" fontId="35" fillId="0" borderId="24" xfId="0" applyFont="1" applyBorder="1" applyAlignment="1">
      <alignment horizontal="center" vertical="center" wrapText="1"/>
      <protection locked="0" hidden="0"/>
    </xf>
    <xf numFmtId="0" fontId="36" fillId="0" borderId="0" xfId="0" applyFont="1">
      <alignment vertical="center"/>
    </xf>
    <xf numFmtId="0" fontId="37" fillId="18" borderId="0" xfId="0" applyFont="1" applyFill="1" applyAlignment="1">
      <alignment horizontal="center" vertical="center"/>
    </xf>
    <xf numFmtId="0" fontId="37" fillId="23" borderId="0" xfId="0" applyFont="1" applyFill="1" applyAlignment="1">
      <alignment horizontal="center" vertical="center"/>
    </xf>
    <xf numFmtId="0" fontId="36" fillId="19" borderId="0" xfId="0" applyFont="1" applyFill="1" applyAlignment="1">
      <alignment horizontal="center" vertical="center"/>
    </xf>
    <xf numFmtId="0" fontId="36" fillId="24" borderId="0" xfId="0" applyFont="1" applyFill="1" applyAlignment="1">
      <alignment horizontal="center" vertical="center"/>
    </xf>
    <xf numFmtId="0" fontId="36" fillId="0" borderId="0" xfId="0" applyFont="1" applyAlignment="1">
      <alignment vertical="center" wrapText="1"/>
    </xf>
    <xf numFmtId="0" fontId="38" fillId="0" borderId="4" xfId="0" applyFont="1" applyFill="1" applyBorder="1">
      <alignment vertical="center"/>
    </xf>
    <xf numFmtId="0" fontId="39" fillId="0" borderId="6" xfId="0" applyFont="1" applyFill="1" applyBorder="1">
      <alignment vertical="center"/>
    </xf>
    <xf numFmtId="0" fontId="39" fillId="0" borderId="4" xfId="0" applyFont="1" applyBorder="1" applyAlignment="1">
      <alignment horizontal="center" vertical="center"/>
    </xf>
    <xf numFmtId="0" fontId="39" fillId="0" borderId="6" xfId="0" applyFont="1" applyBorder="1" applyAlignment="1">
      <alignment horizontal="center" vertical="center"/>
    </xf>
    <xf numFmtId="0" fontId="39" fillId="0" borderId="4" xfId="0" applyFont="1" applyBorder="1">
      <alignment vertical="center"/>
    </xf>
    <xf numFmtId="0" fontId="40" fillId="25" borderId="18" xfId="3" applyFont="1" applyFill="1" applyBorder="1">
      <alignment vertical="center"/>
      <protection locked="0" hidden="0"/>
    </xf>
    <xf numFmtId="0" fontId="40" fillId="25" borderId="18" xfId="3" applyFont="1" applyFill="1" applyBorder="1">
      <alignment vertical="center"/>
    </xf>
    <xf numFmtId="0" fontId="39" fillId="25" borderId="6" xfId="0" applyFont="1" applyFill="1" applyBorder="1">
      <alignment vertical="center"/>
    </xf>
    <xf numFmtId="0" fontId="39" fillId="0" borderId="10" xfId="0" applyFont="1" applyFill="1" applyBorder="1">
      <alignment vertical="center"/>
    </xf>
    <xf numFmtId="0" fontId="38" fillId="0" borderId="11" xfId="0" applyFont="1" applyFill="1" applyBorder="1">
      <alignment vertical="center"/>
    </xf>
    <xf numFmtId="0" fontId="41" fillId="0" borderId="10" xfId="0" applyFont="1" applyFill="1" applyBorder="1">
      <alignment vertical="center"/>
      <protection locked="0" hidden="0"/>
    </xf>
    <xf numFmtId="0" fontId="41" fillId="0" borderId="11" xfId="0" applyFont="1" applyFill="1" applyBorder="1">
      <alignment vertical="center"/>
      <protection locked="0" hidden="0"/>
    </xf>
    <xf numFmtId="0" fontId="39" fillId="0" borderId="10" xfId="0" applyFont="1" applyBorder="1">
      <alignment vertical="center"/>
    </xf>
    <xf numFmtId="0" fontId="39" fillId="0" borderId="0" xfId="0" applyFont="1">
      <alignment vertical="center"/>
    </xf>
    <xf numFmtId="0" fontId="39" fillId="0" borderId="11" xfId="0" applyFont="1" applyBorder="1">
      <alignment vertical="center"/>
    </xf>
    <xf numFmtId="0" fontId="39" fillId="0" borderId="10" xfId="0" applyFont="1" applyBorder="1">
      <alignment vertical="center"/>
      <protection locked="0" hidden="0"/>
    </xf>
    <xf numFmtId="0" fontId="39" fillId="0" borderId="11" xfId="0" applyFont="1" applyBorder="1">
      <alignment vertical="center"/>
      <protection locked="0" hidden="0"/>
    </xf>
    <xf numFmtId="0" fontId="39" fillId="0" borderId="16" xfId="0" applyFont="1" applyBorder="1">
      <alignment vertical="center"/>
      <protection locked="0" hidden="0"/>
    </xf>
    <xf numFmtId="0" fontId="39" fillId="0" borderId="25" xfId="0" applyFont="1" applyBorder="1">
      <alignment vertical="center"/>
      <protection locked="0" hidden="0"/>
    </xf>
    <xf numFmtId="0" fontId="38" fillId="0" borderId="10" xfId="0" applyFont="1" applyBorder="1">
      <alignment vertical="center"/>
    </xf>
    <xf numFmtId="0" fontId="38" fillId="0" borderId="10" xfId="0" applyFont="1" applyBorder="1">
      <alignment vertical="center"/>
      <protection locked="0" hidden="0"/>
    </xf>
    <xf numFmtId="0" fontId="39" fillId="0" borderId="0" xfId="0" applyFont="1">
      <alignment vertical="center"/>
      <protection locked="0" hidden="0"/>
    </xf>
    <xf numFmtId="0" fontId="38" fillId="0" borderId="10" xfId="0" applyFont="1" applyFill="1" applyBorder="1">
      <alignment vertical="center"/>
      <protection locked="0" hidden="0"/>
    </xf>
    <xf numFmtId="0" fontId="38" fillId="0" borderId="11" xfId="0" applyFont="1" applyFill="1" applyBorder="1">
      <alignment vertical="center"/>
      <protection locked="0" hidden="0"/>
    </xf>
    <xf numFmtId="0" fontId="3" fillId="0" borderId="0" xfId="0" applyFont="1">
      <alignment vertical="center"/>
      <protection locked="0" hidden="0"/>
    </xf>
    <xf numFmtId="0" fontId="39" fillId="0" borderId="17" xfId="0" applyFont="1" applyBorder="1">
      <alignment vertical="center"/>
      <protection locked="0" hidden="0"/>
    </xf>
    <xf numFmtId="0" fontId="39" fillId="0" borderId="10" xfId="0" applyFont="1" applyFill="1" applyBorder="1">
      <alignment vertical="center"/>
      <protection locked="0" hidden="0"/>
    </xf>
    <xf numFmtId="0" fontId="39" fillId="0" borderId="11" xfId="0" applyFont="1" applyFill="1" applyBorder="1">
      <alignment vertical="center"/>
      <protection locked="0" hidden="0"/>
    </xf>
    <xf numFmtId="0" fontId="39" fillId="0" borderId="16" xfId="0" applyFont="1" applyFill="1" applyBorder="1">
      <alignment vertical="center"/>
      <protection locked="0" hidden="0"/>
    </xf>
    <xf numFmtId="0" fontId="39" fillId="0" borderId="25" xfId="0" applyFont="1" applyFill="1" applyBorder="1">
      <alignment vertical="center"/>
      <protection locked="0" hidden="0"/>
    </xf>
  </cellXfs>
  <cellStyles count="7">
    <cellStyle name="常规" xfId="0" builtinId="0"/>
    <cellStyle name="一般 2" xfId="1"/>
    <cellStyle name="標題 4 2" xfId="2"/>
    <cellStyle name="标题 4" xfId="3"/>
    <cellStyle name="输入" xfId="4"/>
    <cellStyle name="标题 3" xfId="5"/>
    <cellStyle name="標題 1 2" xfId="6"/>
  </cellStyles>
  <dxfs count="14">
    <dxf>
      <fill>
        <patternFill patternType="solid">
          <bgColor rgb="FFDCE6F1"/>
        </patternFill>
      </fill>
    </dxf>
    <dxf>
      <font>
        <color rgb="FFFFFFFF"/>
      </font>
    </dxf>
    <dxf>
      <font>
        <color rgb="FFF2F2F2"/>
      </font>
    </dxf>
    <dxf>
      <fill>
        <patternFill patternType="solid">
          <bgColor rgb="FFC5D9F1"/>
        </patternFill>
      </fill>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4"/>
      <tableStyleElement type="totalRow" dxfId="5"/>
      <tableStyleElement type="firstRowStripe" dxfId="6"/>
      <tableStyleElement type="firstColumnStripe" dxfId="7"/>
      <tableStyleElement type="firstSubtotalRow" dxfId="8"/>
      <tableStyleElement type="secondSubtotalRow" dxfId="9"/>
      <tableStyleElement type="firstRowSubheading" dxfId="10"/>
      <tableStyleElement type="secondRowSubheading" dxfId="11"/>
      <tableStyleElement type="pageFieldLabels" dxfId="12"/>
      <tableStyleElement type="pageFieldValues" dxfId="13"/>
    </tableStyle>
  </tableStyles>
</styleSheet>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www.wps.cn/officeDocument/2020/cellImage" Target="cellimages.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 Id="rId13" Type="http://schemas.openxmlformats.org/officeDocument/2006/relationships/customXml" Target="../customXml/item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34</xdr:row>
      <xdr:rowOff>0</xdr:rowOff>
    </xdr:from>
    <xdr:to>
      <xdr:col>12</xdr:col>
      <xdr:colOff>286395</xdr:colOff>
      <xdr:row>42</xdr:row>
      <xdr:rowOff>0</xdr:rowOff>
    </xdr:to>
    <xdr:pic>
      <xdr:nvPicPr>
        <xdr:cNvPr id="2" name="图片 2" descr=" "/>
        <xdr:cNvPicPr/>
      </xdr:nvPicPr>
      <xdr:blipFill>
        <a:blip xmlns:r="http://schemas.openxmlformats.org/officeDocument/2006/relationships" r:embed="rId1"/>
        <a:srcRect/>
        <a:stretch>
          <a:fillRect/>
        </a:stretch>
      </xdr:blipFill>
      <xdr:spPr>
        <a:xfrm>
          <a:off x="0" y="6737985"/>
          <a:ext cx="9457690" cy="1584960"/>
        </a:xfrm>
        <a:prstGeom prst="rect">
          <a:avLst/>
        </a:prstGeom>
        <a:noFill/>
        <a:ln w="9525" cap="flat" cmpd="sng">
          <a:noFill/>
          <a:prstDash val="solid"/>
          <a:miter/>
        </a:ln>
        <a:effectLst/>
      </xdr:spPr>
    </xdr:pic>
    <xdr:clientData/>
  </xdr:twoCellAnchor>
  <xdr:twoCellAnchor>
    <xdr:from>
      <xdr:col>0</xdr:col>
      <xdr:colOff>0</xdr:colOff>
      <xdr:row>30</xdr:row>
      <xdr:rowOff>0</xdr:rowOff>
    </xdr:from>
    <xdr:to>
      <xdr:col>1</xdr:col>
      <xdr:colOff>498883</xdr:colOff>
      <xdr:row>32</xdr:row>
      <xdr:rowOff>0</xdr:rowOff>
    </xdr:to>
    <xdr:pic>
      <xdr:nvPicPr>
        <xdr:cNvPr id="3" name="图片 3" descr=" "/>
        <xdr:cNvPicPr/>
      </xdr:nvPicPr>
      <xdr:blipFill>
        <a:blip xmlns:r="http://schemas.openxmlformats.org/officeDocument/2006/relationships" r:embed="rId2"/>
        <a:srcRect/>
        <a:stretch>
          <a:fillRect/>
        </a:stretch>
      </xdr:blipFill>
      <xdr:spPr>
        <a:xfrm>
          <a:off x="19685" y="5945505"/>
          <a:ext cx="1247140" cy="39624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1354;&#24819;SP1.159&#24481;&#20027;&#35282;&#33394;&#213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說明"/>
      <sheetName val="角色卡"/>
      <sheetName val="角色經歷"/>
      <sheetName val="（调卡用表）"/>
      <sheetName val="建卡用参考资源"/>
      <sheetName val="数值参考"/>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dimension ref="A1:AO71"/>
  <sheetViews>
    <sheetView workbookViewId="0">
      <selection activeCell="A1" sqref="A1:K5"/>
    </sheetView>
  </sheetViews>
  <sheetFormatPr defaultRowHeight="15.6" defaultColWidth="10"/>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6" spans="8:8" ht="15.75" customHeight="1">
      <c r="A6" s="2" t="s">
        <v>1</v>
      </c>
    </row>
    <row r="7" spans="8:8">
      <c r="A7" s="3">
        <v>5.0</v>
      </c>
      <c r="B7" t="s">
        <v>2</v>
      </c>
    </row>
    <row r="8" spans="8:8">
      <c r="A8" s="3"/>
      <c r="B8" t="s">
        <v>3</v>
      </c>
    </row>
    <row r="9" spans="8:8">
      <c r="A9" s="3"/>
      <c r="B9" t="s">
        <v>4</v>
      </c>
    </row>
    <row r="10" spans="8:8">
      <c r="A10" s="3">
        <v>5.1</v>
      </c>
      <c r="B10" t="s">
        <v>5</v>
      </c>
    </row>
    <row r="11" spans="8:8">
      <c r="A11" s="3">
        <v>5.11</v>
      </c>
      <c r="B11" t="s">
        <v>6</v>
      </c>
    </row>
    <row r="12" spans="8:8">
      <c r="A12" s="3">
        <v>5.2</v>
      </c>
      <c r="B12" t="s">
        <v>7</v>
      </c>
    </row>
    <row r="13" spans="8:8">
      <c r="A13" s="3"/>
      <c r="B13" t="s">
        <v>8</v>
      </c>
    </row>
    <row r="14" spans="8:8">
      <c r="A14" s="3">
        <v>5.22</v>
      </c>
      <c r="B14" s="4" t="s">
        <v>9</v>
      </c>
    </row>
    <row r="15" spans="8:8">
      <c r="A15" s="3">
        <v>5.31</v>
      </c>
      <c r="B15" t="s">
        <v>10</v>
      </c>
    </row>
    <row r="16" spans="8:8">
      <c r="A16" s="3"/>
      <c r="B16" t="s">
        <v>11</v>
      </c>
    </row>
    <row r="17" spans="8:8">
      <c r="A17" s="3">
        <v>5.4</v>
      </c>
      <c r="B17" t="s">
        <v>12</v>
      </c>
    </row>
    <row r="18" spans="8:8">
      <c r="A18" s="3">
        <v>5.5</v>
      </c>
      <c r="B18" t="s">
        <v>13</v>
      </c>
    </row>
    <row r="19" spans="8:8">
      <c r="A19" s="3"/>
      <c r="B19" t="s">
        <v>14</v>
      </c>
    </row>
    <row r="20" spans="8:8">
      <c r="A20" s="3"/>
      <c r="B20" t="s">
        <v>15</v>
      </c>
    </row>
    <row r="21" spans="8:8">
      <c r="A21" s="3"/>
      <c r="B21" s="4" t="s">
        <v>16</v>
      </c>
    </row>
    <row r="22" spans="8:8">
      <c r="A22" s="3"/>
      <c r="B22" t="s">
        <v>17</v>
      </c>
    </row>
    <row r="23" spans="8:8">
      <c r="A23" s="3"/>
      <c r="B23" s="4" t="s">
        <v>18</v>
      </c>
    </row>
    <row r="24" spans="8:8">
      <c r="A24" s="5" t="s">
        <v>19</v>
      </c>
      <c r="B24" s="6" t="s">
        <v>20</v>
      </c>
    </row>
    <row r="25" spans="8:8">
      <c r="A25" s="7"/>
      <c r="B25" s="6" t="s">
        <v>21</v>
      </c>
    </row>
    <row r="26" spans="8:8">
      <c r="A26" s="7"/>
      <c r="B26" s="6" t="s">
        <v>22</v>
      </c>
    </row>
    <row r="27" spans="8:8">
      <c r="A27" s="7"/>
      <c r="B27" s="6" t="s">
        <v>23</v>
      </c>
    </row>
    <row r="28" spans="8:8">
      <c r="A28" s="8">
        <v>6.01</v>
      </c>
      <c r="B28" s="9" t="s">
        <v>24</v>
      </c>
    </row>
    <row r="29" spans="8:8">
      <c r="A29" s="10" t="s">
        <v>25</v>
      </c>
      <c r="B29" s="10"/>
      <c r="C29" s="10"/>
      <c r="D29" s="10"/>
      <c r="E29" s="10"/>
      <c r="F29" s="10"/>
      <c r="G29" s="10"/>
    </row>
    <row r="30" spans="8:8">
      <c r="A30" s="10"/>
      <c r="B30" s="10"/>
      <c r="C30" s="10"/>
      <c r="D30" s="10"/>
      <c r="E30" s="10"/>
      <c r="F30" s="10"/>
      <c r="G30" s="10"/>
    </row>
    <row r="34" spans="8:8">
      <c r="A34" t="s">
        <v>26</v>
      </c>
    </row>
    <row r="35" spans="8:8">
      <c r="A35" s="2"/>
      <c r="B35" s="2"/>
    </row>
    <row r="36" spans="8:8">
      <c r="A36" s="2"/>
      <c r="B36" s="2"/>
    </row>
    <row r="37" spans="8:8">
      <c r="A37" s="2"/>
      <c r="B37" s="2"/>
    </row>
    <row r="38" spans="8:8">
      <c r="A38" s="2"/>
      <c r="B38" s="2"/>
    </row>
    <row r="48" spans="8:8">
      <c r="A48" s="2" t="s">
        <v>27</v>
      </c>
    </row>
    <row r="49" spans="8:8">
      <c r="A49" s="2" t="s">
        <v>28</v>
      </c>
    </row>
    <row r="50" spans="8:8">
      <c r="A50" s="2"/>
    </row>
    <row r="51" spans="8:8">
      <c r="A51" s="2" t="s">
        <v>29</v>
      </c>
    </row>
    <row r="68" spans="8:8">
      <c r="C68" s="2"/>
      <c r="D68" s="2"/>
    </row>
    <row r="69" spans="8:8">
      <c r="C69" s="2"/>
      <c r="D69" s="2"/>
    </row>
    <row r="70" spans="8:8">
      <c r="C70" s="2"/>
      <c r="D70" s="2"/>
    </row>
    <row r="71" spans="8:8">
      <c r="C71" s="2"/>
      <c r="D71" s="2"/>
    </row>
  </sheetData>
  <sheetProtection sheet="1" objects="1" scenarios="1"/>
  <mergeCells count="4">
    <mergeCell ref="A12:A13"/>
    <mergeCell ref="A15:A16"/>
    <mergeCell ref="A29:G30"/>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BC182"/>
  <sheetViews>
    <sheetView tabSelected="1" workbookViewId="0" topLeftCell="B61" showGridLines="0" zoomScale="39">
      <selection activeCell="I68" sqref="I68"/>
    </sheetView>
  </sheetViews>
  <sheetFormatPr defaultRowHeight="17.4" defaultColWidth="10"/>
  <cols>
    <col min="1" max="21" customWidth="1" width="9.199219" style="11"/>
    <col min="22" max="16384" customWidth="0" width="9.0" style="11"/>
  </cols>
  <sheetData>
    <row r="1" spans="8:8" ht="18.15">
      <c r="C1" s="12">
        <f t="shared" si="0" ref="C1:I1">C16+C17</f>
        <v>70.0</v>
      </c>
      <c r="D1" s="12">
        <f t="shared" si="0"/>
        <v>55.0</v>
      </c>
      <c r="E1" s="12">
        <f t="shared" si="0"/>
        <v>45.0</v>
      </c>
      <c r="F1" s="12">
        <f t="shared" si="0"/>
        <v>80.0</v>
      </c>
      <c r="G1" s="12">
        <f t="shared" si="0"/>
        <v>40.0</v>
      </c>
      <c r="H1" s="12">
        <f t="shared" si="0"/>
        <v>50.0</v>
      </c>
      <c r="I1" s="12">
        <f t="shared" si="0"/>
        <v>40.0</v>
      </c>
    </row>
    <row r="2" spans="8:8">
      <c r="B2" s="13" t="s">
        <v>30</v>
      </c>
      <c r="C2" s="14"/>
      <c r="D2" s="15"/>
      <c r="E2" s="16" t="s">
        <v>31</v>
      </c>
      <c r="F2" s="17"/>
      <c r="G2" s="18"/>
      <c r="H2" s="13" t="s">
        <v>32</v>
      </c>
      <c r="I2" s="14"/>
      <c r="J2" s="15"/>
      <c r="K2" s="19" t="s">
        <v>33</v>
      </c>
      <c r="L2" s="20" t="s">
        <v>34</v>
      </c>
      <c r="M2" s="21"/>
      <c r="N2" s="21"/>
      <c r="O2" s="22"/>
      <c r="P2" s="23"/>
      <c r="Q2" s="20" t="s">
        <v>35</v>
      </c>
      <c r="R2" s="21"/>
      <c r="S2" s="21"/>
      <c r="T2" s="22"/>
    </row>
    <row r="3" spans="8:8">
      <c r="B3" s="24" t="str">
        <f>角色經歷!B15</f>
        <v>秩序-善</v>
      </c>
      <c r="C3" s="25"/>
      <c r="D3" s="26"/>
      <c r="E3" s="27" t="s">
        <v>36</v>
      </c>
      <c r="F3" s="28"/>
      <c r="G3" s="29"/>
      <c r="H3" s="30" t="s">
        <v>37</v>
      </c>
      <c r="I3" s="31"/>
      <c r="J3" s="32"/>
      <c r="K3" s="33">
        <f>24+K15</f>
        <v>27.0</v>
      </c>
      <c r="L3" s="34" t="s">
        <v>38</v>
      </c>
      <c r="M3" s="35"/>
      <c r="N3" s="36" t="str">
        <f>F9</f>
        <v>Saber（职阶2）</v>
      </c>
      <c r="O3" s="37"/>
      <c r="P3" s="38"/>
      <c r="Q3" s="39" t="str">
        <f>VLOOKUP(F9,调卡用表!P3:Q19,2,0)</f>
        <v>建卡时，放弃职阶技能[骑乘]和[10]点[耐久]职阶属性，获得额外的[+2]RP点。</v>
      </c>
      <c r="R3" s="40"/>
      <c r="S3" s="40"/>
      <c r="T3" s="41"/>
    </row>
    <row r="4" spans="8:8">
      <c r="B4" s="42"/>
      <c r="C4" s="43"/>
      <c r="D4" s="43"/>
      <c r="E4" s="44"/>
      <c r="F4" s="45"/>
      <c r="G4" s="46"/>
      <c r="H4" s="30"/>
      <c r="I4" s="31"/>
      <c r="J4" s="32"/>
      <c r="K4" s="47"/>
      <c r="L4" s="48" t="s">
        <v>39</v>
      </c>
      <c r="M4" s="49"/>
      <c r="N4" s="50" t="str">
        <f>F10</f>
        <v>英灵</v>
      </c>
      <c r="O4" s="51"/>
      <c r="P4" s="38"/>
      <c r="Q4" s="39"/>
      <c r="R4" s="40"/>
      <c r="S4" s="40"/>
      <c r="T4" s="41"/>
    </row>
    <row r="5" spans="8:8">
      <c r="B5" s="52" t="s">
        <v>40</v>
      </c>
      <c r="C5" s="53"/>
      <c r="D5" s="54"/>
      <c r="E5" s="44"/>
      <c r="F5" s="45"/>
      <c r="G5" s="46"/>
      <c r="H5" s="30"/>
      <c r="I5" s="31"/>
      <c r="J5" s="32"/>
      <c r="K5" s="19" t="s">
        <v>41</v>
      </c>
      <c r="L5" s="34" t="s">
        <v>30</v>
      </c>
      <c r="M5" s="35"/>
      <c r="N5" s="36" t="str">
        <f>角色經歷!B15</f>
        <v>秩序-善</v>
      </c>
      <c r="O5" s="37"/>
      <c r="P5" s="38"/>
      <c r="Q5" s="39"/>
      <c r="R5" s="40"/>
      <c r="S5" s="40"/>
      <c r="T5" s="41"/>
    </row>
    <row r="6" spans="8:8">
      <c r="B6" s="55" t="s">
        <v>42</v>
      </c>
      <c r="C6" s="56"/>
      <c r="D6" s="56"/>
      <c r="E6" s="44"/>
      <c r="F6" s="45"/>
      <c r="G6" s="46"/>
      <c r="H6" s="30"/>
      <c r="I6" s="31"/>
      <c r="J6" s="32"/>
      <c r="K6" s="33">
        <f>K3-IF(J18&gt;0,K9,K9-J18/20)</f>
        <v>0.0</v>
      </c>
      <c r="L6" s="48" t="s">
        <v>43</v>
      </c>
      <c r="M6" s="49"/>
      <c r="N6" s="57" t="str">
        <f>F11</f>
        <v>人型</v>
      </c>
      <c r="O6" s="51">
        <f>G11</f>
        <v>0.0</v>
      </c>
      <c r="P6" s="38"/>
      <c r="Q6" s="39"/>
      <c r="R6" s="40"/>
      <c r="S6" s="40"/>
      <c r="T6" s="41"/>
    </row>
    <row r="7" spans="8:8">
      <c r="B7" s="58"/>
      <c r="C7" s="31"/>
      <c r="D7" s="30"/>
      <c r="E7" s="44"/>
      <c r="F7" s="45"/>
      <c r="G7" s="46"/>
      <c r="H7" s="30"/>
      <c r="I7" s="31"/>
      <c r="J7" s="32"/>
      <c r="K7" s="59"/>
      <c r="L7" s="48"/>
      <c r="M7" s="49"/>
      <c r="N7" s="57">
        <f>F12</f>
        <v>0.0</v>
      </c>
      <c r="O7" s="51">
        <f>G12</f>
        <v>0.0</v>
      </c>
      <c r="P7" s="38"/>
      <c r="Q7" s="60"/>
      <c r="R7" s="61"/>
      <c r="S7" s="61"/>
      <c r="T7" s="62"/>
    </row>
    <row r="8" spans="8:8">
      <c r="B8" s="58"/>
      <c r="C8" s="31"/>
      <c r="D8" s="30"/>
      <c r="E8" s="63"/>
      <c r="F8" s="64"/>
      <c r="G8" s="65"/>
      <c r="H8" s="30"/>
      <c r="I8" s="31"/>
      <c r="J8" s="32"/>
      <c r="K8" s="19" t="s">
        <v>44</v>
      </c>
      <c r="L8" s="48" t="s">
        <v>45</v>
      </c>
      <c r="M8" s="49"/>
      <c r="N8" s="66" t="s">
        <v>46</v>
      </c>
      <c r="O8" s="67"/>
      <c r="P8" s="38"/>
      <c r="Q8" s="38"/>
      <c r="R8" s="38"/>
      <c r="S8" s="38"/>
      <c r="T8" s="38"/>
    </row>
    <row r="9" spans="8:8">
      <c r="B9" s="58"/>
      <c r="C9" s="31"/>
      <c r="D9" s="30"/>
      <c r="E9" s="52" t="s">
        <v>38</v>
      </c>
      <c r="F9" s="68" t="s">
        <v>162</v>
      </c>
      <c r="G9" s="69"/>
      <c r="H9" s="30"/>
      <c r="I9" s="31"/>
      <c r="J9" s="32"/>
      <c r="K9" s="33">
        <f>J20+J29+J38+J48+J57+J66+T20+T29+T38+T48+T57+T66+K12</f>
        <v>27.0</v>
      </c>
      <c r="L9" s="48" t="s">
        <v>48</v>
      </c>
      <c r="M9" s="49"/>
      <c r="N9" s="66" t="s">
        <v>49</v>
      </c>
      <c r="O9" s="67"/>
      <c r="P9" s="38"/>
      <c r="Q9" s="20" t="s">
        <v>35</v>
      </c>
      <c r="R9" s="21"/>
      <c r="S9" s="21"/>
      <c r="T9" s="22"/>
    </row>
    <row r="10" spans="8:8">
      <c r="B10" s="58"/>
      <c r="C10" s="31"/>
      <c r="D10" s="30"/>
      <c r="E10" s="70" t="s">
        <v>39</v>
      </c>
      <c r="F10" s="71" t="s">
        <v>50</v>
      </c>
      <c r="G10" s="72"/>
      <c r="H10" s="30"/>
      <c r="I10" s="31"/>
      <c r="J10" s="32"/>
      <c r="K10" s="47"/>
      <c r="L10" s="34" t="s">
        <v>51</v>
      </c>
      <c r="M10" s="35"/>
      <c r="N10" s="36" t="str">
        <f>角色經歷!C27</f>
        <v>男</v>
      </c>
      <c r="O10" s="37"/>
      <c r="P10" s="38"/>
      <c r="Q10" s="39"/>
      <c r="R10" s="40"/>
      <c r="S10" s="40"/>
      <c r="T10" s="41"/>
    </row>
    <row r="11" spans="8:8">
      <c r="B11" s="58"/>
      <c r="C11" s="31"/>
      <c r="D11" s="30"/>
      <c r="E11" s="73" t="s">
        <v>43</v>
      </c>
      <c r="F11" s="71" t="s">
        <v>52</v>
      </c>
      <c r="G11" s="72"/>
      <c r="H11" s="30"/>
      <c r="I11" s="31"/>
      <c r="J11" s="32"/>
      <c r="K11" s="19" t="s">
        <v>53</v>
      </c>
      <c r="L11" s="74" t="s">
        <v>54</v>
      </c>
      <c r="M11" s="75"/>
      <c r="N11" s="76" t="str">
        <f>F13</f>
        <v>通常</v>
      </c>
      <c r="O11" s="77"/>
      <c r="P11" s="38"/>
      <c r="Q11" s="39"/>
      <c r="R11" s="40"/>
      <c r="S11" s="40"/>
      <c r="T11" s="41"/>
    </row>
    <row r="12" spans="8:8">
      <c r="B12" s="58"/>
      <c r="C12" s="31"/>
      <c r="D12" s="30"/>
      <c r="E12" s="73"/>
      <c r="F12" s="71"/>
      <c r="G12" s="72"/>
      <c r="H12" s="30"/>
      <c r="I12" s="31"/>
      <c r="J12" s="32"/>
      <c r="K12" s="33">
        <f>H20+H29+H38+H48+H57+H66+R20+R29+R38+R48+R57+R66</f>
        <v>2.0</v>
      </c>
      <c r="L12" s="78" t="s">
        <v>55</v>
      </c>
      <c r="M12" s="79"/>
      <c r="N12" s="79"/>
      <c r="O12" s="80"/>
      <c r="P12" s="38"/>
      <c r="Q12" s="39"/>
      <c r="R12" s="40"/>
      <c r="S12" s="40"/>
      <c r="T12" s="41"/>
    </row>
    <row r="13" spans="8:8">
      <c r="B13" s="58"/>
      <c r="C13" s="31"/>
      <c r="D13" s="30"/>
      <c r="E13" s="81" t="s">
        <v>54</v>
      </c>
      <c r="F13" s="82" t="s">
        <v>56</v>
      </c>
      <c r="G13" s="83"/>
      <c r="H13" s="30"/>
      <c r="I13" s="30"/>
      <c r="J13" s="32"/>
      <c r="K13" s="84"/>
      <c r="L13" s="85" t="s">
        <v>57</v>
      </c>
      <c r="M13" s="86"/>
      <c r="N13" s="87"/>
      <c r="O13" s="88"/>
      <c r="P13" s="38"/>
      <c r="Q13" s="39"/>
      <c r="R13" s="40"/>
      <c r="S13" s="40"/>
      <c r="T13" s="41"/>
    </row>
    <row r="14" spans="8:8">
      <c r="B14" s="89"/>
      <c r="C14" s="90" t="s">
        <v>58</v>
      </c>
      <c r="D14" s="90" t="s">
        <v>59</v>
      </c>
      <c r="E14" s="91" t="s">
        <v>60</v>
      </c>
      <c r="F14" s="91" t="s">
        <v>61</v>
      </c>
      <c r="G14" s="91" t="s">
        <v>62</v>
      </c>
      <c r="H14" s="90" t="s">
        <v>63</v>
      </c>
      <c r="I14" s="90" t="s">
        <v>64</v>
      </c>
      <c r="J14" s="92" t="s">
        <v>65</v>
      </c>
      <c r="K14" s="19" t="s">
        <v>66</v>
      </c>
      <c r="L14" s="93"/>
      <c r="M14" s="94"/>
      <c r="N14" s="95"/>
      <c r="O14" s="96"/>
      <c r="P14" s="97"/>
      <c r="Q14" s="60"/>
      <c r="R14" s="61"/>
      <c r="S14" s="61"/>
      <c r="T14" s="62"/>
    </row>
    <row r="15" spans="8:8">
      <c r="B15" s="73" t="s">
        <v>67</v>
      </c>
      <c r="C15" s="98">
        <f t="shared" si="1" ref="C15:I15">C16+C17+C18</f>
        <v>70.0</v>
      </c>
      <c r="D15" s="99">
        <f t="shared" si="1"/>
        <v>55.0</v>
      </c>
      <c r="E15" s="99">
        <f t="shared" si="1"/>
        <v>45.0</v>
      </c>
      <c r="F15" s="99">
        <f t="shared" si="1"/>
        <v>80.0</v>
      </c>
      <c r="G15" s="99">
        <f t="shared" si="1"/>
        <v>40.0</v>
      </c>
      <c r="H15" s="99">
        <f t="shared" si="1"/>
        <v>40.0</v>
      </c>
      <c r="I15" s="99">
        <f t="shared" si="1"/>
        <v>60.0</v>
      </c>
      <c r="J15" s="100">
        <f>40+C17*2</f>
        <v>180.0</v>
      </c>
      <c r="K15" s="101">
        <v>3.0</v>
      </c>
      <c r="L15" s="38"/>
      <c r="M15" s="38"/>
      <c r="N15" s="38"/>
      <c r="O15" s="38"/>
      <c r="P15" s="97"/>
      <c r="Q15" s="102"/>
      <c r="R15" s="38"/>
      <c r="S15" s="38"/>
      <c r="T15" s="38"/>
    </row>
    <row r="16" spans="8:8">
      <c r="B16" s="73" t="s">
        <v>38</v>
      </c>
      <c r="C16" s="103"/>
      <c r="D16" s="104">
        <f>VLOOKUP(F9,调卡用表!B3:H19,2,0)</f>
        <v>20.0</v>
      </c>
      <c r="E16" s="104">
        <f>VLOOKUP(F9,调卡用表!B3:H19,3,0)</f>
        <v>10.0</v>
      </c>
      <c r="F16" s="104">
        <f>VLOOKUP(F9,调卡用表!B3:H19,4,0)</f>
        <v>20.0</v>
      </c>
      <c r="G16" s="104">
        <f>VLOOKUP(F9,调卡用表!B3:G19,5,0)</f>
        <v>20.0</v>
      </c>
      <c r="H16" s="104">
        <f>VLOOKUP(F9,调卡用表!B3:H19,6,0)</f>
        <v>20.0</v>
      </c>
      <c r="I16" s="105"/>
      <c r="J16" s="100">
        <f>SUM(C16:I16)</f>
        <v>90.0</v>
      </c>
      <c r="K16" s="106"/>
      <c r="L16" s="38"/>
      <c r="M16" s="38"/>
      <c r="N16" s="38"/>
      <c r="O16" s="38"/>
      <c r="P16" s="107"/>
      <c r="Q16" s="107"/>
      <c r="R16" s="108"/>
      <c r="S16" s="108"/>
      <c r="T16" s="38"/>
    </row>
    <row r="17" spans="8:8">
      <c r="B17" s="73" t="s">
        <v>68</v>
      </c>
      <c r="C17" s="109">
        <v>70.0</v>
      </c>
      <c r="D17" s="110">
        <v>35.0</v>
      </c>
      <c r="E17" s="111">
        <v>35.0</v>
      </c>
      <c r="F17" s="111">
        <v>60.0</v>
      </c>
      <c r="G17" s="111">
        <v>20.0</v>
      </c>
      <c r="H17" s="71">
        <v>30.0</v>
      </c>
      <c r="I17" s="71">
        <v>40.0</v>
      </c>
      <c r="J17" s="112" t="s">
        <v>69</v>
      </c>
      <c r="K17" s="113" t="s">
        <v>70</v>
      </c>
      <c r="L17" s="38"/>
      <c r="M17" s="38"/>
      <c r="N17" s="38"/>
      <c r="O17" s="38"/>
      <c r="P17" s="114"/>
      <c r="Q17" s="114"/>
      <c r="R17" s="114"/>
      <c r="S17" s="114"/>
      <c r="T17" s="38"/>
    </row>
    <row r="18" spans="8:8">
      <c r="B18" s="115" t="s">
        <v>71</v>
      </c>
      <c r="C18" s="116"/>
      <c r="D18" s="116"/>
      <c r="E18" s="117"/>
      <c r="F18" s="117"/>
      <c r="G18" s="117"/>
      <c r="H18" s="117">
        <v>-10.0</v>
      </c>
      <c r="I18" s="117">
        <v>20.0</v>
      </c>
      <c r="J18" s="118">
        <f>J15-D17-E17-F17-G17-H17</f>
        <v>0.0</v>
      </c>
      <c r="K18" s="119">
        <v>60.0</v>
      </c>
      <c r="L18" s="38"/>
      <c r="M18" s="38"/>
      <c r="N18" s="38"/>
      <c r="O18" s="38"/>
      <c r="P18" s="114"/>
      <c r="Q18" s="114"/>
      <c r="R18" s="114"/>
      <c r="S18" s="114"/>
      <c r="T18" s="38"/>
    </row>
    <row r="19" spans="8:8">
      <c r="B19" s="120" t="s">
        <v>72</v>
      </c>
      <c r="C19" s="121"/>
      <c r="D19" s="121"/>
      <c r="E19" s="121"/>
      <c r="F19" s="122"/>
      <c r="G19" s="121"/>
      <c r="H19" s="121"/>
      <c r="I19" s="121"/>
      <c r="J19" s="123"/>
      <c r="K19" s="38"/>
      <c r="L19" s="124" t="s">
        <v>64</v>
      </c>
      <c r="M19" s="125"/>
      <c r="N19" s="126"/>
      <c r="O19" s="126"/>
      <c r="P19" s="126"/>
      <c r="Q19" s="126"/>
      <c r="R19" s="126"/>
      <c r="S19" s="126"/>
      <c r="T19" s="127"/>
    </row>
    <row r="20" spans="8:8">
      <c r="B20" s="128" t="s">
        <v>73</v>
      </c>
      <c r="C20" s="129" t="s">
        <v>74</v>
      </c>
      <c r="D20" s="129"/>
      <c r="E20" s="130" t="s">
        <v>58</v>
      </c>
      <c r="F20" s="131" t="s">
        <v>457</v>
      </c>
      <c r="G20" s="130" t="s">
        <v>53</v>
      </c>
      <c r="H20" s="132"/>
      <c r="I20" s="130" t="s">
        <v>76</v>
      </c>
      <c r="J20" s="133">
        <f>_xlfn.IFNA(VLOOKUP(F20,數值參考!$J$23:$K$38,2,FALSE),0)</f>
        <v>0.0</v>
      </c>
      <c r="K20" s="38"/>
      <c r="L20" s="134" t="s">
        <v>73</v>
      </c>
      <c r="M20" s="129" t="s">
        <v>477</v>
      </c>
      <c r="N20" s="129"/>
      <c r="O20" s="135" t="s">
        <v>58</v>
      </c>
      <c r="P20" s="131" t="s">
        <v>95</v>
      </c>
      <c r="Q20" s="135" t="s">
        <v>53</v>
      </c>
      <c r="R20" s="132"/>
      <c r="S20" s="135" t="s">
        <v>76</v>
      </c>
      <c r="T20" s="133">
        <f>_xlfn.IFNA(VLOOKUP(P20,调卡用表!$M$4:$N$33,2,0),0)</f>
        <v>5.0</v>
      </c>
    </row>
    <row r="21" spans="8:8">
      <c r="B21" s="128" t="s">
        <v>79</v>
      </c>
      <c r="C21" s="136" t="s">
        <v>499</v>
      </c>
      <c r="D21" s="137"/>
      <c r="E21" s="130" t="s">
        <v>81</v>
      </c>
      <c r="F21" s="129" t="s">
        <v>38</v>
      </c>
      <c r="G21" s="129"/>
      <c r="H21" s="130" t="s">
        <v>82</v>
      </c>
      <c r="I21" s="138">
        <v>0.0</v>
      </c>
      <c r="J21" s="139"/>
      <c r="K21" s="38"/>
      <c r="L21" s="134" t="s">
        <v>79</v>
      </c>
      <c r="M21" s="136" t="s">
        <v>502</v>
      </c>
      <c r="N21" s="137"/>
      <c r="O21" s="135" t="s">
        <v>81</v>
      </c>
      <c r="P21" s="129" t="s">
        <v>478</v>
      </c>
      <c r="Q21" s="129"/>
      <c r="R21" s="135" t="s">
        <v>82</v>
      </c>
      <c r="S21" s="138">
        <v>3.0</v>
      </c>
      <c r="T21" s="139"/>
    </row>
    <row r="22" spans="8:8">
      <c r="B22" s="128"/>
      <c r="C22" s="140"/>
      <c r="D22" s="141"/>
      <c r="E22" s="130" t="s">
        <v>85</v>
      </c>
      <c r="F22" s="129" t="s">
        <v>458</v>
      </c>
      <c r="G22" s="129"/>
      <c r="H22" s="130" t="s">
        <v>87</v>
      </c>
      <c r="I22" s="138">
        <v>0.0</v>
      </c>
      <c r="J22" s="142" t="str">
        <f>IF(F22="常驻","每日","每次")</f>
        <v>每次</v>
      </c>
      <c r="K22" s="38"/>
      <c r="L22" s="134"/>
      <c r="M22" s="140"/>
      <c r="N22" s="141"/>
      <c r="O22" s="135" t="s">
        <v>85</v>
      </c>
      <c r="P22" s="129" t="s">
        <v>104</v>
      </c>
      <c r="Q22" s="129"/>
      <c r="R22" s="135" t="s">
        <v>87</v>
      </c>
      <c r="S22" s="138">
        <v>10.0</v>
      </c>
      <c r="T22" s="142" t="str">
        <f>IF(P22="常驻","每日","每次")</f>
        <v>每次</v>
      </c>
      <c r="V22" s="143"/>
      <c r="W22" s="143"/>
      <c r="X22" s="143"/>
      <c r="Y22" s="143"/>
    </row>
    <row r="23" spans="8:8">
      <c r="B23" s="128" t="s">
        <v>88</v>
      </c>
      <c r="C23" s="129" t="s">
        <v>514</v>
      </c>
      <c r="D23" s="129"/>
      <c r="E23" s="129"/>
      <c r="F23" s="129"/>
      <c r="G23" s="129"/>
      <c r="H23" s="129"/>
      <c r="I23" s="129"/>
      <c r="J23" s="144"/>
      <c r="K23" s="38"/>
      <c r="L23" s="134" t="s">
        <v>88</v>
      </c>
      <c r="M23" s="129" t="s">
        <v>491</v>
      </c>
      <c r="N23" s="129"/>
      <c r="O23" s="129"/>
      <c r="P23" s="129"/>
      <c r="Q23" s="129"/>
      <c r="R23" s="129"/>
      <c r="S23" s="129"/>
      <c r="T23" s="144"/>
      <c r="V23" s="143"/>
      <c r="W23" s="143"/>
      <c r="X23" s="143"/>
      <c r="Y23" s="143"/>
    </row>
    <row r="24" spans="8:8" ht="111.3" customHeight="1">
      <c r="B24" s="128"/>
      <c r="C24" s="129"/>
      <c r="D24" s="129"/>
      <c r="E24" s="129"/>
      <c r="F24" s="129"/>
      <c r="G24" s="129"/>
      <c r="H24" s="129"/>
      <c r="I24" s="129"/>
      <c r="J24" s="144"/>
      <c r="K24" s="38"/>
      <c r="L24" s="134"/>
      <c r="M24" s="129"/>
      <c r="N24" s="129"/>
      <c r="O24" s="129"/>
      <c r="P24" s="129"/>
      <c r="Q24" s="129"/>
      <c r="R24" s="129"/>
      <c r="S24" s="129"/>
      <c r="T24" s="144"/>
      <c r="V24" s="143"/>
      <c r="W24" s="143"/>
      <c r="X24" s="143"/>
      <c r="Y24" s="143"/>
    </row>
    <row r="25" spans="8:8">
      <c r="B25" s="128"/>
      <c r="C25" s="129"/>
      <c r="D25" s="129"/>
      <c r="E25" s="129"/>
      <c r="F25" s="129"/>
      <c r="G25" s="129"/>
      <c r="H25" s="129"/>
      <c r="I25" s="129"/>
      <c r="J25" s="144"/>
      <c r="K25" s="38"/>
      <c r="L25" s="134"/>
      <c r="M25" s="129"/>
      <c r="N25" s="129"/>
      <c r="O25" s="129"/>
      <c r="P25" s="129"/>
      <c r="Q25" s="129"/>
      <c r="R25" s="129"/>
      <c r="S25" s="129"/>
      <c r="T25" s="144"/>
      <c r="V25" s="143"/>
      <c r="W25" s="143"/>
      <c r="X25" s="143"/>
      <c r="Y25" s="143"/>
    </row>
    <row r="26" spans="8:8">
      <c r="B26" s="128" t="s">
        <v>91</v>
      </c>
      <c r="C26" s="129" t="s">
        <v>500</v>
      </c>
      <c r="D26" s="129"/>
      <c r="E26" s="129"/>
      <c r="F26" s="129"/>
      <c r="G26" s="129"/>
      <c r="H26" s="129"/>
      <c r="I26" s="129"/>
      <c r="J26" s="144"/>
      <c r="K26" s="38"/>
      <c r="L26" s="134" t="s">
        <v>91</v>
      </c>
      <c r="M26" s="145" t="s">
        <v>504</v>
      </c>
      <c r="N26" s="145"/>
      <c r="O26" s="145"/>
      <c r="P26" s="145"/>
      <c r="Q26" s="145"/>
      <c r="R26" s="145"/>
      <c r="S26" s="145"/>
      <c r="T26" s="146"/>
    </row>
    <row r="27" spans="8:8">
      <c r="B27" s="128"/>
      <c r="C27" s="129"/>
      <c r="D27" s="129"/>
      <c r="E27" s="129"/>
      <c r="F27" s="129"/>
      <c r="G27" s="129"/>
      <c r="H27" s="129"/>
      <c r="I27" s="129"/>
      <c r="J27" s="144"/>
      <c r="K27" s="38"/>
      <c r="L27" s="134"/>
      <c r="M27" s="145"/>
      <c r="N27" s="145"/>
      <c r="O27" s="145"/>
      <c r="P27" s="145"/>
      <c r="Q27" s="145"/>
      <c r="R27" s="145"/>
      <c r="S27" s="145"/>
      <c r="T27" s="146"/>
    </row>
    <row r="28" spans="8:8">
      <c r="B28" s="128"/>
      <c r="C28" s="129"/>
      <c r="D28" s="129"/>
      <c r="E28" s="129"/>
      <c r="F28" s="129"/>
      <c r="G28" s="129"/>
      <c r="H28" s="129"/>
      <c r="I28" s="129"/>
      <c r="J28" s="144"/>
      <c r="K28" s="38"/>
      <c r="L28" s="134"/>
      <c r="M28" s="145"/>
      <c r="N28" s="145"/>
      <c r="O28" s="145"/>
      <c r="P28" s="145"/>
      <c r="Q28" s="145"/>
      <c r="R28" s="145"/>
      <c r="S28" s="145"/>
      <c r="T28" s="146"/>
    </row>
    <row r="29" spans="8:8">
      <c r="B29" s="128" t="s">
        <v>73</v>
      </c>
      <c r="C29" s="129"/>
      <c r="D29" s="129"/>
      <c r="E29" s="130" t="s">
        <v>58</v>
      </c>
      <c r="F29" s="131"/>
      <c r="G29" s="130" t="s">
        <v>53</v>
      </c>
      <c r="H29" s="132"/>
      <c r="I29" s="130" t="s">
        <v>76</v>
      </c>
      <c r="J29" s="133">
        <f>_xlfn.IFNA(VLOOKUP(F29,數值參考!$J$23:$K$38,2,FALSE),0)</f>
        <v>0.0</v>
      </c>
      <c r="K29" s="38"/>
      <c r="L29" s="134" t="s">
        <v>73</v>
      </c>
      <c r="M29" s="129" t="s">
        <v>481</v>
      </c>
      <c r="N29" s="129"/>
      <c r="O29" s="135" t="s">
        <v>58</v>
      </c>
      <c r="P29" s="131" t="s">
        <v>168</v>
      </c>
      <c r="Q29" s="135" t="s">
        <v>53</v>
      </c>
      <c r="R29" s="132">
        <v>2.0</v>
      </c>
      <c r="S29" s="135" t="s">
        <v>76</v>
      </c>
      <c r="T29" s="133">
        <f>_xlfn.IFNA(VLOOKUP(P29,调卡用表!$M$4:$N$33,2,0),0)</f>
        <v>4.0</v>
      </c>
    </row>
    <row r="30" spans="8:8">
      <c r="A30" s="147"/>
      <c r="B30" s="128" t="s">
        <v>79</v>
      </c>
      <c r="C30" s="136"/>
      <c r="D30" s="137"/>
      <c r="E30" s="130" t="s">
        <v>81</v>
      </c>
      <c r="F30" s="129"/>
      <c r="G30" s="129"/>
      <c r="H30" s="130" t="s">
        <v>82</v>
      </c>
      <c r="I30" s="138">
        <v>0.0</v>
      </c>
      <c r="J30" s="148"/>
      <c r="K30" s="38"/>
      <c r="L30" s="134" t="s">
        <v>79</v>
      </c>
      <c r="M30" s="136" t="s">
        <v>503</v>
      </c>
      <c r="N30" s="137"/>
      <c r="O30" s="135" t="s">
        <v>81</v>
      </c>
      <c r="P30" s="129" t="s">
        <v>84</v>
      </c>
      <c r="Q30" s="129"/>
      <c r="R30" s="135" t="s">
        <v>82</v>
      </c>
      <c r="S30" s="138">
        <v>12.0</v>
      </c>
      <c r="T30" s="139"/>
    </row>
    <row r="31" spans="8:8">
      <c r="A31" s="147"/>
      <c r="B31" s="128"/>
      <c r="C31" s="140"/>
      <c r="D31" s="141"/>
      <c r="E31" s="130" t="s">
        <v>85</v>
      </c>
      <c r="F31" s="129"/>
      <c r="G31" s="129"/>
      <c r="H31" s="130" t="s">
        <v>87</v>
      </c>
      <c r="I31" s="138">
        <v>0.0</v>
      </c>
      <c r="J31" s="142" t="str">
        <f>IF(F31="常驻","每日","每次")</f>
        <v>每次</v>
      </c>
      <c r="K31" s="38"/>
      <c r="L31" s="134"/>
      <c r="M31" s="140"/>
      <c r="N31" s="141"/>
      <c r="O31" s="135" t="s">
        <v>85</v>
      </c>
      <c r="P31" s="129" t="s">
        <v>258</v>
      </c>
      <c r="Q31" s="129"/>
      <c r="R31" s="135" t="s">
        <v>87</v>
      </c>
      <c r="S31" s="138">
        <v>50.0</v>
      </c>
      <c r="T31" s="142" t="str">
        <f>IF(P31="常驻","每日","每次")</f>
        <v>每次</v>
      </c>
    </row>
    <row r="32" spans="8:8">
      <c r="B32" s="128" t="s">
        <v>88</v>
      </c>
      <c r="C32" s="129"/>
      <c r="D32" s="129"/>
      <c r="E32" s="129"/>
      <c r="F32" s="129"/>
      <c r="G32" s="129"/>
      <c r="H32" s="129"/>
      <c r="I32" s="129"/>
      <c r="J32" s="144"/>
      <c r="K32" s="38"/>
      <c r="L32" s="134" t="s">
        <v>88</v>
      </c>
      <c r="M32" s="129" t="s">
        <v>482</v>
      </c>
      <c r="N32" s="129"/>
      <c r="O32" s="129"/>
      <c r="P32" s="129"/>
      <c r="Q32" s="129"/>
      <c r="R32" s="129"/>
      <c r="S32" s="129"/>
      <c r="T32" s="144"/>
    </row>
    <row r="33" spans="8:8">
      <c r="B33" s="128"/>
      <c r="C33" s="129"/>
      <c r="D33" s="129"/>
      <c r="E33" s="129"/>
      <c r="F33" s="129"/>
      <c r="G33" s="129"/>
      <c r="H33" s="129"/>
      <c r="I33" s="129"/>
      <c r="J33" s="144"/>
      <c r="K33" s="38"/>
      <c r="L33" s="134"/>
      <c r="M33" s="129"/>
      <c r="N33" s="129"/>
      <c r="O33" s="129"/>
      <c r="P33" s="129"/>
      <c r="Q33" s="129"/>
      <c r="R33" s="129"/>
      <c r="S33" s="129"/>
      <c r="T33" s="144"/>
    </row>
    <row r="34" spans="8:8">
      <c r="B34" s="128"/>
      <c r="C34" s="129"/>
      <c r="D34" s="129"/>
      <c r="E34" s="129"/>
      <c r="F34" s="129"/>
      <c r="G34" s="129"/>
      <c r="H34" s="129"/>
      <c r="I34" s="129"/>
      <c r="J34" s="144"/>
      <c r="K34" s="38"/>
      <c r="L34" s="134"/>
      <c r="M34" s="129"/>
      <c r="N34" s="129"/>
      <c r="O34" s="129"/>
      <c r="P34" s="129"/>
      <c r="Q34" s="129"/>
      <c r="R34" s="129"/>
      <c r="S34" s="129"/>
      <c r="T34" s="144"/>
    </row>
    <row r="35" spans="8:8">
      <c r="B35" s="128" t="s">
        <v>91</v>
      </c>
      <c r="C35" s="129"/>
      <c r="D35" s="129"/>
      <c r="E35" s="129"/>
      <c r="F35" s="129"/>
      <c r="G35" s="129"/>
      <c r="H35" s="129"/>
      <c r="I35" s="129"/>
      <c r="J35" s="144"/>
      <c r="K35" s="38"/>
      <c r="L35" s="134" t="s">
        <v>91</v>
      </c>
      <c r="M35" s="129" t="s">
        <v>505</v>
      </c>
      <c r="N35" s="129"/>
      <c r="O35" s="129"/>
      <c r="P35" s="129"/>
      <c r="Q35" s="129"/>
      <c r="R35" s="129"/>
      <c r="S35" s="129"/>
      <c r="T35" s="144"/>
    </row>
    <row r="36" spans="8:8">
      <c r="B36" s="128"/>
      <c r="C36" s="129"/>
      <c r="D36" s="129"/>
      <c r="E36" s="129"/>
      <c r="F36" s="129"/>
      <c r="G36" s="129"/>
      <c r="H36" s="129"/>
      <c r="I36" s="129"/>
      <c r="J36" s="144"/>
      <c r="K36" s="38"/>
      <c r="L36" s="134"/>
      <c r="M36" s="129"/>
      <c r="N36" s="129"/>
      <c r="O36" s="129"/>
      <c r="P36" s="129"/>
      <c r="Q36" s="129"/>
      <c r="R36" s="129"/>
      <c r="S36" s="129"/>
      <c r="T36" s="144"/>
    </row>
    <row r="37" spans="8:8">
      <c r="B37" s="128"/>
      <c r="C37" s="129"/>
      <c r="D37" s="129"/>
      <c r="E37" s="129"/>
      <c r="F37" s="129"/>
      <c r="G37" s="129"/>
      <c r="H37" s="129"/>
      <c r="I37" s="129"/>
      <c r="J37" s="144"/>
      <c r="K37" s="38"/>
      <c r="L37" s="134"/>
      <c r="M37" s="129"/>
      <c r="N37" s="129"/>
      <c r="O37" s="129"/>
      <c r="P37" s="129"/>
      <c r="Q37" s="129"/>
      <c r="R37" s="129"/>
      <c r="S37" s="129"/>
      <c r="T37" s="144"/>
    </row>
    <row r="38" spans="8:8">
      <c r="B38" s="128" t="s">
        <v>73</v>
      </c>
      <c r="C38" s="129"/>
      <c r="D38" s="129"/>
      <c r="E38" s="130" t="s">
        <v>58</v>
      </c>
      <c r="F38" s="131"/>
      <c r="G38" s="130" t="s">
        <v>53</v>
      </c>
      <c r="H38" s="132"/>
      <c r="I38" s="130" t="s">
        <v>76</v>
      </c>
      <c r="J38" s="133">
        <f>_xlfn.IFNA(VLOOKUP(F38,數值參考!$J$23:$K$38,2,FALSE),0)</f>
        <v>0.0</v>
      </c>
      <c r="K38" s="38"/>
      <c r="L38" s="134" t="s">
        <v>73</v>
      </c>
      <c r="M38" s="129"/>
      <c r="N38" s="129"/>
      <c r="O38" s="135" t="s">
        <v>58</v>
      </c>
      <c r="P38" s="131"/>
      <c r="Q38" s="135" t="s">
        <v>53</v>
      </c>
      <c r="R38" s="132"/>
      <c r="S38" s="135" t="s">
        <v>76</v>
      </c>
      <c r="T38" s="133">
        <f>_xlfn.IFNA(VLOOKUP(P38,调卡用表!$M$4:$N$33,2,0),0)</f>
        <v>0.0</v>
      </c>
    </row>
    <row r="39" spans="8:8">
      <c r="B39" s="128" t="s">
        <v>79</v>
      </c>
      <c r="C39" s="136"/>
      <c r="D39" s="137"/>
      <c r="E39" s="130" t="s">
        <v>81</v>
      </c>
      <c r="F39" s="129"/>
      <c r="G39" s="129"/>
      <c r="H39" s="130" t="s">
        <v>82</v>
      </c>
      <c r="I39" s="149"/>
      <c r="J39" s="139"/>
      <c r="K39" s="38"/>
      <c r="L39" s="134" t="s">
        <v>79</v>
      </c>
      <c r="M39" s="136"/>
      <c r="N39" s="137"/>
      <c r="O39" s="135" t="s">
        <v>81</v>
      </c>
      <c r="P39" s="129"/>
      <c r="Q39" s="129"/>
      <c r="R39" s="135" t="s">
        <v>82</v>
      </c>
      <c r="S39" s="149"/>
      <c r="T39" s="139"/>
    </row>
    <row r="40" spans="8:8">
      <c r="B40" s="128"/>
      <c r="C40" s="140"/>
      <c r="D40" s="141"/>
      <c r="E40" s="130" t="s">
        <v>85</v>
      </c>
      <c r="F40" s="129"/>
      <c r="G40" s="129"/>
      <c r="H40" s="130" t="s">
        <v>87</v>
      </c>
      <c r="I40" s="149"/>
      <c r="J40" s="150"/>
      <c r="K40" s="38"/>
      <c r="L40" s="134"/>
      <c r="M40" s="140"/>
      <c r="N40" s="141"/>
      <c r="O40" s="135" t="s">
        <v>85</v>
      </c>
      <c r="P40" s="129"/>
      <c r="Q40" s="129"/>
      <c r="R40" s="135" t="s">
        <v>87</v>
      </c>
      <c r="S40" s="149"/>
      <c r="T40" s="142" t="str">
        <f>IF(P40="常驻","每日","每次")</f>
        <v>每次</v>
      </c>
    </row>
    <row r="41" spans="8:8">
      <c r="B41" s="128" t="s">
        <v>88</v>
      </c>
      <c r="C41" s="129"/>
      <c r="D41" s="129"/>
      <c r="E41" s="129"/>
      <c r="F41" s="129"/>
      <c r="G41" s="129"/>
      <c r="H41" s="129"/>
      <c r="I41" s="129"/>
      <c r="J41" s="144"/>
      <c r="K41" s="38"/>
      <c r="L41" s="134" t="s">
        <v>88</v>
      </c>
      <c r="M41" s="129"/>
      <c r="N41" s="129"/>
      <c r="O41" s="129"/>
      <c r="P41" s="129"/>
      <c r="Q41" s="129"/>
      <c r="R41" s="129"/>
      <c r="S41" s="129"/>
      <c r="T41" s="144"/>
    </row>
    <row r="42" spans="8:8">
      <c r="B42" s="128"/>
      <c r="C42" s="129"/>
      <c r="D42" s="129"/>
      <c r="E42" s="129"/>
      <c r="F42" s="129"/>
      <c r="G42" s="129"/>
      <c r="H42" s="129"/>
      <c r="I42" s="129"/>
      <c r="J42" s="144"/>
      <c r="K42" s="38"/>
      <c r="L42" s="134"/>
      <c r="M42" s="129"/>
      <c r="N42" s="129"/>
      <c r="O42" s="129"/>
      <c r="P42" s="129"/>
      <c r="Q42" s="129"/>
      <c r="R42" s="129"/>
      <c r="S42" s="129"/>
      <c r="T42" s="144"/>
    </row>
    <row r="43" spans="8:8">
      <c r="B43" s="128"/>
      <c r="C43" s="129"/>
      <c r="D43" s="129"/>
      <c r="E43" s="129"/>
      <c r="F43" s="129"/>
      <c r="G43" s="129"/>
      <c r="H43" s="129"/>
      <c r="I43" s="129"/>
      <c r="J43" s="144"/>
      <c r="K43" s="38"/>
      <c r="L43" s="134"/>
      <c r="M43" s="129"/>
      <c r="N43" s="129"/>
      <c r="O43" s="129"/>
      <c r="P43" s="129"/>
      <c r="Q43" s="129"/>
      <c r="R43" s="129"/>
      <c r="S43" s="129"/>
      <c r="T43" s="144"/>
    </row>
    <row r="44" spans="8:8">
      <c r="B44" s="128" t="s">
        <v>91</v>
      </c>
      <c r="C44" s="129"/>
      <c r="D44" s="129"/>
      <c r="E44" s="129"/>
      <c r="F44" s="129"/>
      <c r="G44" s="129"/>
      <c r="H44" s="129"/>
      <c r="I44" s="129"/>
      <c r="J44" s="144"/>
      <c r="K44" s="38"/>
      <c r="L44" s="134" t="s">
        <v>91</v>
      </c>
      <c r="M44" s="129"/>
      <c r="N44" s="129"/>
      <c r="O44" s="129"/>
      <c r="P44" s="129"/>
      <c r="Q44" s="129"/>
      <c r="R44" s="129"/>
      <c r="S44" s="129"/>
      <c r="T44" s="144"/>
    </row>
    <row r="45" spans="8:8">
      <c r="B45" s="128"/>
      <c r="C45" s="129"/>
      <c r="D45" s="129"/>
      <c r="E45" s="129"/>
      <c r="F45" s="129"/>
      <c r="G45" s="129"/>
      <c r="H45" s="129"/>
      <c r="I45" s="129"/>
      <c r="J45" s="144"/>
      <c r="K45" s="38"/>
      <c r="L45" s="134"/>
      <c r="M45" s="129"/>
      <c r="N45" s="129"/>
      <c r="O45" s="129"/>
      <c r="P45" s="129"/>
      <c r="Q45" s="129"/>
      <c r="R45" s="129"/>
      <c r="S45" s="129"/>
      <c r="T45" s="144"/>
    </row>
    <row r="46" spans="8:8">
      <c r="B46" s="151"/>
      <c r="C46" s="152"/>
      <c r="D46" s="152"/>
      <c r="E46" s="152"/>
      <c r="F46" s="152"/>
      <c r="G46" s="152"/>
      <c r="H46" s="152"/>
      <c r="I46" s="152"/>
      <c r="J46" s="153"/>
      <c r="K46" s="38"/>
      <c r="L46" s="154"/>
      <c r="M46" s="152"/>
      <c r="N46" s="152"/>
      <c r="O46" s="152"/>
      <c r="P46" s="152"/>
      <c r="Q46" s="152"/>
      <c r="R46" s="152"/>
      <c r="S46" s="152"/>
      <c r="T46" s="153"/>
    </row>
    <row r="47" spans="8:8">
      <c r="B47" s="155" t="s">
        <v>99</v>
      </c>
      <c r="C47" s="156"/>
      <c r="D47" s="157"/>
      <c r="E47" s="157"/>
      <c r="F47" s="157"/>
      <c r="G47" s="157"/>
      <c r="H47" s="157"/>
      <c r="I47" s="157"/>
      <c r="J47" s="158"/>
      <c r="K47" s="159"/>
      <c r="L47" s="160" t="s">
        <v>100</v>
      </c>
      <c r="M47" s="161"/>
      <c r="N47" s="162"/>
      <c r="O47" s="162"/>
      <c r="P47" s="162"/>
      <c r="Q47" s="162"/>
      <c r="R47" s="162"/>
      <c r="S47" s="162"/>
      <c r="T47" s="163"/>
    </row>
    <row r="48" spans="8:8" ht="21.45">
      <c r="B48" s="164" t="s">
        <v>73</v>
      </c>
      <c r="C48" s="145" t="s">
        <v>469</v>
      </c>
      <c r="D48" s="145"/>
      <c r="E48" s="165" t="s">
        <v>58</v>
      </c>
      <c r="F48" s="166" t="s">
        <v>173</v>
      </c>
      <c r="G48" s="165" t="s">
        <v>53</v>
      </c>
      <c r="H48" s="167"/>
      <c r="I48" s="165" t="s">
        <v>76</v>
      </c>
      <c r="J48" s="168">
        <f>_xlfn.IFNA(VLOOKUP(F48,调卡用表!$J$4:$K$33,2,0),0)</f>
        <v>7.0</v>
      </c>
      <c r="K48" s="169"/>
      <c r="L48" s="170" t="s">
        <v>73</v>
      </c>
      <c r="M48" s="145" t="s">
        <v>486</v>
      </c>
      <c r="N48" s="145"/>
      <c r="O48" s="171" t="s">
        <v>58</v>
      </c>
      <c r="P48" s="166" t="s">
        <v>95</v>
      </c>
      <c r="Q48" s="171" t="s">
        <v>53</v>
      </c>
      <c r="R48" s="167"/>
      <c r="S48" s="171" t="s">
        <v>76</v>
      </c>
      <c r="T48" s="168"/>
    </row>
    <row r="49" spans="8:8">
      <c r="B49" s="164" t="s">
        <v>79</v>
      </c>
      <c r="C49" s="172" t="s">
        <v>509</v>
      </c>
      <c r="D49" s="173"/>
      <c r="E49" s="165" t="s">
        <v>81</v>
      </c>
      <c r="F49" s="145" t="s">
        <v>473</v>
      </c>
      <c r="G49" s="145"/>
      <c r="H49" s="165" t="s">
        <v>82</v>
      </c>
      <c r="I49" s="174">
        <v>0.0</v>
      </c>
      <c r="J49" s="175"/>
      <c r="K49" s="169"/>
      <c r="L49" s="170" t="s">
        <v>79</v>
      </c>
      <c r="M49" s="172"/>
      <c r="N49" s="173"/>
      <c r="O49" s="171" t="s">
        <v>81</v>
      </c>
      <c r="P49" s="145" t="s">
        <v>103</v>
      </c>
      <c r="Q49" s="145"/>
      <c r="R49" s="171" t="s">
        <v>82</v>
      </c>
      <c r="S49" s="174">
        <v>12.0</v>
      </c>
      <c r="T49" s="175"/>
    </row>
    <row r="50" spans="8:8">
      <c r="B50" s="164"/>
      <c r="C50" s="176"/>
      <c r="D50" s="177"/>
      <c r="E50" s="165" t="s">
        <v>85</v>
      </c>
      <c r="F50" s="145" t="s">
        <v>458</v>
      </c>
      <c r="G50" s="145"/>
      <c r="H50" s="165" t="s">
        <v>87</v>
      </c>
      <c r="I50" s="174">
        <v>0.0</v>
      </c>
      <c r="J50" s="178" t="str">
        <f>IF(F50="常驻","每日","每次")</f>
        <v>每次</v>
      </c>
      <c r="K50" s="169"/>
      <c r="L50" s="170"/>
      <c r="M50" s="176"/>
      <c r="N50" s="177"/>
      <c r="O50" s="171" t="s">
        <v>85</v>
      </c>
      <c r="P50" s="145" t="s">
        <v>104</v>
      </c>
      <c r="Q50" s="145"/>
      <c r="R50" s="171" t="s">
        <v>87</v>
      </c>
      <c r="S50" s="174">
        <v>0.0</v>
      </c>
      <c r="T50" s="178"/>
    </row>
    <row r="51" spans="8:8" ht="80.5" customHeight="1">
      <c r="B51" s="164" t="s">
        <v>88</v>
      </c>
      <c r="C51" s="129" t="s">
        <v>462</v>
      </c>
      <c r="D51" s="129"/>
      <c r="E51" s="129"/>
      <c r="F51" s="129"/>
      <c r="G51" s="129"/>
      <c r="H51" s="129"/>
      <c r="I51" s="129"/>
      <c r="J51" s="144"/>
      <c r="K51" s="169"/>
      <c r="L51" s="170" t="s">
        <v>88</v>
      </c>
      <c r="M51" s="145" t="s">
        <v>513</v>
      </c>
      <c r="N51" s="145"/>
      <c r="O51" s="145"/>
      <c r="P51" s="145"/>
      <c r="Q51" s="145"/>
      <c r="R51" s="145"/>
      <c r="S51" s="145"/>
      <c r="T51" s="146"/>
    </row>
    <row r="52" spans="8:8">
      <c r="B52" s="164"/>
      <c r="C52" s="129"/>
      <c r="D52" s="129"/>
      <c r="E52" s="129"/>
      <c r="F52" s="129"/>
      <c r="G52" s="129"/>
      <c r="H52" s="129"/>
      <c r="I52" s="129"/>
      <c r="J52" s="144"/>
      <c r="K52" s="169"/>
      <c r="L52" s="170"/>
      <c r="M52" s="145"/>
      <c r="N52" s="145"/>
      <c r="O52" s="145"/>
      <c r="P52" s="145"/>
      <c r="Q52" s="145"/>
      <c r="R52" s="145"/>
      <c r="S52" s="145"/>
      <c r="T52" s="146"/>
    </row>
    <row r="53" spans="8:8">
      <c r="B53" s="164"/>
      <c r="C53" s="129"/>
      <c r="D53" s="129"/>
      <c r="E53" s="129"/>
      <c r="F53" s="129"/>
      <c r="G53" s="129"/>
      <c r="H53" s="129"/>
      <c r="I53" s="129"/>
      <c r="J53" s="144"/>
      <c r="K53" s="169"/>
      <c r="L53" s="170"/>
      <c r="M53" s="145"/>
      <c r="N53" s="145"/>
      <c r="O53" s="145"/>
      <c r="P53" s="145"/>
      <c r="Q53" s="145"/>
      <c r="R53" s="145"/>
      <c r="S53" s="145"/>
      <c r="T53" s="146"/>
    </row>
    <row r="54" spans="8:8">
      <c r="B54" s="164" t="s">
        <v>91</v>
      </c>
      <c r="C54" s="145" t="s">
        <v>510</v>
      </c>
      <c r="D54" s="145"/>
      <c r="E54" s="145"/>
      <c r="F54" s="145"/>
      <c r="G54" s="145"/>
      <c r="H54" s="145"/>
      <c r="I54" s="145"/>
      <c r="J54" s="146"/>
      <c r="K54" s="169"/>
      <c r="L54" s="170" t="s">
        <v>91</v>
      </c>
      <c r="M54" s="145" t="s">
        <v>511</v>
      </c>
      <c r="N54" s="145"/>
      <c r="O54" s="145"/>
      <c r="P54" s="145"/>
      <c r="Q54" s="145"/>
      <c r="R54" s="145"/>
      <c r="S54" s="145"/>
      <c r="T54" s="146"/>
    </row>
    <row r="55" spans="8:8">
      <c r="B55" s="164"/>
      <c r="C55" s="145"/>
      <c r="D55" s="145"/>
      <c r="E55" s="145"/>
      <c r="F55" s="145"/>
      <c r="G55" s="145"/>
      <c r="H55" s="145"/>
      <c r="I55" s="145"/>
      <c r="J55" s="146"/>
      <c r="K55" s="169"/>
      <c r="L55" s="170"/>
      <c r="M55" s="145"/>
      <c r="N55" s="145"/>
      <c r="O55" s="145"/>
      <c r="P55" s="145"/>
      <c r="Q55" s="145"/>
      <c r="R55" s="145"/>
      <c r="S55" s="145"/>
      <c r="T55" s="146"/>
    </row>
    <row r="56" spans="8:8">
      <c r="B56" s="164"/>
      <c r="C56" s="145"/>
      <c r="D56" s="145"/>
      <c r="E56" s="145"/>
      <c r="F56" s="145"/>
      <c r="G56" s="145"/>
      <c r="H56" s="145"/>
      <c r="I56" s="145"/>
      <c r="J56" s="146"/>
      <c r="K56" s="169"/>
      <c r="L56" s="170"/>
      <c r="M56" s="145"/>
      <c r="N56" s="145"/>
      <c r="O56" s="145"/>
      <c r="P56" s="145"/>
      <c r="Q56" s="145"/>
      <c r="R56" s="145"/>
      <c r="S56" s="145"/>
      <c r="T56" s="146"/>
    </row>
    <row r="57" spans="8:8">
      <c r="B57" s="164" t="s">
        <v>73</v>
      </c>
      <c r="C57" s="145" t="s">
        <v>487</v>
      </c>
      <c r="D57" s="145"/>
      <c r="E57" s="165" t="s">
        <v>58</v>
      </c>
      <c r="F57" s="166" t="s">
        <v>95</v>
      </c>
      <c r="G57" s="165" t="s">
        <v>53</v>
      </c>
      <c r="H57" s="167"/>
      <c r="I57" s="165" t="s">
        <v>76</v>
      </c>
      <c r="J57" s="168">
        <f>_xlfn.IFNA(VLOOKUP(F57,调卡用表!$J$4:$K$33,2,0),0)</f>
        <v>5.0</v>
      </c>
      <c r="K57" s="169"/>
      <c r="L57" s="170" t="s">
        <v>73</v>
      </c>
      <c r="M57" s="145"/>
      <c r="N57" s="145"/>
      <c r="O57" s="171" t="s">
        <v>58</v>
      </c>
      <c r="P57" s="166" t="s">
        <v>102</v>
      </c>
      <c r="Q57" s="171" t="s">
        <v>53</v>
      </c>
      <c r="R57" s="167"/>
      <c r="S57" s="171" t="s">
        <v>76</v>
      </c>
      <c r="T57" s="168"/>
    </row>
    <row r="58" spans="8:8">
      <c r="B58" s="179" t="s">
        <v>79</v>
      </c>
      <c r="C58" s="180" t="s">
        <v>501</v>
      </c>
      <c r="D58" s="181"/>
      <c r="E58" s="182" t="s">
        <v>81</v>
      </c>
      <c r="F58" s="129" t="s">
        <v>475</v>
      </c>
      <c r="G58" s="129"/>
      <c r="H58" s="182" t="s">
        <v>82</v>
      </c>
      <c r="I58" s="138">
        <v>0.0</v>
      </c>
      <c r="J58" s="183"/>
      <c r="K58" s="159"/>
      <c r="L58" s="184" t="s">
        <v>79</v>
      </c>
      <c r="M58" s="180"/>
      <c r="N58" s="181"/>
      <c r="O58" s="185" t="s">
        <v>81</v>
      </c>
      <c r="P58" s="186"/>
      <c r="Q58" s="186"/>
      <c r="R58" s="185" t="s">
        <v>82</v>
      </c>
      <c r="S58" s="187"/>
      <c r="T58" s="183"/>
    </row>
    <row r="59" spans="8:8">
      <c r="B59" s="179"/>
      <c r="C59" s="188"/>
      <c r="D59" s="189"/>
      <c r="E59" s="182" t="s">
        <v>85</v>
      </c>
      <c r="F59" s="129" t="s">
        <v>104</v>
      </c>
      <c r="G59" s="129"/>
      <c r="H59" s="182" t="s">
        <v>87</v>
      </c>
      <c r="I59" s="138">
        <v>0.0</v>
      </c>
      <c r="J59" s="142" t="str">
        <f>IF(F59="常驻","每日","每次")</f>
        <v>每次</v>
      </c>
      <c r="K59" s="159"/>
      <c r="L59" s="184"/>
      <c r="M59" s="188"/>
      <c r="N59" s="189"/>
      <c r="O59" s="185" t="s">
        <v>85</v>
      </c>
      <c r="P59" s="186"/>
      <c r="Q59" s="186"/>
      <c r="R59" s="185" t="s">
        <v>87</v>
      </c>
      <c r="S59" s="187"/>
      <c r="T59" s="190"/>
    </row>
    <row r="60" spans="8:8">
      <c r="B60" s="179" t="s">
        <v>88</v>
      </c>
      <c r="C60" s="129" t="s">
        <v>512</v>
      </c>
      <c r="D60" s="129"/>
      <c r="E60" s="129"/>
      <c r="F60" s="129"/>
      <c r="G60" s="129"/>
      <c r="H60" s="129"/>
      <c r="I60" s="129"/>
      <c r="J60" s="144"/>
      <c r="K60" s="159"/>
      <c r="L60" s="184" t="s">
        <v>88</v>
      </c>
      <c r="M60" s="186"/>
      <c r="N60" s="186"/>
      <c r="O60" s="186"/>
      <c r="P60" s="186"/>
      <c r="Q60" s="186"/>
      <c r="R60" s="186"/>
      <c r="S60" s="186"/>
      <c r="T60" s="191"/>
    </row>
    <row r="61" spans="8:8" ht="137.5" customHeight="1">
      <c r="B61" s="179"/>
      <c r="C61" s="129"/>
      <c r="D61" s="129"/>
      <c r="E61" s="129"/>
      <c r="F61" s="129"/>
      <c r="G61" s="129"/>
      <c r="H61" s="129"/>
      <c r="I61" s="129"/>
      <c r="J61" s="144"/>
      <c r="K61" s="159"/>
      <c r="L61" s="184"/>
      <c r="M61" s="186"/>
      <c r="N61" s="186"/>
      <c r="O61" s="186"/>
      <c r="P61" s="186"/>
      <c r="Q61" s="186"/>
      <c r="R61" s="186"/>
      <c r="S61" s="186"/>
      <c r="T61" s="191"/>
    </row>
    <row r="62" spans="8:8">
      <c r="B62" s="179"/>
      <c r="C62" s="129"/>
      <c r="D62" s="129"/>
      <c r="E62" s="129"/>
      <c r="F62" s="129"/>
      <c r="G62" s="129"/>
      <c r="H62" s="129"/>
      <c r="I62" s="129"/>
      <c r="J62" s="144"/>
      <c r="K62" s="159"/>
      <c r="L62" s="184"/>
      <c r="M62" s="186"/>
      <c r="N62" s="186"/>
      <c r="O62" s="186"/>
      <c r="P62" s="186"/>
      <c r="Q62" s="186"/>
      <c r="R62" s="186"/>
      <c r="S62" s="186"/>
      <c r="T62" s="191"/>
    </row>
    <row r="63" spans="8:8">
      <c r="B63" s="179" t="s">
        <v>91</v>
      </c>
      <c r="C63" s="129" t="s">
        <v>508</v>
      </c>
      <c r="D63" s="129"/>
      <c r="E63" s="129"/>
      <c r="F63" s="129"/>
      <c r="G63" s="129"/>
      <c r="H63" s="129"/>
      <c r="I63" s="129"/>
      <c r="J63" s="144"/>
      <c r="K63" s="159"/>
      <c r="L63" s="184" t="s">
        <v>91</v>
      </c>
      <c r="M63" s="186"/>
      <c r="N63" s="186"/>
      <c r="O63" s="186"/>
      <c r="P63" s="186"/>
      <c r="Q63" s="186"/>
      <c r="R63" s="186"/>
      <c r="S63" s="186"/>
      <c r="T63" s="191"/>
    </row>
    <row r="64" spans="8:8">
      <c r="B64" s="179"/>
      <c r="C64" s="129"/>
      <c r="D64" s="129"/>
      <c r="E64" s="129"/>
      <c r="F64" s="129"/>
      <c r="G64" s="129"/>
      <c r="H64" s="129"/>
      <c r="I64" s="129"/>
      <c r="J64" s="144"/>
      <c r="K64" s="159"/>
      <c r="L64" s="184"/>
      <c r="M64" s="186"/>
      <c r="N64" s="186"/>
      <c r="O64" s="186"/>
      <c r="P64" s="186"/>
      <c r="Q64" s="186"/>
      <c r="R64" s="186"/>
      <c r="S64" s="186"/>
      <c r="T64" s="191"/>
    </row>
    <row r="65" spans="8:8">
      <c r="B65" s="179"/>
      <c r="C65" s="129"/>
      <c r="D65" s="129"/>
      <c r="E65" s="129"/>
      <c r="F65" s="129"/>
      <c r="G65" s="129"/>
      <c r="H65" s="129"/>
      <c r="I65" s="129"/>
      <c r="J65" s="144"/>
      <c r="K65" s="159"/>
      <c r="L65" s="184"/>
      <c r="M65" s="186"/>
      <c r="N65" s="186"/>
      <c r="O65" s="186"/>
      <c r="P65" s="186"/>
      <c r="Q65" s="186"/>
      <c r="R65" s="186"/>
      <c r="S65" s="186"/>
      <c r="T65" s="191"/>
    </row>
    <row r="66" spans="8:8">
      <c r="B66" s="179" t="s">
        <v>73</v>
      </c>
      <c r="C66" s="129" t="s">
        <v>467</v>
      </c>
      <c r="D66" s="129"/>
      <c r="E66" s="182" t="s">
        <v>58</v>
      </c>
      <c r="F66" s="131" t="s">
        <v>168</v>
      </c>
      <c r="G66" s="182" t="s">
        <v>53</v>
      </c>
      <c r="H66" s="132"/>
      <c r="I66" s="182" t="s">
        <v>76</v>
      </c>
      <c r="J66" s="133">
        <f>_xlfn.IFNA(VLOOKUP(F66,调卡用表!$J$4:$K$33,2,0),0)</f>
        <v>4.0</v>
      </c>
      <c r="K66" s="159"/>
      <c r="L66" s="184" t="s">
        <v>73</v>
      </c>
      <c r="M66" s="186"/>
      <c r="N66" s="186"/>
      <c r="O66" s="185" t="s">
        <v>58</v>
      </c>
      <c r="P66" s="192" t="s">
        <v>102</v>
      </c>
      <c r="Q66" s="185" t="s">
        <v>53</v>
      </c>
      <c r="R66" s="193"/>
      <c r="S66" s="185" t="s">
        <v>76</v>
      </c>
      <c r="T66" s="194"/>
    </row>
    <row r="67" spans="8:8">
      <c r="B67" s="179" t="s">
        <v>79</v>
      </c>
      <c r="C67" s="136" t="s">
        <v>506</v>
      </c>
      <c r="D67" s="137"/>
      <c r="E67" s="182" t="s">
        <v>81</v>
      </c>
      <c r="F67" s="129" t="s">
        <v>468</v>
      </c>
      <c r="G67" s="129"/>
      <c r="H67" s="182" t="s">
        <v>82</v>
      </c>
      <c r="I67" s="138">
        <v>1.0</v>
      </c>
      <c r="J67" s="148"/>
      <c r="K67" s="159"/>
      <c r="L67" s="184" t="s">
        <v>79</v>
      </c>
      <c r="M67" s="180"/>
      <c r="N67" s="181"/>
      <c r="O67" s="185" t="s">
        <v>81</v>
      </c>
      <c r="P67" s="186"/>
      <c r="Q67" s="186"/>
      <c r="R67" s="185" t="s">
        <v>82</v>
      </c>
      <c r="S67" s="187"/>
      <c r="T67" s="183"/>
    </row>
    <row r="68" spans="8:8">
      <c r="B68" s="179"/>
      <c r="C68" s="140"/>
      <c r="D68" s="141"/>
      <c r="E68" s="182" t="s">
        <v>85</v>
      </c>
      <c r="F68" s="129" t="s">
        <v>104</v>
      </c>
      <c r="G68" s="129"/>
      <c r="H68" s="182" t="s">
        <v>87</v>
      </c>
      <c r="I68" s="138">
        <v>10.0</v>
      </c>
      <c r="J68" s="142" t="str">
        <f>IF(F68="常驻","每日","每次")</f>
        <v>每次</v>
      </c>
      <c r="K68" s="159"/>
      <c r="L68" s="184"/>
      <c r="M68" s="188"/>
      <c r="N68" s="189"/>
      <c r="O68" s="185" t="s">
        <v>85</v>
      </c>
      <c r="P68" s="186"/>
      <c r="Q68" s="186"/>
      <c r="R68" s="185" t="s">
        <v>87</v>
      </c>
      <c r="S68" s="187"/>
      <c r="T68" s="190"/>
    </row>
    <row r="69" spans="8:8">
      <c r="B69" s="179" t="s">
        <v>88</v>
      </c>
      <c r="C69" s="129" t="s">
        <v>493</v>
      </c>
      <c r="D69" s="129"/>
      <c r="E69" s="129"/>
      <c r="F69" s="129"/>
      <c r="G69" s="129"/>
      <c r="H69" s="129"/>
      <c r="I69" s="129"/>
      <c r="J69" s="144"/>
      <c r="K69" s="159"/>
      <c r="L69" s="184" t="s">
        <v>88</v>
      </c>
      <c r="M69" s="186"/>
      <c r="N69" s="186"/>
      <c r="O69" s="186"/>
      <c r="P69" s="186"/>
      <c r="Q69" s="186"/>
      <c r="R69" s="186"/>
      <c r="S69" s="186"/>
      <c r="T69" s="191"/>
    </row>
    <row r="70" spans="8:8">
      <c r="B70" s="179"/>
      <c r="C70" s="129"/>
      <c r="D70" s="129"/>
      <c r="E70" s="129"/>
      <c r="F70" s="129"/>
      <c r="G70" s="129"/>
      <c r="H70" s="129"/>
      <c r="I70" s="129"/>
      <c r="J70" s="144"/>
      <c r="K70" s="159"/>
      <c r="L70" s="184"/>
      <c r="M70" s="186"/>
      <c r="N70" s="186"/>
      <c r="O70" s="186"/>
      <c r="P70" s="186"/>
      <c r="Q70" s="186"/>
      <c r="R70" s="186"/>
      <c r="S70" s="186"/>
      <c r="T70" s="191"/>
    </row>
    <row r="71" spans="8:8">
      <c r="B71" s="179"/>
      <c r="C71" s="129"/>
      <c r="D71" s="129"/>
      <c r="E71" s="129"/>
      <c r="F71" s="129"/>
      <c r="G71" s="129"/>
      <c r="H71" s="129"/>
      <c r="I71" s="129"/>
      <c r="J71" s="144"/>
      <c r="K71" s="159"/>
      <c r="L71" s="184"/>
      <c r="M71" s="186"/>
      <c r="N71" s="186"/>
      <c r="O71" s="186"/>
      <c r="P71" s="186"/>
      <c r="Q71" s="186"/>
      <c r="R71" s="186"/>
      <c r="S71" s="186"/>
      <c r="T71" s="191"/>
    </row>
    <row r="72" spans="8:8">
      <c r="B72" s="179" t="s">
        <v>91</v>
      </c>
      <c r="C72" s="129" t="s">
        <v>507</v>
      </c>
      <c r="D72" s="129"/>
      <c r="E72" s="129"/>
      <c r="F72" s="129"/>
      <c r="G72" s="129"/>
      <c r="H72" s="129"/>
      <c r="I72" s="129"/>
      <c r="J72" s="144"/>
      <c r="K72" s="159"/>
      <c r="L72" s="184" t="s">
        <v>91</v>
      </c>
      <c r="M72" s="186"/>
      <c r="N72" s="186"/>
      <c r="O72" s="186"/>
      <c r="P72" s="186"/>
      <c r="Q72" s="186"/>
      <c r="R72" s="186"/>
      <c r="S72" s="186"/>
      <c r="T72" s="191"/>
    </row>
    <row r="73" spans="8:8">
      <c r="B73" s="179"/>
      <c r="C73" s="129"/>
      <c r="D73" s="129"/>
      <c r="E73" s="129"/>
      <c r="F73" s="129"/>
      <c r="G73" s="129"/>
      <c r="H73" s="129"/>
      <c r="I73" s="129"/>
      <c r="J73" s="144"/>
      <c r="K73" s="159"/>
      <c r="L73" s="184"/>
      <c r="M73" s="186"/>
      <c r="N73" s="186"/>
      <c r="O73" s="186"/>
      <c r="P73" s="186"/>
      <c r="Q73" s="186"/>
      <c r="R73" s="186"/>
      <c r="S73" s="186"/>
      <c r="T73" s="191"/>
    </row>
    <row r="74" spans="8:8">
      <c r="B74" s="195"/>
      <c r="C74" s="196"/>
      <c r="D74" s="196"/>
      <c r="E74" s="196"/>
      <c r="F74" s="196"/>
      <c r="G74" s="196"/>
      <c r="H74" s="196"/>
      <c r="I74" s="196"/>
      <c r="J74" s="197"/>
      <c r="K74" s="159"/>
      <c r="L74" s="198"/>
      <c r="M74" s="199"/>
      <c r="N74" s="199"/>
      <c r="O74" s="199"/>
      <c r="P74" s="199"/>
      <c r="Q74" s="199"/>
      <c r="R74" s="199"/>
      <c r="S74" s="199"/>
      <c r="T74" s="200"/>
    </row>
    <row r="75" spans="8:8">
      <c r="B75"/>
    </row>
    <row r="76" spans="8:8">
      <c r="K76" s="143"/>
      <c r="L76" s="143"/>
      <c r="M76" s="143"/>
      <c r="N76" s="143"/>
      <c r="O76" s="143"/>
      <c r="P76" s="143"/>
      <c r="Q76" s="143"/>
      <c r="R76" s="143"/>
      <c r="S76" s="143"/>
      <c r="T76" s="143"/>
    </row>
    <row r="77" spans="8:8">
      <c r="K77" s="143"/>
      <c r="L77" s="143"/>
      <c r="M77" s="143"/>
      <c r="N77" s="143"/>
      <c r="O77" s="143"/>
      <c r="P77" s="143"/>
      <c r="Q77" s="143"/>
      <c r="R77" s="143"/>
      <c r="S77" s="143"/>
      <c r="T77" s="143"/>
    </row>
    <row r="78" spans="8:8">
      <c r="K78" s="143"/>
      <c r="L78" s="143"/>
      <c r="M78" s="143"/>
      <c r="N78" s="143"/>
      <c r="O78" s="143"/>
      <c r="P78" s="143"/>
      <c r="Q78" s="143"/>
      <c r="R78" s="143"/>
      <c r="S78" s="143"/>
      <c r="T78" s="143"/>
    </row>
    <row r="79" spans="8:8">
      <c r="K79" s="143"/>
      <c r="L79" s="143"/>
      <c r="M79" s="143"/>
      <c r="N79" s="143"/>
      <c r="O79" s="143"/>
      <c r="P79" s="143"/>
      <c r="Q79" s="143"/>
      <c r="R79" s="143"/>
      <c r="S79" s="143"/>
      <c r="T79" s="143"/>
    </row>
    <row r="80" spans="8:8">
      <c r="K80" s="143"/>
      <c r="L80" s="143"/>
      <c r="M80" s="143"/>
      <c r="N80" s="143"/>
      <c r="O80" s="143"/>
      <c r="P80" s="143"/>
      <c r="Q80" s="143"/>
      <c r="R80" s="143"/>
      <c r="S80" s="143"/>
      <c r="T80" s="143"/>
    </row>
    <row r="81" spans="8:8" ht="15.6" customHeight="1">
      <c r="K81" s="143"/>
      <c r="L81" s="143"/>
      <c r="M81" s="143"/>
      <c r="N81" s="143"/>
      <c r="O81" s="143"/>
      <c r="P81" s="143"/>
      <c r="Q81" s="143"/>
      <c r="R81" s="143"/>
      <c r="S81" s="143"/>
      <c r="T81" s="143"/>
    </row>
    <row r="82" spans="8:8" ht="15.6" customHeight="1">
      <c r="K82" s="143"/>
      <c r="L82" s="143"/>
      <c r="M82" s="143"/>
      <c r="N82" s="143"/>
      <c r="O82" s="143"/>
      <c r="P82" s="143"/>
      <c r="Q82" s="143"/>
      <c r="R82" s="143"/>
      <c r="S82" s="143"/>
      <c r="T82" s="143"/>
    </row>
    <row r="83" spans="8:8" ht="15.6" customHeight="1">
      <c r="K83" s="143"/>
      <c r="L83" s="143"/>
      <c r="M83" s="143"/>
      <c r="N83" s="143"/>
      <c r="O83" s="143"/>
      <c r="P83" s="143"/>
      <c r="Q83" s="143"/>
      <c r="R83" s="143"/>
      <c r="S83" s="143"/>
      <c r="T83" s="143"/>
    </row>
    <row r="84" spans="8:8" ht="15.6" customHeight="1">
      <c r="K84" s="143"/>
      <c r="L84" s="143"/>
      <c r="M84" s="143"/>
      <c r="N84" s="143"/>
      <c r="O84" s="143"/>
      <c r="P84" s="143"/>
      <c r="Q84" s="143"/>
      <c r="R84" s="143"/>
      <c r="S84" s="143"/>
      <c r="T84" s="143"/>
    </row>
    <row r="85" spans="8:8" ht="15.6" customHeight="1">
      <c r="K85" s="143"/>
      <c r="L85" s="143"/>
      <c r="M85" s="143"/>
      <c r="N85" s="143"/>
      <c r="O85" s="143"/>
      <c r="P85" s="143"/>
      <c r="Q85" s="143"/>
      <c r="R85" s="143"/>
      <c r="S85" s="143"/>
      <c r="T85" s="143"/>
    </row>
    <row r="86" spans="8:8" ht="15.6" customHeight="1">
      <c r="K86" s="143"/>
      <c r="L86" s="143"/>
      <c r="M86" s="143"/>
      <c r="N86" s="143"/>
      <c r="O86" s="143"/>
      <c r="P86" s="143"/>
      <c r="Q86" s="143"/>
      <c r="R86" s="143"/>
      <c r="S86" s="143"/>
      <c r="T86" s="143"/>
    </row>
    <row r="87" spans="8:8" ht="15.6" customHeight="1">
      <c r="K87" s="143"/>
      <c r="L87" s="143"/>
      <c r="M87" s="143"/>
      <c r="N87" s="143"/>
      <c r="O87" s="143"/>
      <c r="P87" s="143"/>
      <c r="Q87" s="143"/>
      <c r="R87" s="143"/>
      <c r="S87" s="143"/>
      <c r="T87" s="143"/>
    </row>
    <row r="88" spans="8:8" ht="15.6" customHeight="1">
      <c r="K88" s="143"/>
      <c r="L88" s="143"/>
      <c r="M88" s="143"/>
      <c r="N88" s="143"/>
      <c r="O88" s="143"/>
      <c r="P88" s="143"/>
      <c r="Q88" s="143"/>
      <c r="R88" s="143"/>
      <c r="S88" s="143"/>
      <c r="T88" s="143"/>
    </row>
    <row r="89" spans="8:8" ht="15.6" customHeight="1">
      <c r="K89" s="143"/>
      <c r="L89" s="143"/>
      <c r="M89" s="143"/>
      <c r="N89" s="143"/>
      <c r="O89" s="143"/>
      <c r="P89" s="143"/>
      <c r="Q89" s="143"/>
      <c r="R89" s="143"/>
      <c r="S89" s="143"/>
      <c r="T89" s="143"/>
    </row>
    <row r="90" spans="8:8" ht="15.6" customHeight="1">
      <c r="K90" s="143"/>
      <c r="L90" s="143"/>
      <c r="M90" s="143"/>
      <c r="N90" s="143"/>
      <c r="O90" s="143"/>
      <c r="P90" s="143"/>
      <c r="Q90" s="143"/>
      <c r="R90" s="143"/>
      <c r="S90" s="143"/>
      <c r="T90" s="143"/>
    </row>
    <row r="91" spans="8:8" ht="15.6" customHeight="1">
      <c r="K91" s="143"/>
      <c r="L91" s="143"/>
      <c r="M91" s="143"/>
      <c r="N91" s="143"/>
      <c r="O91" s="143"/>
      <c r="P91" s="143"/>
      <c r="Q91" s="143"/>
      <c r="R91" s="143"/>
      <c r="S91" s="143"/>
      <c r="T91" s="143"/>
    </row>
    <row r="92" spans="8:8" ht="15.6" customHeight="1">
      <c r="K92" s="143"/>
      <c r="L92" s="143"/>
      <c r="M92" s="143"/>
      <c r="N92" s="143"/>
      <c r="O92" s="143"/>
      <c r="P92" s="143"/>
      <c r="Q92" s="143"/>
      <c r="R92" s="143"/>
      <c r="S92" s="143"/>
      <c r="T92" s="143"/>
    </row>
    <row r="93" spans="8:8" ht="15.6" customHeight="1">
      <c r="K93" s="143"/>
      <c r="L93" s="143"/>
      <c r="M93" s="143"/>
      <c r="N93" s="143"/>
      <c r="O93" s="143"/>
      <c r="P93" s="143"/>
      <c r="Q93" s="143"/>
      <c r="R93" s="143"/>
      <c r="S93" s="143"/>
      <c r="T93" s="143"/>
    </row>
    <row r="94" spans="8:8">
      <c r="K94" s="143"/>
      <c r="L94" s="143"/>
      <c r="M94" s="143"/>
      <c r="N94" s="143"/>
      <c r="O94" s="143"/>
      <c r="P94" s="143"/>
      <c r="Q94" s="143"/>
      <c r="R94" s="143"/>
      <c r="S94" s="143"/>
      <c r="T94" s="143"/>
    </row>
    <row r="95" spans="8:8">
      <c r="K95" s="143"/>
      <c r="L95" s="143"/>
      <c r="M95" s="143"/>
      <c r="N95" s="143"/>
      <c r="O95" s="143"/>
      <c r="P95" s="143"/>
      <c r="Q95" s="143"/>
      <c r="R95" s="143"/>
      <c r="S95" s="143"/>
      <c r="T95" s="143"/>
    </row>
    <row r="96" spans="8:8">
      <c r="K96" s="143"/>
      <c r="L96" s="143"/>
      <c r="M96" s="143"/>
      <c r="N96" s="143"/>
      <c r="O96" s="143"/>
      <c r="P96" s="143"/>
      <c r="Q96" s="143"/>
      <c r="R96" s="143"/>
      <c r="S96" s="143"/>
      <c r="T96" s="143"/>
    </row>
    <row r="97" spans="8:8">
      <c r="K97" s="143"/>
      <c r="L97" s="143"/>
      <c r="M97" s="143"/>
      <c r="N97" s="143"/>
      <c r="O97" s="143"/>
      <c r="P97" s="143"/>
      <c r="Q97" s="143"/>
      <c r="R97" s="143"/>
      <c r="S97" s="143"/>
      <c r="T97" s="143"/>
    </row>
    <row r="98" spans="8:8">
      <c r="K98" s="143"/>
      <c r="L98" s="143"/>
      <c r="M98" s="143"/>
      <c r="N98" s="143"/>
      <c r="O98" s="143"/>
      <c r="P98" s="143"/>
      <c r="Q98" s="143"/>
      <c r="R98" s="143"/>
      <c r="S98" s="143"/>
      <c r="T98" s="143"/>
    </row>
    <row r="99" spans="8:8">
      <c r="K99" s="143"/>
      <c r="L99" s="143"/>
      <c r="M99" s="143"/>
      <c r="N99" s="143"/>
      <c r="O99" s="143"/>
      <c r="P99" s="143"/>
      <c r="Q99" s="143"/>
      <c r="R99" s="143"/>
      <c r="S99" s="143"/>
      <c r="T99" s="143"/>
    </row>
    <row r="100" spans="8:8">
      <c r="K100" s="143"/>
      <c r="L100" s="143"/>
      <c r="M100" s="143"/>
      <c r="N100" s="143"/>
      <c r="O100" s="143"/>
      <c r="P100" s="143"/>
      <c r="Q100" s="143"/>
      <c r="R100" s="143"/>
      <c r="S100" s="143"/>
      <c r="T100" s="143"/>
    </row>
    <row r="101" spans="8:8">
      <c r="K101" s="143"/>
      <c r="L101" s="143"/>
      <c r="M101" s="143"/>
      <c r="N101" s="143"/>
      <c r="O101" s="143"/>
      <c r="P101" s="143"/>
      <c r="Q101" s="143"/>
      <c r="R101" s="143"/>
      <c r="S101" s="143"/>
      <c r="T101" s="143"/>
    </row>
    <row r="102" spans="8:8" ht="15.6" customHeight="1">
      <c r="K102" s="143"/>
      <c r="L102" s="143"/>
      <c r="M102" s="143"/>
      <c r="N102" s="143"/>
      <c r="O102" s="143"/>
      <c r="P102" s="143"/>
      <c r="Q102" s="143"/>
      <c r="R102" s="143"/>
      <c r="S102" s="143"/>
      <c r="T102" s="143"/>
    </row>
    <row r="103" spans="8:8">
      <c r="K103" s="143"/>
      <c r="L103" s="143"/>
      <c r="M103" s="143"/>
      <c r="N103" s="143"/>
      <c r="O103" s="143"/>
      <c r="P103" s="143"/>
      <c r="Q103" s="143"/>
      <c r="R103" s="143"/>
      <c r="S103" s="143"/>
      <c r="T103" s="143"/>
    </row>
    <row r="104" spans="8:8">
      <c r="K104" s="143"/>
      <c r="L104" s="143"/>
      <c r="M104" s="143"/>
      <c r="N104" s="143"/>
      <c r="O104" s="143"/>
      <c r="P104" s="143"/>
      <c r="Q104" s="143"/>
      <c r="R104" s="143"/>
      <c r="S104" s="143"/>
      <c r="T104" s="143"/>
    </row>
    <row r="105" spans="8:8">
      <c r="K105" s="143"/>
      <c r="L105" s="143"/>
      <c r="M105" s="143"/>
      <c r="N105" s="143"/>
      <c r="O105" s="143"/>
      <c r="P105" s="143"/>
      <c r="Q105" s="143"/>
      <c r="R105" s="143"/>
      <c r="S105" s="143"/>
      <c r="T105" s="143"/>
    </row>
    <row r="106" spans="8:8">
      <c r="K106" s="143"/>
      <c r="L106" s="143"/>
      <c r="M106" s="143"/>
      <c r="N106" s="143"/>
      <c r="O106" s="143"/>
      <c r="P106" s="143"/>
      <c r="Q106" s="143"/>
      <c r="R106" s="143"/>
      <c r="S106" s="143"/>
      <c r="T106" s="143"/>
    </row>
    <row r="107" spans="8:8">
      <c r="K107" s="143"/>
      <c r="L107" s="143"/>
      <c r="M107" s="143"/>
      <c r="N107" s="143"/>
      <c r="O107" s="143"/>
      <c r="P107" s="143"/>
      <c r="Q107" s="143"/>
      <c r="R107" s="143"/>
      <c r="S107" s="143"/>
      <c r="T107" s="143"/>
    </row>
    <row r="108" spans="8:8">
      <c r="K108" s="143"/>
      <c r="L108" s="143"/>
      <c r="M108" s="143"/>
      <c r="N108" s="143"/>
      <c r="O108" s="143"/>
      <c r="P108" s="143"/>
      <c r="Q108" s="143"/>
      <c r="R108" s="143"/>
      <c r="S108" s="143"/>
      <c r="T108" s="143"/>
    </row>
    <row r="109" spans="8:8">
      <c r="K109" s="143"/>
      <c r="L109" s="143"/>
      <c r="M109" s="143"/>
      <c r="N109" s="143"/>
      <c r="O109" s="143"/>
      <c r="P109" s="143"/>
      <c r="Q109" s="143"/>
      <c r="R109" s="143"/>
      <c r="S109" s="143"/>
      <c r="T109" s="143"/>
    </row>
    <row r="110" spans="8:8">
      <c r="K110" s="143"/>
      <c r="L110" s="143"/>
      <c r="M110" s="143"/>
      <c r="N110" s="143"/>
      <c r="O110" s="143"/>
      <c r="P110" s="143"/>
      <c r="Q110" s="143"/>
      <c r="R110" s="143"/>
      <c r="S110" s="143"/>
      <c r="T110" s="143"/>
    </row>
    <row r="111" spans="8:8">
      <c r="K111" s="143"/>
      <c r="L111" s="143"/>
      <c r="M111" s="143"/>
      <c r="N111" s="143"/>
      <c r="O111" s="143"/>
      <c r="P111" s="143"/>
      <c r="Q111" s="143"/>
      <c r="R111" s="143"/>
      <c r="S111" s="143"/>
      <c r="T111" s="143"/>
    </row>
    <row r="112" spans="8:8">
      <c r="K112" s="143"/>
      <c r="L112" s="143"/>
      <c r="M112" s="143"/>
      <c r="N112" s="143"/>
      <c r="O112" s="143"/>
      <c r="P112" s="143"/>
      <c r="Q112" s="143"/>
      <c r="R112" s="143"/>
      <c r="S112" s="143"/>
      <c r="T112" s="143"/>
    </row>
    <row r="113" spans="8:8">
      <c r="K113" s="143"/>
      <c r="L113" s="143"/>
      <c r="M113" s="143"/>
      <c r="N113" s="143"/>
      <c r="O113" s="143"/>
      <c r="P113" s="143"/>
      <c r="Q113" s="143"/>
      <c r="R113" s="143"/>
      <c r="S113" s="143"/>
      <c r="T113" s="143"/>
    </row>
    <row r="114" spans="8:8">
      <c r="K114" s="143"/>
      <c r="L114" s="143"/>
      <c r="M114" s="143"/>
      <c r="N114" s="143"/>
      <c r="O114" s="143"/>
      <c r="P114" s="143"/>
      <c r="Q114" s="143"/>
      <c r="R114" s="143"/>
      <c r="S114" s="143"/>
      <c r="T114" s="143"/>
    </row>
    <row r="115" spans="8:8">
      <c r="K115" s="143"/>
      <c r="L115" s="143"/>
      <c r="M115" s="143"/>
      <c r="N115" s="143"/>
      <c r="O115" s="143"/>
      <c r="P115" s="143"/>
      <c r="Q115" s="143"/>
      <c r="R115" s="143"/>
      <c r="S115" s="143"/>
      <c r="T115" s="143"/>
    </row>
    <row r="116" spans="8:8">
      <c r="K116" s="143"/>
      <c r="L116" s="143"/>
      <c r="M116" s="143"/>
      <c r="N116" s="143"/>
      <c r="O116" s="143"/>
      <c r="P116" s="143"/>
      <c r="Q116" s="143"/>
      <c r="R116" s="143"/>
      <c r="S116" s="143"/>
      <c r="T116" s="143"/>
    </row>
    <row r="117" spans="8:8">
      <c r="K117" s="143"/>
      <c r="L117" s="143"/>
      <c r="M117" s="143"/>
      <c r="N117" s="143"/>
      <c r="O117" s="143"/>
      <c r="P117" s="143"/>
      <c r="Q117" s="143"/>
      <c r="R117" s="143"/>
      <c r="S117" s="143"/>
      <c r="T117" s="143"/>
    </row>
    <row r="118" spans="8:8">
      <c r="K118" s="143"/>
      <c r="L118" s="143"/>
      <c r="M118" s="143"/>
      <c r="N118" s="143"/>
      <c r="O118" s="143"/>
      <c r="P118" s="143"/>
      <c r="Q118" s="143"/>
      <c r="R118" s="143"/>
      <c r="S118" s="143"/>
      <c r="T118" s="143"/>
    </row>
    <row r="119" spans="8:8">
      <c r="K119" s="143"/>
      <c r="L119" s="143"/>
      <c r="M119" s="143"/>
      <c r="N119" s="143"/>
      <c r="O119" s="143"/>
      <c r="P119" s="143"/>
      <c r="Q119" s="143"/>
      <c r="R119" s="143"/>
      <c r="S119" s="143"/>
      <c r="T119" s="143"/>
    </row>
    <row r="120" spans="8:8">
      <c r="K120" s="143"/>
      <c r="L120" s="143"/>
      <c r="M120" s="143"/>
      <c r="N120" s="143"/>
      <c r="O120" s="143"/>
      <c r="P120" s="143"/>
      <c r="Q120" s="143"/>
      <c r="R120" s="143"/>
      <c r="S120" s="143"/>
      <c r="T120" s="143"/>
    </row>
    <row r="121" spans="8:8">
      <c r="K121" s="143"/>
      <c r="L121" s="143"/>
      <c r="M121" s="143"/>
      <c r="N121" s="143"/>
      <c r="O121" s="143"/>
      <c r="P121" s="143"/>
      <c r="Q121" s="143"/>
      <c r="R121" s="143"/>
      <c r="S121" s="143"/>
      <c r="T121" s="143"/>
    </row>
    <row r="122" spans="8:8">
      <c r="K122" s="143"/>
      <c r="L122" s="143"/>
      <c r="M122" s="143"/>
      <c r="N122" s="143"/>
      <c r="O122" s="143"/>
      <c r="P122" s="143"/>
      <c r="Q122" s="143"/>
      <c r="R122" s="143"/>
      <c r="S122" s="143"/>
      <c r="T122" s="143"/>
    </row>
    <row r="123" spans="8:8">
      <c r="K123" s="143"/>
      <c r="L123" s="143"/>
      <c r="M123" s="143"/>
      <c r="N123" s="143"/>
      <c r="O123" s="143"/>
      <c r="P123" s="143"/>
      <c r="Q123" s="143"/>
      <c r="R123" s="143"/>
      <c r="S123" s="143"/>
      <c r="T123" s="143"/>
    </row>
    <row r="124" spans="8:8">
      <c r="K124" s="143"/>
      <c r="L124" s="143"/>
      <c r="M124" s="143"/>
      <c r="N124" s="143"/>
      <c r="O124" s="143"/>
      <c r="P124" s="143"/>
      <c r="Q124" s="143"/>
      <c r="R124" s="143"/>
      <c r="S124" s="143"/>
      <c r="T124" s="143"/>
    </row>
    <row r="125" spans="8:8">
      <c r="K125" s="143"/>
      <c r="L125" s="143"/>
      <c r="M125" s="143"/>
      <c r="N125" s="143"/>
      <c r="O125" s="143"/>
      <c r="P125" s="143"/>
      <c r="Q125" s="143"/>
      <c r="R125" s="143"/>
      <c r="S125" s="143"/>
      <c r="T125" s="143"/>
    </row>
    <row r="126" spans="8:8">
      <c r="K126" s="143"/>
      <c r="L126" s="143"/>
      <c r="M126" s="143"/>
      <c r="N126" s="143"/>
      <c r="O126" s="143"/>
      <c r="P126" s="143"/>
      <c r="Q126" s="143"/>
      <c r="R126" s="143"/>
      <c r="S126" s="143"/>
      <c r="T126" s="143"/>
    </row>
    <row r="127" spans="8:8">
      <c r="K127" s="143"/>
      <c r="L127" s="143"/>
      <c r="M127" s="143"/>
      <c r="N127" s="143"/>
      <c r="O127" s="143"/>
      <c r="P127" s="143"/>
      <c r="Q127" s="143"/>
      <c r="R127" s="143"/>
      <c r="S127" s="143"/>
      <c r="T127" s="143"/>
    </row>
    <row r="128" spans="8:8">
      <c r="K128" s="143"/>
      <c r="L128" s="143"/>
      <c r="M128" s="143"/>
      <c r="N128" s="143"/>
      <c r="O128" s="143"/>
      <c r="P128" s="143"/>
      <c r="Q128" s="143"/>
      <c r="R128" s="143"/>
      <c r="S128" s="143"/>
      <c r="T128" s="143"/>
    </row>
    <row r="129" spans="8:8">
      <c r="K129" s="143"/>
      <c r="L129" s="143"/>
      <c r="M129" s="143"/>
      <c r="N129" s="143"/>
      <c r="O129" s="143"/>
      <c r="P129" s="143"/>
      <c r="Q129" s="143"/>
      <c r="R129" s="143"/>
      <c r="S129" s="143"/>
      <c r="T129" s="143"/>
    </row>
    <row r="130" spans="8:8">
      <c r="K130" s="143"/>
      <c r="L130" s="143"/>
      <c r="M130" s="143"/>
      <c r="N130" s="143"/>
      <c r="O130" s="143"/>
      <c r="P130" s="143"/>
      <c r="Q130" s="143"/>
      <c r="R130" s="143"/>
      <c r="S130" s="143"/>
      <c r="T130" s="143"/>
    </row>
    <row r="131" spans="8:8">
      <c r="B131" s="143"/>
      <c r="C131" s="143"/>
      <c r="D131" s="143"/>
      <c r="E131" s="143"/>
      <c r="F131" s="143"/>
      <c r="G131" s="143"/>
      <c r="H131" s="143"/>
      <c r="I131" s="143"/>
      <c r="J131" s="143"/>
      <c r="K131" s="143"/>
      <c r="L131" s="143"/>
      <c r="M131" s="143"/>
      <c r="N131" s="143"/>
      <c r="O131" s="143"/>
      <c r="P131" s="143"/>
      <c r="Q131" s="143"/>
      <c r="R131" s="143"/>
      <c r="S131" s="143"/>
      <c r="T131" s="143"/>
    </row>
    <row r="132" spans="8:8">
      <c r="B132" s="143"/>
      <c r="C132" s="143"/>
      <c r="D132" s="143"/>
      <c r="E132" s="143"/>
      <c r="F132" s="143"/>
      <c r="G132" s="143"/>
      <c r="H132" s="143"/>
      <c r="I132" s="143"/>
      <c r="J132" s="143"/>
      <c r="K132" s="143"/>
      <c r="L132" s="143"/>
      <c r="M132" s="143"/>
      <c r="N132" s="143"/>
      <c r="O132" s="143"/>
      <c r="P132" s="143"/>
      <c r="Q132" s="143"/>
      <c r="R132" s="143"/>
      <c r="S132" s="143"/>
      <c r="T132" s="143"/>
    </row>
    <row r="133" spans="8:8">
      <c r="K133" s="143"/>
      <c r="L133" s="143"/>
      <c r="M133" s="143"/>
      <c r="N133" s="143"/>
    </row>
    <row r="134" spans="8:8">
      <c r="K134" s="143"/>
      <c r="L134" s="143"/>
      <c r="M134" s="143"/>
      <c r="N134" s="143"/>
    </row>
    <row r="135" spans="8:8">
      <c r="K135" s="143"/>
      <c r="L135" s="143"/>
      <c r="M135" s="143"/>
      <c r="N135" s="143"/>
    </row>
    <row r="136" spans="8:8">
      <c r="K136" s="143"/>
      <c r="L136" s="143"/>
      <c r="M136" s="143"/>
      <c r="N136" s="143"/>
    </row>
    <row r="137" spans="8:8">
      <c r="K137" s="143"/>
      <c r="L137" s="143"/>
      <c r="M137" s="143"/>
      <c r="N137" s="143"/>
    </row>
    <row r="138" spans="8:8">
      <c r="K138" s="143"/>
      <c r="L138" s="143"/>
      <c r="M138" s="143"/>
      <c r="N138" s="143"/>
    </row>
    <row r="139" spans="8:8">
      <c r="K139" s="143"/>
      <c r="L139" s="143"/>
      <c r="M139" s="143"/>
      <c r="N139" s="143"/>
    </row>
    <row r="140" spans="8:8">
      <c r="K140" s="143"/>
      <c r="L140" s="143"/>
      <c r="M140" s="143"/>
      <c r="N140" s="143"/>
    </row>
    <row r="141" spans="8:8">
      <c r="K141" s="143"/>
      <c r="L141" s="143"/>
      <c r="M141" s="143"/>
      <c r="N141" s="143"/>
    </row>
    <row r="142" spans="8:8">
      <c r="K142" s="143"/>
      <c r="L142" s="143"/>
      <c r="M142" s="143"/>
      <c r="N142" s="143"/>
    </row>
    <row r="143" spans="8:8">
      <c r="K143" s="143"/>
      <c r="L143" s="143"/>
      <c r="M143" s="143"/>
      <c r="N143" s="143"/>
    </row>
    <row r="144" spans="8:8">
      <c r="K144" s="143"/>
      <c r="L144" s="143"/>
      <c r="M144" s="143"/>
      <c r="N144" s="143"/>
    </row>
    <row r="145" spans="8:8">
      <c r="K145" s="143"/>
      <c r="L145" s="143"/>
      <c r="M145" s="143"/>
      <c r="N145" s="143"/>
    </row>
    <row r="146" spans="8:8">
      <c r="K146" s="143"/>
      <c r="L146" s="143"/>
      <c r="M146" s="143"/>
      <c r="N146" s="143"/>
    </row>
    <row r="147" spans="8:8">
      <c r="K147" s="143"/>
      <c r="L147" s="143"/>
      <c r="M147" s="143"/>
      <c r="N147" s="143"/>
    </row>
    <row r="148" spans="8:8">
      <c r="K148" s="143"/>
      <c r="L148" s="143"/>
      <c r="M148" s="143"/>
      <c r="N148" s="143"/>
    </row>
    <row r="149" spans="8:8">
      <c r="K149" s="143"/>
      <c r="L149" s="143"/>
      <c r="M149" s="143"/>
      <c r="N149" s="143"/>
    </row>
    <row r="150" spans="8:8">
      <c r="K150" s="143"/>
      <c r="L150" s="143"/>
      <c r="M150" s="143"/>
      <c r="N150" s="143"/>
    </row>
    <row r="151" spans="8:8">
      <c r="K151" s="143"/>
      <c r="L151" s="143"/>
      <c r="M151" s="143"/>
      <c r="N151" s="143"/>
    </row>
    <row r="152" spans="8:8">
      <c r="K152" s="143"/>
      <c r="L152" s="143"/>
      <c r="M152" s="143"/>
      <c r="N152" s="143"/>
    </row>
    <row r="153" spans="8:8">
      <c r="K153" s="143"/>
      <c r="L153" s="143"/>
      <c r="M153" s="143"/>
      <c r="N153" s="143"/>
    </row>
    <row r="154" spans="8:8">
      <c r="K154" s="143"/>
      <c r="L154" s="143"/>
      <c r="M154" s="143"/>
      <c r="N154" s="143"/>
    </row>
    <row r="155" spans="8:8">
      <c r="K155" s="143"/>
      <c r="L155" s="143"/>
      <c r="M155" s="143"/>
      <c r="N155" s="143"/>
    </row>
    <row r="156" spans="8:8">
      <c r="K156" s="143"/>
      <c r="L156" s="143"/>
      <c r="M156" s="143"/>
      <c r="N156" s="143"/>
    </row>
    <row r="157" spans="8:8">
      <c r="K157" s="143"/>
      <c r="L157" s="143"/>
      <c r="M157" s="143"/>
      <c r="N157" s="143"/>
    </row>
    <row r="158" spans="8:8">
      <c r="K158" s="143"/>
      <c r="L158" s="143"/>
      <c r="M158" s="143"/>
      <c r="N158" s="143"/>
    </row>
    <row r="159" spans="8:8">
      <c r="K159" s="143"/>
      <c r="L159" s="143"/>
      <c r="M159" s="143"/>
      <c r="N159" s="143"/>
    </row>
    <row r="160" spans="8:8">
      <c r="K160" s="143"/>
      <c r="L160" s="143"/>
      <c r="M160" s="143"/>
      <c r="N160" s="143"/>
    </row>
    <row r="161" spans="8:8">
      <c r="K161" s="143"/>
      <c r="L161" s="143"/>
      <c r="M161" s="143"/>
      <c r="N161" s="143"/>
    </row>
    <row r="162" spans="8:8">
      <c r="K162" s="143"/>
      <c r="L162" s="143"/>
      <c r="M162" s="143"/>
      <c r="N162" s="143"/>
    </row>
    <row r="163" spans="8:8">
      <c r="K163" s="143"/>
      <c r="L163" s="143"/>
      <c r="M163" s="143"/>
      <c r="N163" s="143"/>
    </row>
    <row r="164" spans="8:8">
      <c r="K164" s="143"/>
      <c r="L164" s="143"/>
      <c r="M164" s="143"/>
      <c r="N164" s="143"/>
    </row>
    <row r="165" spans="8:8">
      <c r="K165" s="143"/>
      <c r="L165" s="143"/>
      <c r="M165" s="143"/>
      <c r="N165" s="143"/>
    </row>
    <row r="166" spans="8:8">
      <c r="K166" s="143"/>
      <c r="L166" s="143"/>
      <c r="M166" s="143"/>
      <c r="N166" s="143"/>
    </row>
    <row r="167" spans="8:8">
      <c r="K167" s="143"/>
      <c r="L167" s="143"/>
      <c r="M167" s="143"/>
      <c r="N167" s="143"/>
    </row>
    <row r="168" spans="8:8">
      <c r="K168" s="143"/>
      <c r="L168" s="143"/>
      <c r="M168" s="143"/>
      <c r="N168" s="143"/>
    </row>
    <row r="169" spans="8:8">
      <c r="K169" s="143"/>
      <c r="L169" s="143"/>
      <c r="M169" s="143"/>
      <c r="N169" s="143"/>
    </row>
    <row r="170" spans="8:8">
      <c r="K170" s="143"/>
      <c r="L170" s="143"/>
      <c r="M170" s="143"/>
      <c r="N170" s="143"/>
    </row>
    <row r="171" spans="8:8">
      <c r="K171" s="143"/>
      <c r="L171" s="143"/>
      <c r="M171" s="143"/>
      <c r="N171" s="143"/>
    </row>
    <row r="172" spans="8:8">
      <c r="K172" s="143"/>
      <c r="L172" s="143"/>
      <c r="M172" s="143"/>
      <c r="N172" s="143"/>
    </row>
    <row r="173" spans="8:8">
      <c r="K173" s="143"/>
      <c r="L173" s="143"/>
      <c r="M173" s="143"/>
      <c r="N173" s="143"/>
    </row>
    <row r="174" spans="8:8">
      <c r="K174" s="143"/>
      <c r="L174" s="143"/>
      <c r="M174" s="143"/>
      <c r="N174" s="143"/>
    </row>
    <row r="175" spans="8:8">
      <c r="K175" s="143"/>
      <c r="L175" s="143"/>
      <c r="M175" s="143"/>
      <c r="N175" s="143"/>
    </row>
    <row r="176" spans="8:8">
      <c r="K176" s="143"/>
      <c r="L176" s="143"/>
      <c r="M176" s="143"/>
      <c r="N176" s="143"/>
    </row>
    <row r="177" spans="8:8">
      <c r="K177" s="143"/>
      <c r="L177" s="143"/>
      <c r="M177" s="143"/>
      <c r="N177" s="143"/>
    </row>
    <row r="178" spans="8:8">
      <c r="K178" s="143"/>
      <c r="L178" s="143"/>
      <c r="M178" s="143"/>
      <c r="N178" s="143"/>
    </row>
    <row r="179" spans="8:8">
      <c r="K179" s="143"/>
      <c r="L179" s="143"/>
      <c r="M179" s="143"/>
      <c r="N179" s="143"/>
    </row>
    <row r="180" spans="8:8">
      <c r="K180" s="143"/>
      <c r="L180" s="143"/>
      <c r="M180" s="143"/>
      <c r="N180" s="143"/>
    </row>
    <row r="181" spans="8:8">
      <c r="K181" s="143"/>
      <c r="L181" s="143"/>
      <c r="M181" s="143"/>
      <c r="N181" s="143"/>
    </row>
    <row r="182" spans="8:8">
      <c r="K182" s="143"/>
      <c r="L182" s="143"/>
      <c r="M182" s="143"/>
      <c r="N182" s="143"/>
    </row>
  </sheetData>
  <sheetProtection sheet="0" formatColumns="0" formatRows="0" insertColumns="0" insertRows="0" insertHyperlinks="0"/>
  <mergeCells count="146">
    <mergeCell ref="B67:B68"/>
    <mergeCell ref="C60:J62"/>
    <mergeCell ref="M69:T71"/>
    <mergeCell ref="C57:D57"/>
    <mergeCell ref="B60:B62"/>
    <mergeCell ref="B58:B59"/>
    <mergeCell ref="C29:D29"/>
    <mergeCell ref="L5:M5"/>
    <mergeCell ref="B6:D13"/>
    <mergeCell ref="F9:G9"/>
    <mergeCell ref="C23:J25"/>
    <mergeCell ref="B32:B34"/>
    <mergeCell ref="C44:J46"/>
    <mergeCell ref="N3:O3"/>
    <mergeCell ref="B23:B25"/>
    <mergeCell ref="L41:L43"/>
    <mergeCell ref="H2:J2"/>
    <mergeCell ref="C48:D48"/>
    <mergeCell ref="L69:L71"/>
    <mergeCell ref="C58:D59"/>
    <mergeCell ref="L67:L68"/>
    <mergeCell ref="L63:L65"/>
    <mergeCell ref="B44:B46"/>
    <mergeCell ref="Q10:T14"/>
    <mergeCell ref="B2:D2"/>
    <mergeCell ref="L19:T19"/>
    <mergeCell ref="F68:G68"/>
    <mergeCell ref="C51:J53"/>
    <mergeCell ref="M72:T74"/>
    <mergeCell ref="C39:D40"/>
    <mergeCell ref="L4:M4"/>
    <mergeCell ref="M29:N29"/>
    <mergeCell ref="L47:T47"/>
    <mergeCell ref="B3:D4"/>
    <mergeCell ref="E2:G2"/>
    <mergeCell ref="L3:M3"/>
    <mergeCell ref="F10:G10"/>
    <mergeCell ref="L35:L37"/>
    <mergeCell ref="P49:Q49"/>
    <mergeCell ref="C69:J71"/>
    <mergeCell ref="L72:L74"/>
    <mergeCell ref="B54:B56"/>
    <mergeCell ref="C49:D50"/>
    <mergeCell ref="B51:B53"/>
    <mergeCell ref="Q2:T2"/>
    <mergeCell ref="F31:G31"/>
    <mergeCell ref="B5:D5"/>
    <mergeCell ref="P21:Q21"/>
    <mergeCell ref="M23:T25"/>
    <mergeCell ref="M32:T34"/>
    <mergeCell ref="Q3:T7"/>
    <mergeCell ref="Q9:T9"/>
    <mergeCell ref="C72:J74"/>
    <mergeCell ref="L49:L50"/>
    <mergeCell ref="P58:Q58"/>
    <mergeCell ref="B47:J47"/>
    <mergeCell ref="N5:O5"/>
    <mergeCell ref="C35:J37"/>
    <mergeCell ref="M39:N40"/>
    <mergeCell ref="L2:O2"/>
    <mergeCell ref="P39:Q39"/>
    <mergeCell ref="L9:M9"/>
    <mergeCell ref="N8:O8"/>
    <mergeCell ref="L10:M10"/>
    <mergeCell ref="L21:L22"/>
    <mergeCell ref="L23:L25"/>
    <mergeCell ref="B72:B74"/>
    <mergeCell ref="M54:T56"/>
    <mergeCell ref="F50:G50"/>
    <mergeCell ref="H3:J13"/>
    <mergeCell ref="P30:Q30"/>
    <mergeCell ref="L58:L59"/>
    <mergeCell ref="F58:G58"/>
    <mergeCell ref="B21:B22"/>
    <mergeCell ref="C41:J43"/>
    <mergeCell ref="C20:D20"/>
    <mergeCell ref="C67:D68"/>
    <mergeCell ref="C63:J65"/>
    <mergeCell ref="L6:M7"/>
    <mergeCell ref="P40:Q40"/>
    <mergeCell ref="N11:O11"/>
    <mergeCell ref="L39:L40"/>
    <mergeCell ref="L30:L31"/>
    <mergeCell ref="M41:T43"/>
    <mergeCell ref="L12:O12"/>
    <mergeCell ref="F22:G22"/>
    <mergeCell ref="F13:G13"/>
    <mergeCell ref="F21:G21"/>
    <mergeCell ref="M51:T53"/>
    <mergeCell ref="B63:B65"/>
    <mergeCell ref="P67:Q67"/>
    <mergeCell ref="M63:T65"/>
    <mergeCell ref="M49:N50"/>
    <mergeCell ref="M58:N59"/>
    <mergeCell ref="B69:B71"/>
    <mergeCell ref="M44:T46"/>
    <mergeCell ref="N4:O4"/>
    <mergeCell ref="L13:O14"/>
    <mergeCell ref="B49:B50"/>
    <mergeCell ref="M67:N68"/>
    <mergeCell ref="M60:T62"/>
    <mergeCell ref="F59:G59"/>
    <mergeCell ref="M66:N66"/>
    <mergeCell ref="P68:Q68"/>
    <mergeCell ref="M48:N48"/>
    <mergeCell ref="F49:G49"/>
    <mergeCell ref="P50:Q50"/>
    <mergeCell ref="L11:M11"/>
    <mergeCell ref="N9:O9"/>
    <mergeCell ref="M57:N57"/>
    <mergeCell ref="E3:G8"/>
    <mergeCell ref="B41:B43"/>
    <mergeCell ref="C32:J34"/>
    <mergeCell ref="M26:T28"/>
    <mergeCell ref="N10:O10"/>
    <mergeCell ref="L32:L34"/>
    <mergeCell ref="M35:T37"/>
    <mergeCell ref="L8:M8"/>
    <mergeCell ref="B39:B40"/>
    <mergeCell ref="B35:B37"/>
    <mergeCell ref="L60:L62"/>
    <mergeCell ref="P31:Q31"/>
    <mergeCell ref="M21:N22"/>
    <mergeCell ref="F40:G40"/>
    <mergeCell ref="C26:J28"/>
    <mergeCell ref="E11:E12"/>
    <mergeCell ref="B30:B31"/>
    <mergeCell ref="F39:G39"/>
    <mergeCell ref="C54:J56"/>
    <mergeCell ref="P22:Q22"/>
    <mergeCell ref="L51:L53"/>
    <mergeCell ref="L26:L28"/>
    <mergeCell ref="L44:L46"/>
    <mergeCell ref="M38:N38"/>
    <mergeCell ref="M30:N31"/>
    <mergeCell ref="B19:J19"/>
    <mergeCell ref="C38:D38"/>
    <mergeCell ref="C30:D31"/>
    <mergeCell ref="F30:G30"/>
    <mergeCell ref="C21:D22"/>
    <mergeCell ref="B26:B28"/>
    <mergeCell ref="C66:D66"/>
    <mergeCell ref="F67:G67"/>
    <mergeCell ref="L54:L56"/>
    <mergeCell ref="M20:N20"/>
    <mergeCell ref="P59:Q59"/>
  </mergeCells>
  <conditionalFormatting sqref="C16:I16">
    <cfRule type="cellIs" operator="notEqual" priority="5" dxfId="0">
      <formula>0</formula>
    </cfRule>
  </conditionalFormatting>
  <conditionalFormatting sqref="J20 J29 T20 T29 T38 J38 J48 T48 T66 J66 J57 T57">
    <cfRule type="cellIs" operator="equal" priority="4" dxfId="1">
      <formula>0</formula>
    </cfRule>
  </conditionalFormatting>
  <conditionalFormatting sqref="N3:O11">
    <cfRule type="cellIs" operator="equal" priority="3" dxfId="2">
      <formula>0</formula>
    </cfRule>
  </conditionalFormatting>
  <conditionalFormatting sqref="C18:I18">
    <cfRule type="cellIs" operator="notEqual" priority="7" dxfId="3">
      <formula>0</formula>
    </cfRule>
  </conditionalFormatting>
  <dataValidations count="10">
    <dataValidation allowBlank="1" type="any" operator="between" errorStyle="stop" showInputMessage="1" showErrorMessage="1" sqref="N4:O4"/>
    <dataValidation allowBlank="1" type="any" operator="between" errorStyle="stop" showInputMessage="1" showErrorMessage="1" sqref="N11:O11"/>
    <dataValidation allowBlank="1" type="any" operator="between" errorStyle="stop" showInputMessage="1" showErrorMessage="1" sqref="N6:O7"/>
    <dataValidation allowBlank="1" type="list" errorStyle="stop" showInputMessage="1" showErrorMessage="1" sqref="N8:O8">
      <formula1>"过去,现在,未来,虚造,异闻带"</formula1>
    </dataValidation>
    <dataValidation allowBlank="1" type="list" errorStyle="stop" showInputMessage="1" showErrorMessage="1" sqref="F9:G9">
      <formula1>调卡用表!$B$4:$B$19</formula1>
    </dataValidation>
    <dataValidation allowBlank="1" type="list" errorStyle="stop" showInputMessage="1" showErrorMessage="1" sqref="F10:G10">
      <formula1>"神灵,英灵,幻灵,精灵,亡灵,守护者"</formula1>
    </dataValidation>
    <dataValidation allowBlank="1" type="list" errorStyle="stop" showInputMessage="1" showErrorMessage="1" sqref="F13:G13">
      <formula1>"袖珍,通常,巨大,超巨大"</formula1>
    </dataValidation>
    <dataValidation allowBlank="1" type="list" errorStyle="stop" showInputMessage="1" showErrorMessage="1" sqref="C17">
      <formula1>"70,60,50,40,30"</formula1>
    </dataValidation>
    <dataValidation allowBlank="1" type="decimal" operator="between" errorStyle="warning" showInputMessage="1" sqref="F18">
      <formula1>0</formula1>
      <formula2>E17</formula2>
    </dataValidation>
    <dataValidation allowBlank="1" type="list" errorStyle="stop" showInputMessage="1" showErrorMessage="1" sqref="F11:G12">
      <formula1>"人型,神性,魔性,龙种,猛兽,魔兽,构装体"</formula1>
    </dataValidation>
  </dataValidations>
  <pageMargins left="0.699305555555556" right="0.699305555555556" top="0.75" bottom="0.75" header="0.3" footer="0.3"/>
  <pageSetup paperSize="9" scale="88"/>
  <legacyDrawing r:id="rId1"/>
</worksheet>
</file>

<file path=xl/worksheets/sheet3.xml><?xml version="1.0" encoding="utf-8"?>
<worksheet xmlns:r="http://schemas.openxmlformats.org/officeDocument/2006/relationships" xmlns="http://schemas.openxmlformats.org/spreadsheetml/2006/main">
  <dimension ref="B1:AX107"/>
  <sheetViews>
    <sheetView workbookViewId="0" showGridLines="0" zoomScale="31">
      <selection activeCell="B12" sqref="B12:D13"/>
    </sheetView>
  </sheetViews>
  <sheetFormatPr defaultRowHeight="15.6" defaultColWidth="10"/>
  <cols>
    <col min="1" max="1" customWidth="1" width="5.546875" style="0"/>
    <col min="11" max="11" customWidth="1" width="5.546875" style="0"/>
    <col min="21" max="21" customWidth="1" width="5.546875" style="0"/>
  </cols>
  <sheetData>
    <row r="1" spans="8:8" ht="15.6" customHeight="1">
      <c r="I1" s="201"/>
    </row>
    <row r="2" spans="8:8" ht="15.6" customHeight="1">
      <c r="B2" s="202" t="s">
        <v>110</v>
      </c>
      <c r="C2" s="203"/>
      <c r="D2" s="203"/>
      <c r="E2" s="203"/>
      <c r="F2" s="203"/>
      <c r="G2" s="203"/>
      <c r="H2" s="203"/>
      <c r="I2" s="203"/>
      <c r="J2" s="204"/>
      <c r="K2" s="205"/>
      <c r="L2" s="206" t="s">
        <v>111</v>
      </c>
      <c r="M2" s="207"/>
      <c r="N2" s="207"/>
      <c r="O2" s="207"/>
      <c r="P2" s="207"/>
      <c r="Q2" s="207"/>
      <c r="R2" s="207"/>
      <c r="S2" s="207"/>
      <c r="T2" s="208"/>
    </row>
    <row r="3" spans="8:8" ht="15.6" customHeight="1">
      <c r="B3" s="209"/>
      <c r="C3" s="210"/>
      <c r="D3" s="210"/>
      <c r="E3" s="210"/>
      <c r="F3" s="210"/>
      <c r="G3" s="210"/>
      <c r="H3" s="210"/>
      <c r="I3" s="210"/>
      <c r="J3" s="211"/>
      <c r="K3" s="212"/>
      <c r="L3" s="213" t="s">
        <v>112</v>
      </c>
      <c r="M3" s="214"/>
      <c r="N3" s="214"/>
      <c r="O3" s="214"/>
      <c r="P3" s="214"/>
      <c r="Q3" s="214"/>
      <c r="R3" s="214"/>
      <c r="S3" s="214"/>
      <c r="T3" s="215"/>
    </row>
    <row r="4" spans="8:8" ht="15.6" customHeight="1">
      <c r="B4" s="209"/>
      <c r="C4" s="210"/>
      <c r="D4" s="210"/>
      <c r="E4" s="210"/>
      <c r="F4" s="210"/>
      <c r="G4" s="210"/>
      <c r="H4" s="210"/>
      <c r="I4" s="210"/>
      <c r="J4" s="211"/>
      <c r="K4" s="212"/>
      <c r="L4" s="213"/>
      <c r="M4" s="214"/>
      <c r="N4" s="214"/>
      <c r="O4" s="214"/>
      <c r="P4" s="214"/>
      <c r="Q4" s="214"/>
      <c r="R4" s="214"/>
      <c r="S4" s="214"/>
      <c r="T4" s="215"/>
    </row>
    <row r="5" spans="8:8" ht="15.6" customHeight="1">
      <c r="B5" s="216"/>
      <c r="C5" s="217"/>
      <c r="D5" s="217"/>
      <c r="E5" s="217"/>
      <c r="F5" s="217"/>
      <c r="G5" s="217"/>
      <c r="H5" s="217"/>
      <c r="I5" s="217"/>
      <c r="J5" s="218"/>
      <c r="K5" s="212"/>
      <c r="L5" s="213"/>
      <c r="M5" s="214"/>
      <c r="N5" s="214"/>
      <c r="O5" s="214"/>
      <c r="P5" s="214"/>
      <c r="Q5" s="214"/>
      <c r="R5" s="214"/>
      <c r="S5" s="214"/>
      <c r="T5" s="215"/>
    </row>
    <row r="6" spans="8:8" ht="15.6" customHeight="1">
      <c r="B6" s="219" t="s">
        <v>38</v>
      </c>
      <c r="C6" s="220" t="s">
        <v>39</v>
      </c>
      <c r="D6" s="220" t="s">
        <v>58</v>
      </c>
      <c r="E6" s="220" t="s">
        <v>59</v>
      </c>
      <c r="F6" s="220" t="s">
        <v>113</v>
      </c>
      <c r="G6" s="220" t="s">
        <v>61</v>
      </c>
      <c r="H6" s="220" t="s">
        <v>62</v>
      </c>
      <c r="I6" s="220" t="s">
        <v>63</v>
      </c>
      <c r="J6" s="221" t="s">
        <v>64</v>
      </c>
      <c r="K6" s="212"/>
      <c r="L6" s="213"/>
      <c r="M6" s="214"/>
      <c r="N6" s="214"/>
      <c r="O6" s="214"/>
      <c r="P6" s="214"/>
      <c r="Q6" s="214"/>
      <c r="R6" s="214"/>
      <c r="S6" s="214"/>
      <c r="T6" s="215"/>
    </row>
    <row r="7" spans="8:8" ht="15.6" customHeight="1">
      <c r="B7" s="222" t="str">
        <f>'角色卡 '!F9</f>
        <v>Saber（职阶2）</v>
      </c>
      <c r="C7" s="223" t="s">
        <v>50</v>
      </c>
      <c r="D7" s="224">
        <f>'角色卡 '!C15</f>
        <v>70.0</v>
      </c>
      <c r="E7" s="223" t="str">
        <f>_xlfn.IFS('角色卡 '!$D$15&lt;21,"E",'角色卡 '!$D$15&lt;41,"D",'角色卡 '!$D$15&lt;61,"C",'角色卡 '!$D$15&lt;81,"B",'角色卡 '!$D$15&lt;101,"A",'角色卡 '!$D$15&lt;121,"A+",'角色卡 '!$D$15&gt;120,"EX")</f>
        <v>C</v>
      </c>
      <c r="F7" s="223" t="str">
        <f>_xlfn.IFS('角色卡 '!$E$15&lt;21,"E",'角色卡 '!$E$15&lt;41,"D",'角色卡 '!$E$15&lt;61,"C",'角色卡 '!$E$15&lt;81,"B",'角色卡 '!$E$15&lt;101,"A",'角色卡 '!$E$15&lt;121,"A+",'角色卡 '!$E$15&gt;120,"EX")</f>
        <v>C</v>
      </c>
      <c r="G7" s="223" t="str">
        <f>_xlfn.IFS('角色卡 '!$F$15&lt;21,"E",'角色卡 '!$F$15&lt;41,"D",'角色卡 '!$F$15&lt;61,"C",'角色卡 '!$F$15&lt;81,"B",'角色卡 '!$F$15&lt;101,"A",'角色卡 '!$F$15&lt;121,"A+",'角色卡 '!$F$15&gt;120,"EX")</f>
        <v>B</v>
      </c>
      <c r="H7" s="223" t="str">
        <f>_xlfn.IFS('角色卡 '!$G$15&lt;21,"E",'角色卡 '!$G$15&lt;41,"D",'角色卡 '!$G$15&lt;61,"C",'角色卡 '!$G$15&lt;81,"B",'角色卡 '!$G$15&lt;101,"A",'角色卡 '!$G$15&lt;121,"A+",'角色卡 '!$G$15&gt;120,"EX")</f>
        <v>D</v>
      </c>
      <c r="I7" s="223" t="str">
        <f>_xlfn.IFS('角色卡 '!$H$15&lt;21,"E",'角色卡 '!$H$15&lt;41,"D",'角色卡 '!$H$15&lt;61,"C",'角色卡 '!$H$15&lt;81,"B",'角色卡 '!$H$15&lt;101,"A",'角色卡 '!$H$15&lt;121,"A+",'角色卡 '!$H$15&gt;120,"EX")</f>
        <v>D</v>
      </c>
      <c r="J7" s="225" t="str">
        <f>_xlfn.IFS('角色卡 '!$I$15&lt;11,"E",'角色卡 '!$I$15&lt;21,"D",'角色卡 '!$I$15&lt;31,"C",'角色卡 '!$I$15&lt;41,"B",'角色卡 '!$I$15&lt;51,"A",'角色卡 '!$I$15&lt;56,"A+",'角色卡 '!$I$15&gt;55,"EX")</f>
        <v>EX</v>
      </c>
      <c r="K7" s="212"/>
      <c r="L7" s="213"/>
      <c r="M7" s="214"/>
      <c r="N7" s="214"/>
      <c r="O7" s="214"/>
      <c r="P7" s="214"/>
      <c r="Q7" s="214"/>
      <c r="R7" s="214"/>
      <c r="S7" s="214"/>
      <c r="T7" s="215"/>
    </row>
    <row r="8" spans="8:8" ht="15.6" customHeight="1">
      <c r="B8" s="226" t="s">
        <v>51</v>
      </c>
      <c r="C8" s="227" t="str">
        <f>C27</f>
        <v>男</v>
      </c>
      <c r="D8" s="227"/>
      <c r="E8" s="228" t="s">
        <v>114</v>
      </c>
      <c r="F8" s="228"/>
      <c r="G8" s="229"/>
      <c r="H8" s="229"/>
      <c r="I8" s="229"/>
      <c r="J8" s="230"/>
      <c r="K8" s="212"/>
      <c r="L8" s="213"/>
      <c r="M8" s="214"/>
      <c r="N8" s="214"/>
      <c r="O8" s="214"/>
      <c r="P8" s="214"/>
      <c r="Q8" s="214"/>
      <c r="R8" s="214"/>
      <c r="S8" s="214"/>
      <c r="T8" s="215"/>
    </row>
    <row r="9" spans="8:8" ht="15.6" customHeight="1">
      <c r="B9" s="231" t="s">
        <v>115</v>
      </c>
      <c r="C9" s="214">
        <v>182.0</v>
      </c>
      <c r="D9" s="214"/>
      <c r="E9" s="232"/>
      <c r="F9" s="232"/>
      <c r="G9" s="233"/>
      <c r="H9" s="233"/>
      <c r="I9" s="233"/>
      <c r="J9" s="234"/>
      <c r="K9" s="212"/>
      <c r="L9" s="213"/>
      <c r="M9" s="214"/>
      <c r="N9" s="214"/>
      <c r="O9" s="214"/>
      <c r="P9" s="214"/>
      <c r="Q9" s="214"/>
      <c r="R9" s="214"/>
      <c r="S9" s="214"/>
      <c r="T9" s="215"/>
    </row>
    <row r="10" spans="8:8" ht="15.6" customHeight="1">
      <c r="B10" s="231" t="s">
        <v>116</v>
      </c>
      <c r="C10" s="214">
        <v>42.0</v>
      </c>
      <c r="D10" s="214"/>
      <c r="E10" s="232"/>
      <c r="F10" s="232"/>
      <c r="G10" s="232"/>
      <c r="H10" s="232"/>
      <c r="I10" s="232"/>
      <c r="J10" s="235"/>
      <c r="K10" s="212"/>
      <c r="L10" s="213"/>
      <c r="M10" s="214"/>
      <c r="N10" s="214"/>
      <c r="O10" s="214"/>
      <c r="P10" s="214"/>
      <c r="Q10" s="214"/>
      <c r="R10" s="214"/>
      <c r="S10" s="214"/>
      <c r="T10" s="215"/>
    </row>
    <row r="11" spans="8:8" ht="15.6" customHeight="1">
      <c r="B11" s="236" t="s">
        <v>117</v>
      </c>
      <c r="C11" s="237"/>
      <c r="D11" s="237"/>
      <c r="E11" s="238" t="s">
        <v>118</v>
      </c>
      <c r="F11" s="238"/>
      <c r="G11" s="239"/>
      <c r="H11" s="239"/>
      <c r="I11" s="239"/>
      <c r="J11" s="240"/>
      <c r="K11" s="212"/>
      <c r="L11" s="213"/>
      <c r="M11" s="214"/>
      <c r="N11" s="214"/>
      <c r="O11" s="214"/>
      <c r="P11" s="214"/>
      <c r="Q11" s="214"/>
      <c r="R11" s="214"/>
      <c r="S11" s="214"/>
      <c r="T11" s="215"/>
    </row>
    <row r="12" spans="8:8" ht="15.6" customHeight="1">
      <c r="B12" s="241" t="s">
        <v>498</v>
      </c>
      <c r="C12" s="242"/>
      <c r="D12" s="242"/>
      <c r="E12" s="243"/>
      <c r="F12" s="243"/>
      <c r="G12" s="244"/>
      <c r="H12" s="244"/>
      <c r="I12" s="244"/>
      <c r="J12" s="245"/>
      <c r="K12" s="212"/>
      <c r="L12" s="213"/>
      <c r="M12" s="214"/>
      <c r="N12" s="214"/>
      <c r="O12" s="214"/>
      <c r="P12" s="214"/>
      <c r="Q12" s="214"/>
      <c r="R12" s="214"/>
      <c r="S12" s="214"/>
      <c r="T12" s="215"/>
    </row>
    <row r="13" spans="8:8" ht="15.6" customHeight="1">
      <c r="B13" s="241"/>
      <c r="C13" s="242"/>
      <c r="D13" s="242"/>
      <c r="E13" s="243"/>
      <c r="F13" s="243"/>
      <c r="G13" s="243"/>
      <c r="H13" s="243"/>
      <c r="I13" s="243"/>
      <c r="J13" s="246"/>
      <c r="K13" s="212"/>
      <c r="L13" s="213"/>
      <c r="M13" s="214"/>
      <c r="N13" s="214"/>
      <c r="O13" s="214"/>
      <c r="P13" s="214"/>
      <c r="Q13" s="214"/>
      <c r="R13" s="214"/>
      <c r="S13" s="214"/>
      <c r="T13" s="215"/>
    </row>
    <row r="14" spans="8:8" ht="15.6" customHeight="1">
      <c r="B14" s="247" t="s">
        <v>30</v>
      </c>
      <c r="C14" s="248"/>
      <c r="D14" s="248"/>
      <c r="E14" s="238" t="s">
        <v>119</v>
      </c>
      <c r="F14" s="238"/>
      <c r="G14" s="239"/>
      <c r="H14" s="239"/>
      <c r="I14" s="239"/>
      <c r="J14" s="240"/>
      <c r="K14" s="212"/>
      <c r="L14" s="213"/>
      <c r="M14" s="214"/>
      <c r="N14" s="214"/>
      <c r="O14" s="214"/>
      <c r="P14" s="214"/>
      <c r="Q14" s="214"/>
      <c r="R14" s="214"/>
      <c r="S14" s="214"/>
      <c r="T14" s="215"/>
    </row>
    <row r="15" spans="8:8" ht="15.6" customHeight="1">
      <c r="B15" s="249" t="s">
        <v>120</v>
      </c>
      <c r="C15" s="250"/>
      <c r="D15" s="250"/>
      <c r="E15" s="243"/>
      <c r="F15" s="243"/>
      <c r="G15" s="244"/>
      <c r="H15" s="244"/>
      <c r="I15" s="244"/>
      <c r="J15" s="245"/>
      <c r="K15" s="212"/>
      <c r="L15" s="213"/>
      <c r="M15" s="214"/>
      <c r="N15" s="214"/>
      <c r="O15" s="214"/>
      <c r="P15" s="214"/>
      <c r="Q15" s="214"/>
      <c r="R15" s="214"/>
      <c r="S15" s="214"/>
      <c r="T15" s="215"/>
    </row>
    <row r="16" spans="8:8" ht="15.6" customHeight="1">
      <c r="B16" s="251"/>
      <c r="C16" s="252"/>
      <c r="D16" s="252"/>
      <c r="E16" s="253"/>
      <c r="F16" s="253"/>
      <c r="G16" s="253"/>
      <c r="H16" s="253"/>
      <c r="I16" s="253"/>
      <c r="J16" s="254"/>
      <c r="K16" s="212"/>
      <c r="L16" s="213"/>
      <c r="M16" s="214"/>
      <c r="N16" s="214"/>
      <c r="O16" s="214"/>
      <c r="P16" s="214"/>
      <c r="Q16" s="214"/>
      <c r="R16" s="214"/>
      <c r="S16" s="214"/>
      <c r="T16" s="215"/>
    </row>
    <row r="17" spans="8:8" ht="15.6" customHeight="1">
      <c r="B17" s="255" t="s">
        <v>121</v>
      </c>
      <c r="C17" s="256"/>
      <c r="D17" s="256"/>
      <c r="E17" s="257" t="s">
        <v>122</v>
      </c>
      <c r="F17" s="257"/>
      <c r="G17" s="257"/>
      <c r="H17" s="258" t="s">
        <v>123</v>
      </c>
      <c r="I17" s="256"/>
      <c r="J17" s="259"/>
      <c r="K17" s="212"/>
      <c r="L17" s="213"/>
      <c r="M17" s="214"/>
      <c r="N17" s="214"/>
      <c r="O17" s="214"/>
      <c r="P17" s="214"/>
      <c r="Q17" s="214"/>
      <c r="R17" s="214"/>
      <c r="S17" s="214"/>
      <c r="T17" s="215"/>
    </row>
    <row r="18" spans="8:8" ht="15.6" customHeight="1">
      <c r="B18" s="255"/>
      <c r="C18" s="256"/>
      <c r="D18" s="256"/>
      <c r="E18" s="260" t="s">
        <v>124</v>
      </c>
      <c r="F18" s="260"/>
      <c r="G18" s="260"/>
      <c r="H18" s="258"/>
      <c r="I18" s="256"/>
      <c r="J18" s="259"/>
      <c r="K18" s="212"/>
      <c r="L18" s="213"/>
      <c r="M18" s="214"/>
      <c r="N18" s="214"/>
      <c r="O18" s="214"/>
      <c r="P18" s="214"/>
      <c r="Q18" s="214"/>
      <c r="R18" s="214"/>
      <c r="S18" s="214"/>
      <c r="T18" s="215"/>
    </row>
    <row r="19" spans="8:8" ht="15.6" customHeight="1">
      <c r="B19" s="255"/>
      <c r="C19" s="256"/>
      <c r="D19" s="256"/>
      <c r="E19" s="261" t="s">
        <v>79</v>
      </c>
      <c r="F19" s="261"/>
      <c r="G19" s="261"/>
      <c r="H19" s="258"/>
      <c r="I19" s="256"/>
      <c r="J19" s="259"/>
      <c r="K19" s="212"/>
      <c r="L19" s="213"/>
      <c r="M19" s="214"/>
      <c r="N19" s="214"/>
      <c r="O19" s="214"/>
      <c r="P19" s="214"/>
      <c r="Q19" s="214"/>
      <c r="R19" s="214"/>
      <c r="S19" s="214"/>
      <c r="T19" s="215"/>
    </row>
    <row r="20" spans="8:8" ht="15.6" customHeight="1">
      <c r="B20" s="255"/>
      <c r="C20" s="256"/>
      <c r="D20" s="256"/>
      <c r="E20" s="260"/>
      <c r="F20" s="260"/>
      <c r="G20" s="260"/>
      <c r="H20" s="258"/>
      <c r="I20" s="256"/>
      <c r="J20" s="259"/>
      <c r="K20" s="212"/>
      <c r="L20" s="213"/>
      <c r="M20" s="214"/>
      <c r="N20" s="214"/>
      <c r="O20" s="214"/>
      <c r="P20" s="214"/>
      <c r="Q20" s="214"/>
      <c r="R20" s="214"/>
      <c r="S20" s="214"/>
      <c r="T20" s="215"/>
    </row>
    <row r="21" spans="8:8" ht="15.6" customHeight="1">
      <c r="B21" s="255"/>
      <c r="C21" s="256"/>
      <c r="D21" s="256"/>
      <c r="E21" s="262" t="s">
        <v>125</v>
      </c>
      <c r="F21" s="214"/>
      <c r="G21" s="214"/>
      <c r="H21" s="258"/>
      <c r="I21" s="256"/>
      <c r="J21" s="259"/>
      <c r="K21" s="212"/>
      <c r="L21" s="213"/>
      <c r="M21" s="214"/>
      <c r="N21" s="214"/>
      <c r="O21" s="214"/>
      <c r="P21" s="214"/>
      <c r="Q21" s="214"/>
      <c r="R21" s="214"/>
      <c r="S21" s="214"/>
      <c r="T21" s="215"/>
    </row>
    <row r="22" spans="8:8" ht="15.6" customHeight="1">
      <c r="B22" s="255"/>
      <c r="C22" s="256"/>
      <c r="D22" s="256"/>
      <c r="E22" s="262" t="s">
        <v>126</v>
      </c>
      <c r="F22" s="214"/>
      <c r="G22" s="214"/>
      <c r="H22" s="258"/>
      <c r="I22" s="256"/>
      <c r="J22" s="259"/>
      <c r="K22" s="212"/>
      <c r="L22" s="213"/>
      <c r="M22" s="214"/>
      <c r="N22" s="214"/>
      <c r="O22" s="214"/>
      <c r="P22" s="214"/>
      <c r="Q22" s="214"/>
      <c r="R22" s="214"/>
      <c r="S22" s="214"/>
      <c r="T22" s="215"/>
    </row>
    <row r="23" spans="8:8" ht="15.6" customHeight="1">
      <c r="B23" s="255"/>
      <c r="C23" s="256"/>
      <c r="D23" s="256"/>
      <c r="E23" s="262" t="s">
        <v>127</v>
      </c>
      <c r="F23" s="214"/>
      <c r="G23" s="214"/>
      <c r="H23" s="258"/>
      <c r="I23" s="256"/>
      <c r="J23" s="259"/>
      <c r="K23" s="212"/>
      <c r="L23" s="213"/>
      <c r="M23" s="214"/>
      <c r="N23" s="214"/>
      <c r="O23" s="214"/>
      <c r="P23" s="214"/>
      <c r="Q23" s="214"/>
      <c r="R23" s="214"/>
      <c r="S23" s="214"/>
      <c r="T23" s="215"/>
    </row>
    <row r="24" spans="8:8" ht="15.6" customHeight="1">
      <c r="B24" s="263"/>
      <c r="C24" s="264"/>
      <c r="D24" s="264"/>
      <c r="E24" s="265" t="s">
        <v>128</v>
      </c>
      <c r="F24" s="266"/>
      <c r="G24" s="266"/>
      <c r="H24" s="267"/>
      <c r="I24" s="264"/>
      <c r="J24" s="268"/>
      <c r="K24" s="212"/>
      <c r="L24" s="213"/>
      <c r="M24" s="214"/>
      <c r="N24" s="214"/>
      <c r="O24" s="214"/>
      <c r="P24" s="214"/>
      <c r="Q24" s="214"/>
      <c r="R24" s="214"/>
      <c r="S24" s="214"/>
      <c r="T24" s="215"/>
    </row>
    <row r="25" spans="8:8" ht="15.6" customHeight="1">
      <c r="B25" s="269" t="s">
        <v>129</v>
      </c>
      <c r="C25" s="270" t="s">
        <v>494</v>
      </c>
      <c r="D25" s="271"/>
      <c r="E25" s="272" t="s">
        <v>130</v>
      </c>
      <c r="F25" s="272"/>
      <c r="G25" s="272"/>
      <c r="H25" s="272"/>
      <c r="I25" s="272"/>
      <c r="J25" s="273"/>
      <c r="K25" s="212"/>
      <c r="L25" s="274" t="s">
        <v>131</v>
      </c>
      <c r="M25" s="275"/>
      <c r="N25" s="275"/>
      <c r="O25" s="275"/>
      <c r="P25" s="275"/>
      <c r="Q25" s="275"/>
      <c r="R25" s="275"/>
      <c r="S25" s="275"/>
      <c r="T25" s="276"/>
    </row>
    <row r="26" spans="8:8" ht="15.6" customHeight="1">
      <c r="B26" s="277" t="s">
        <v>132</v>
      </c>
      <c r="C26" s="278" t="s">
        <v>495</v>
      </c>
      <c r="D26" s="279"/>
      <c r="E26" s="280" t="s">
        <v>133</v>
      </c>
      <c r="F26" s="280"/>
      <c r="G26" s="280"/>
      <c r="H26" s="280"/>
      <c r="I26" s="280"/>
      <c r="J26" s="281"/>
      <c r="K26" s="212"/>
      <c r="L26" s="213"/>
      <c r="M26" s="214"/>
      <c r="N26" s="214"/>
      <c r="O26" s="214"/>
      <c r="P26" s="214"/>
      <c r="Q26" s="214"/>
      <c r="R26" s="214"/>
      <c r="S26" s="214"/>
      <c r="T26" s="215"/>
    </row>
    <row r="27" spans="8:8" ht="15.6" customHeight="1">
      <c r="B27" s="282" t="s">
        <v>51</v>
      </c>
      <c r="C27" s="278" t="s">
        <v>496</v>
      </c>
      <c r="D27" s="279"/>
      <c r="E27" s="280"/>
      <c r="F27" s="280"/>
      <c r="G27" s="280"/>
      <c r="H27" s="280"/>
      <c r="I27" s="280"/>
      <c r="J27" s="281"/>
      <c r="K27" s="212"/>
      <c r="L27" s="213"/>
      <c r="M27" s="214"/>
      <c r="N27" s="214"/>
      <c r="O27" s="214"/>
      <c r="P27" s="214"/>
      <c r="Q27" s="214"/>
      <c r="R27" s="214"/>
      <c r="S27" s="214"/>
      <c r="T27" s="215"/>
    </row>
    <row r="28" spans="8:8" ht="15.6" customHeight="1">
      <c r="B28" s="282" t="s">
        <v>135</v>
      </c>
      <c r="C28" s="278" t="s">
        <v>497</v>
      </c>
      <c r="D28" s="279"/>
      <c r="E28" s="280"/>
      <c r="F28" s="280"/>
      <c r="G28" s="280"/>
      <c r="H28" s="280"/>
      <c r="I28" s="280"/>
      <c r="J28" s="281"/>
      <c r="K28" s="212"/>
      <c r="L28" s="213"/>
      <c r="M28" s="214"/>
      <c r="N28" s="214"/>
      <c r="O28" s="214"/>
      <c r="P28" s="214"/>
      <c r="Q28" s="214"/>
      <c r="R28" s="214"/>
      <c r="S28" s="214"/>
      <c r="T28" s="215"/>
    </row>
    <row r="29" spans="8:8" ht="15.6" customHeight="1">
      <c r="B29" s="282" t="s">
        <v>136</v>
      </c>
      <c r="C29" s="278"/>
      <c r="D29" s="279"/>
      <c r="E29" s="280"/>
      <c r="F29" s="280"/>
      <c r="G29" s="280"/>
      <c r="H29" s="280"/>
      <c r="I29" s="280"/>
      <c r="J29" s="281"/>
      <c r="K29" s="212"/>
      <c r="L29" s="274" t="s">
        <v>137</v>
      </c>
      <c r="M29" s="275"/>
      <c r="N29" s="275"/>
      <c r="O29" s="275"/>
      <c r="P29" s="275"/>
      <c r="Q29" s="275"/>
      <c r="R29" s="275"/>
      <c r="S29" s="275"/>
      <c r="T29" s="276"/>
    </row>
    <row r="30" spans="8:8" ht="15.6" customHeight="1">
      <c r="B30" s="283" t="s">
        <v>138</v>
      </c>
      <c r="C30" s="284"/>
      <c r="D30" s="285"/>
      <c r="E30" s="286"/>
      <c r="F30" s="286"/>
      <c r="G30" s="286"/>
      <c r="H30" s="286"/>
      <c r="I30" s="286"/>
      <c r="J30" s="287"/>
      <c r="K30" s="212"/>
      <c r="L30" s="213"/>
      <c r="M30" s="214"/>
      <c r="N30" s="214"/>
      <c r="O30" s="214"/>
      <c r="P30" s="214"/>
      <c r="Q30" s="214"/>
      <c r="R30" s="214"/>
      <c r="S30" s="214"/>
      <c r="T30" s="215"/>
    </row>
    <row r="31" spans="8:8" ht="15.6" customHeight="1">
      <c r="B31" s="288" t="s">
        <v>139</v>
      </c>
      <c r="C31" s="289"/>
      <c r="D31" s="289"/>
      <c r="E31" s="289"/>
      <c r="F31" s="289"/>
      <c r="G31" s="289"/>
      <c r="H31" s="289"/>
      <c r="I31" s="289"/>
      <c r="J31" s="290"/>
      <c r="K31" s="212"/>
      <c r="L31" s="213"/>
      <c r="M31" s="214"/>
      <c r="N31" s="214"/>
      <c r="O31" s="214"/>
      <c r="P31" s="214"/>
      <c r="Q31" s="214"/>
      <c r="R31" s="214"/>
      <c r="S31" s="214"/>
      <c r="T31" s="215"/>
    </row>
    <row r="32" spans="8:8" ht="15.6" customHeight="1">
      <c r="B32" s="291" t="s">
        <v>140</v>
      </c>
      <c r="C32" s="292"/>
      <c r="D32" s="293"/>
      <c r="E32" s="293"/>
      <c r="F32" s="293"/>
      <c r="G32" s="293"/>
      <c r="H32" s="293"/>
      <c r="I32" s="293"/>
      <c r="J32" s="294"/>
      <c r="K32" s="212"/>
      <c r="L32" s="213"/>
      <c r="M32" s="214"/>
      <c r="N32" s="214"/>
      <c r="O32" s="214"/>
      <c r="P32" s="214"/>
      <c r="Q32" s="214"/>
      <c r="R32" s="214"/>
      <c r="S32" s="214"/>
      <c r="T32" s="215"/>
    </row>
    <row r="33" spans="8:8" ht="15.6" customHeight="1">
      <c r="B33" s="291"/>
      <c r="C33" s="292"/>
      <c r="D33" s="293"/>
      <c r="E33" s="293"/>
      <c r="F33" s="293"/>
      <c r="G33" s="293"/>
      <c r="H33" s="293"/>
      <c r="I33" s="293"/>
      <c r="J33" s="294"/>
      <c r="K33" s="212"/>
      <c r="L33" s="274" t="s">
        <v>141</v>
      </c>
      <c r="M33" s="275"/>
      <c r="N33" s="275"/>
      <c r="O33" s="275"/>
      <c r="P33" s="275"/>
      <c r="Q33" s="275"/>
      <c r="R33" s="275"/>
      <c r="S33" s="275"/>
      <c r="T33" s="276"/>
    </row>
    <row r="34" spans="8:8" ht="15.6" customHeight="1">
      <c r="B34" s="291"/>
      <c r="C34" s="292"/>
      <c r="D34" s="293"/>
      <c r="E34" s="293"/>
      <c r="F34" s="293"/>
      <c r="G34" s="293"/>
      <c r="H34" s="293"/>
      <c r="I34" s="293"/>
      <c r="J34" s="294"/>
      <c r="K34" s="212"/>
      <c r="L34" s="213"/>
      <c r="M34" s="214"/>
      <c r="N34" s="214"/>
      <c r="O34" s="214"/>
      <c r="P34" s="214"/>
      <c r="Q34" s="214"/>
      <c r="R34" s="214"/>
      <c r="S34" s="214"/>
      <c r="T34" s="215"/>
    </row>
    <row r="35" spans="8:8" ht="15.6" customHeight="1">
      <c r="B35" s="291"/>
      <c r="C35" s="292"/>
      <c r="D35" s="293"/>
      <c r="E35" s="293"/>
      <c r="F35" s="293"/>
      <c r="G35" s="293"/>
      <c r="H35" s="293"/>
      <c r="I35" s="293"/>
      <c r="J35" s="294"/>
      <c r="K35" s="212"/>
      <c r="L35" s="213"/>
      <c r="M35" s="214"/>
      <c r="N35" s="214"/>
      <c r="O35" s="214"/>
      <c r="P35" s="214"/>
      <c r="Q35" s="214"/>
      <c r="R35" s="214"/>
      <c r="S35" s="214"/>
      <c r="T35" s="215"/>
    </row>
    <row r="36" spans="8:8" ht="15.6" customHeight="1">
      <c r="B36" s="291"/>
      <c r="C36" s="293"/>
      <c r="D36" s="293"/>
      <c r="E36" s="295"/>
      <c r="F36" s="295"/>
      <c r="G36" s="295"/>
      <c r="H36" s="295"/>
      <c r="I36" s="293"/>
      <c r="J36" s="294"/>
      <c r="K36" s="212"/>
      <c r="L36" s="213"/>
      <c r="M36" s="214"/>
      <c r="N36" s="214"/>
      <c r="O36" s="214"/>
      <c r="P36" s="214"/>
      <c r="Q36" s="214"/>
      <c r="R36" s="214"/>
      <c r="S36" s="214"/>
      <c r="T36" s="215"/>
    </row>
    <row r="37" spans="8:8" ht="15.6" customHeight="1">
      <c r="B37" s="296"/>
      <c r="C37" s="292"/>
      <c r="D37" s="292"/>
      <c r="E37" s="292"/>
      <c r="F37" s="292"/>
      <c r="G37" s="292"/>
      <c r="H37" s="292"/>
      <c r="I37" s="293"/>
      <c r="J37" s="294"/>
      <c r="K37" s="212"/>
      <c r="L37" s="274" t="s">
        <v>142</v>
      </c>
      <c r="M37" s="275"/>
      <c r="N37" s="275"/>
      <c r="O37" s="275"/>
      <c r="P37" s="275"/>
      <c r="Q37" s="275"/>
      <c r="R37" s="275"/>
      <c r="S37" s="275"/>
      <c r="T37" s="276"/>
    </row>
    <row r="38" spans="8:8" ht="15.6" customHeight="1">
      <c r="B38" s="296"/>
      <c r="C38" s="292"/>
      <c r="D38" s="292"/>
      <c r="E38" s="292"/>
      <c r="F38" s="292"/>
      <c r="G38" s="292"/>
      <c r="H38" s="292"/>
      <c r="I38" s="293"/>
      <c r="J38" s="294"/>
      <c r="K38" s="212"/>
      <c r="L38" s="213"/>
      <c r="M38" s="214"/>
      <c r="N38" s="214"/>
      <c r="O38" s="214"/>
      <c r="P38" s="214"/>
      <c r="Q38" s="214"/>
      <c r="R38" s="214"/>
      <c r="S38" s="214"/>
      <c r="T38" s="215"/>
    </row>
    <row r="39" spans="8:8" ht="15.6" customHeight="1">
      <c r="B39" s="296"/>
      <c r="C39" s="292"/>
      <c r="D39" s="292"/>
      <c r="E39" s="292"/>
      <c r="F39" s="292"/>
      <c r="G39" s="292"/>
      <c r="H39" s="292"/>
      <c r="I39" s="293"/>
      <c r="J39" s="294"/>
      <c r="K39" s="212"/>
      <c r="L39" s="213"/>
      <c r="M39" s="214"/>
      <c r="N39" s="214"/>
      <c r="O39" s="214"/>
      <c r="P39" s="214"/>
      <c r="Q39" s="214"/>
      <c r="R39" s="214"/>
      <c r="S39" s="214"/>
      <c r="T39" s="215"/>
    </row>
    <row r="40" spans="8:8" ht="15.6" customHeight="1">
      <c r="B40" s="297" t="s">
        <v>143</v>
      </c>
      <c r="C40" s="298"/>
      <c r="D40" s="298"/>
      <c r="E40" s="298"/>
      <c r="F40" s="298"/>
      <c r="G40" s="298"/>
      <c r="H40" s="298"/>
      <c r="I40" s="298"/>
      <c r="J40" s="299"/>
      <c r="K40" s="212"/>
      <c r="L40" s="300"/>
      <c r="M40" s="266"/>
      <c r="N40" s="266"/>
      <c r="O40" s="266"/>
      <c r="P40" s="266"/>
      <c r="Q40" s="266"/>
      <c r="R40" s="266"/>
      <c r="S40" s="266"/>
      <c r="T40" s="301"/>
    </row>
    <row r="41" spans="8:8" ht="15.6" customHeight="1">
      <c r="B41" s="302" t="s">
        <v>144</v>
      </c>
      <c r="C41" s="303"/>
      <c r="D41" s="303"/>
      <c r="E41" s="303"/>
      <c r="F41" s="303"/>
      <c r="G41" s="303"/>
      <c r="H41" s="303"/>
      <c r="I41" s="304"/>
      <c r="J41" s="305"/>
      <c r="K41" s="212"/>
      <c r="L41" s="306" t="s">
        <v>145</v>
      </c>
      <c r="M41" s="307"/>
      <c r="N41" s="307"/>
      <c r="O41" s="307"/>
      <c r="P41" s="307"/>
      <c r="Q41" s="307"/>
      <c r="R41" s="307"/>
      <c r="S41" s="307"/>
      <c r="T41" s="308"/>
    </row>
    <row r="42" spans="8:8" ht="15.6" customHeight="1">
      <c r="B42" s="309"/>
      <c r="C42" s="310"/>
      <c r="D42" s="310"/>
      <c r="E42" s="310"/>
      <c r="F42" s="310"/>
      <c r="G42" s="310"/>
      <c r="H42" s="310"/>
      <c r="I42" s="311"/>
      <c r="J42" s="312"/>
      <c r="K42" s="212"/>
      <c r="L42" s="313" t="s">
        <v>146</v>
      </c>
      <c r="M42" s="314"/>
      <c r="N42" s="314"/>
      <c r="O42" s="314"/>
      <c r="P42" s="314"/>
      <c r="Q42" s="314"/>
      <c r="R42" s="314"/>
      <c r="S42" s="314"/>
      <c r="T42" s="315"/>
    </row>
    <row r="43" spans="8:8" ht="15.6" customHeight="1">
      <c r="B43" s="316"/>
      <c r="C43" s="317"/>
      <c r="D43" s="317"/>
      <c r="E43" s="317"/>
      <c r="F43" s="317"/>
      <c r="G43" s="317"/>
      <c r="H43" s="317"/>
      <c r="I43" s="318"/>
      <c r="J43" s="319"/>
      <c r="K43" s="212"/>
      <c r="L43" s="313"/>
      <c r="M43" s="314"/>
      <c r="N43" s="314"/>
      <c r="O43" s="314"/>
      <c r="P43" s="314"/>
      <c r="Q43" s="314"/>
      <c r="R43" s="314"/>
      <c r="S43" s="314"/>
      <c r="T43" s="315"/>
    </row>
    <row r="44" spans="8:8" ht="15.6" customHeight="1">
      <c r="B44" s="297" t="s">
        <v>147</v>
      </c>
      <c r="C44" s="298"/>
      <c r="D44" s="298"/>
      <c r="E44" s="298"/>
      <c r="F44" s="298"/>
      <c r="G44" s="298"/>
      <c r="H44" s="298"/>
      <c r="I44" s="298"/>
      <c r="J44" s="299"/>
      <c r="K44" s="212"/>
      <c r="L44" s="313"/>
      <c r="M44" s="314"/>
      <c r="N44" s="314"/>
      <c r="O44" s="314"/>
      <c r="P44" s="314"/>
      <c r="Q44" s="314"/>
      <c r="R44" s="314"/>
      <c r="S44" s="314"/>
      <c r="T44" s="315"/>
    </row>
    <row r="45" spans="8:8" ht="15.6" customHeight="1">
      <c r="B45" s="241" t="s">
        <v>148</v>
      </c>
      <c r="C45" s="242"/>
      <c r="D45" s="242"/>
      <c r="E45" s="242"/>
      <c r="F45" s="242"/>
      <c r="G45" s="242"/>
      <c r="H45" s="242"/>
      <c r="I45" s="242"/>
      <c r="J45" s="320"/>
      <c r="K45" s="212"/>
      <c r="L45" s="313"/>
      <c r="M45" s="314"/>
      <c r="N45" s="314"/>
      <c r="O45" s="314"/>
      <c r="P45" s="314"/>
      <c r="Q45" s="314"/>
      <c r="R45" s="314"/>
      <c r="S45" s="314"/>
      <c r="T45" s="315"/>
    </row>
    <row r="46" spans="8:8" ht="15.6" customHeight="1">
      <c r="B46" s="241"/>
      <c r="C46" s="242"/>
      <c r="D46" s="242"/>
      <c r="E46" s="242"/>
      <c r="F46" s="242"/>
      <c r="G46" s="242"/>
      <c r="H46" s="242"/>
      <c r="I46" s="242"/>
      <c r="J46" s="320"/>
      <c r="K46" s="212"/>
      <c r="L46" s="313"/>
      <c r="M46" s="314"/>
      <c r="N46" s="314"/>
      <c r="O46" s="314"/>
      <c r="P46" s="314"/>
      <c r="Q46" s="314"/>
      <c r="R46" s="314"/>
      <c r="S46" s="314"/>
      <c r="T46" s="315"/>
    </row>
    <row r="47" spans="8:8" ht="15.6" customHeight="1">
      <c r="B47" s="241"/>
      <c r="C47" s="242"/>
      <c r="D47" s="242"/>
      <c r="E47" s="242"/>
      <c r="F47" s="242"/>
      <c r="G47" s="242"/>
      <c r="H47" s="242"/>
      <c r="I47" s="242"/>
      <c r="J47" s="320"/>
      <c r="K47" s="212"/>
      <c r="L47" s="313"/>
      <c r="M47" s="314"/>
      <c r="N47" s="314"/>
      <c r="O47" s="314"/>
      <c r="P47" s="314"/>
      <c r="Q47" s="314"/>
      <c r="R47" s="314"/>
      <c r="S47" s="314"/>
      <c r="T47" s="315"/>
    </row>
    <row r="48" spans="8:8" ht="15.6" customHeight="1">
      <c r="B48" s="321"/>
      <c r="C48" s="322"/>
      <c r="D48" s="322"/>
      <c r="E48" s="322"/>
      <c r="F48" s="322"/>
      <c r="G48" s="322"/>
      <c r="H48" s="322"/>
      <c r="I48" s="322"/>
      <c r="J48" s="323"/>
      <c r="K48" s="212"/>
      <c r="L48" s="313"/>
      <c r="M48" s="314"/>
      <c r="N48" s="314"/>
      <c r="O48" s="314"/>
      <c r="P48" s="314"/>
      <c r="Q48" s="314"/>
      <c r="R48" s="314"/>
      <c r="S48" s="314"/>
      <c r="T48" s="315"/>
    </row>
    <row r="49" spans="8:8" ht="15.6" customHeight="1">
      <c r="B49" s="324" t="s">
        <v>149</v>
      </c>
      <c r="C49" s="325"/>
      <c r="D49" s="325"/>
      <c r="E49" s="325"/>
      <c r="F49" s="325"/>
      <c r="G49" s="325"/>
      <c r="H49" s="325"/>
      <c r="I49" s="325"/>
      <c r="J49" s="326"/>
      <c r="K49" s="212"/>
      <c r="L49" s="313"/>
      <c r="M49" s="314"/>
      <c r="N49" s="314"/>
      <c r="O49" s="314"/>
      <c r="P49" s="314"/>
      <c r="Q49" s="314"/>
      <c r="R49" s="314"/>
      <c r="S49" s="314"/>
      <c r="T49" s="315"/>
    </row>
    <row r="50" spans="8:8" ht="15.6" customHeight="1">
      <c r="B50" s="327" t="s">
        <v>150</v>
      </c>
      <c r="C50" s="328" t="s">
        <v>151</v>
      </c>
      <c r="D50" s="328"/>
      <c r="E50" s="328"/>
      <c r="F50" s="328"/>
      <c r="G50" s="328"/>
      <c r="H50" s="328"/>
      <c r="I50" s="328"/>
      <c r="J50" s="329"/>
      <c r="K50" s="212"/>
      <c r="L50" s="313"/>
      <c r="M50" s="314"/>
      <c r="N50" s="314"/>
      <c r="O50" s="314"/>
      <c r="P50" s="314"/>
      <c r="Q50" s="314"/>
      <c r="R50" s="314"/>
      <c r="S50" s="314"/>
      <c r="T50" s="315"/>
    </row>
    <row r="51" spans="8:8" ht="15.6" customHeight="1">
      <c r="B51" s="330" t="s">
        <v>152</v>
      </c>
      <c r="C51" s="331" t="s">
        <v>153</v>
      </c>
      <c r="D51" s="332"/>
      <c r="E51" s="332"/>
      <c r="F51" s="332"/>
      <c r="G51" s="332"/>
      <c r="H51" s="332"/>
      <c r="I51" s="332"/>
      <c r="J51" s="333"/>
      <c r="K51" s="212"/>
      <c r="L51" s="313"/>
      <c r="M51" s="314"/>
      <c r="N51" s="314"/>
      <c r="O51" s="314"/>
      <c r="P51" s="314"/>
      <c r="Q51" s="314"/>
      <c r="R51" s="314"/>
      <c r="S51" s="314"/>
      <c r="T51" s="315"/>
    </row>
    <row r="52" spans="8:8" ht="15.6" customHeight="1">
      <c r="B52" s="330" t="s">
        <v>154</v>
      </c>
      <c r="C52" s="334" t="s">
        <v>155</v>
      </c>
      <c r="D52" s="335"/>
      <c r="E52" s="335"/>
      <c r="F52" s="335"/>
      <c r="G52" s="335"/>
      <c r="H52" s="335"/>
      <c r="I52" s="335"/>
      <c r="J52" s="336"/>
      <c r="K52" s="212"/>
      <c r="L52" s="313"/>
      <c r="M52" s="314"/>
      <c r="N52" s="314"/>
      <c r="O52" s="314"/>
      <c r="P52" s="314"/>
      <c r="Q52" s="314"/>
      <c r="R52" s="314"/>
      <c r="S52" s="314"/>
      <c r="T52" s="315"/>
    </row>
    <row r="53" spans="8:8" ht="15.6" customHeight="1">
      <c r="B53" s="330"/>
      <c r="C53" s="337"/>
      <c r="D53" s="338"/>
      <c r="E53" s="338"/>
      <c r="F53" s="338"/>
      <c r="G53" s="338"/>
      <c r="H53" s="338"/>
      <c r="I53" s="338"/>
      <c r="J53" s="339"/>
      <c r="K53" s="212"/>
      <c r="L53" s="313"/>
      <c r="M53" s="314"/>
      <c r="N53" s="314"/>
      <c r="O53" s="314"/>
      <c r="P53" s="314"/>
      <c r="Q53" s="314"/>
      <c r="R53" s="314"/>
      <c r="S53" s="314"/>
      <c r="T53" s="315"/>
    </row>
    <row r="54" spans="8:8" ht="15.6" customHeight="1">
      <c r="B54" s="340"/>
      <c r="C54" s="341"/>
      <c r="D54" s="342"/>
      <c r="E54" s="342"/>
      <c r="F54" s="342"/>
      <c r="G54" s="342"/>
      <c r="H54" s="342"/>
      <c r="I54" s="342"/>
      <c r="J54" s="343"/>
      <c r="K54" s="344"/>
      <c r="L54" s="345"/>
      <c r="M54" s="346"/>
      <c r="N54" s="346"/>
      <c r="O54" s="346"/>
      <c r="P54" s="346"/>
      <c r="Q54" s="346"/>
      <c r="R54" s="346"/>
      <c r="S54" s="346"/>
      <c r="T54" s="347"/>
    </row>
    <row r="55" spans="8:8" ht="15.6" customHeight="1"/>
    <row r="56" spans="8:8" ht="15.6" customHeight="1">
      <c r="B56" s="348"/>
      <c r="C56" s="348"/>
      <c r="D56" s="348"/>
    </row>
    <row r="57" spans="8:8" ht="15.6" customHeight="1">
      <c r="B57" s="348"/>
      <c r="C57" s="348"/>
      <c r="D57" s="348"/>
    </row>
    <row r="58" spans="8:8" ht="15.6" customHeight="1">
      <c r="B58" s="348"/>
      <c r="C58" s="348"/>
      <c r="D58" s="348"/>
    </row>
    <row r="59" spans="8:8" ht="15.6" customHeight="1">
      <c r="B59" s="348"/>
      <c r="C59" s="348"/>
      <c r="D59" s="348"/>
    </row>
    <row r="60" spans="8:8" ht="15.6" customHeight="1">
      <c r="B60" s="348"/>
      <c r="C60" s="348"/>
      <c r="D60" s="348"/>
    </row>
    <row r="61" spans="8:8" ht="15.6" customHeight="1">
      <c r="B61" s="348"/>
      <c r="C61" s="348"/>
      <c r="D61" s="348"/>
    </row>
    <row r="62" spans="8:8" ht="15.6" customHeight="1">
      <c r="B62" s="348"/>
      <c r="C62" s="348"/>
      <c r="D62" s="348"/>
    </row>
    <row r="63" spans="8:8" ht="15.6" customHeight="1">
      <c r="B63" s="348"/>
      <c r="C63" s="348"/>
      <c r="D63" s="348"/>
    </row>
    <row r="64" spans="8:8" ht="15.6" customHeight="1">
      <c r="B64" s="348"/>
      <c r="C64" s="348"/>
      <c r="D64" s="348"/>
    </row>
    <row r="65" spans="8:8" ht="15.6" customHeight="1">
      <c r="B65" s="348"/>
      <c r="C65" s="348"/>
      <c r="D65" s="348"/>
    </row>
    <row r="66" spans="8:8" ht="15.6" customHeight="1">
      <c r="B66" s="348"/>
      <c r="C66" s="348"/>
      <c r="D66" s="348"/>
    </row>
    <row r="67" spans="8:8" ht="15.6" customHeight="1">
      <c r="B67" s="348"/>
      <c r="C67" s="348"/>
      <c r="D67" s="348"/>
    </row>
    <row r="68" spans="8:8" ht="15.6" customHeight="1">
      <c r="B68" s="348"/>
      <c r="C68" s="348"/>
      <c r="D68" s="348"/>
    </row>
    <row r="69" spans="8:8" ht="15.6" customHeight="1">
      <c r="B69" s="348"/>
      <c r="C69" s="348"/>
      <c r="D69" s="348"/>
      <c r="E69" s="348"/>
      <c r="F69" s="348"/>
      <c r="G69" s="348"/>
      <c r="H69" s="348"/>
      <c r="I69" s="348"/>
      <c r="J69" s="348"/>
    </row>
    <row r="70" spans="8:8" ht="15.6" customHeight="1">
      <c r="B70" s="348"/>
      <c r="C70" s="348"/>
      <c r="D70" s="348"/>
      <c r="E70" s="348"/>
      <c r="F70" s="348"/>
      <c r="G70" s="348"/>
      <c r="H70" s="348"/>
      <c r="I70" s="348"/>
      <c r="J70" s="348"/>
    </row>
    <row r="71" spans="8:8" ht="15.6" customHeight="1">
      <c r="B71" s="348"/>
      <c r="C71" s="348"/>
      <c r="D71" s="348"/>
      <c r="E71" s="348"/>
      <c r="F71" s="348"/>
      <c r="G71" s="348"/>
      <c r="H71" s="348"/>
      <c r="I71" s="348"/>
      <c r="J71" s="348"/>
    </row>
    <row r="72" spans="8:8">
      <c r="B72" s="348"/>
      <c r="C72" s="348"/>
      <c r="D72" s="348"/>
      <c r="E72" s="348"/>
      <c r="F72" s="348"/>
      <c r="G72" s="348"/>
      <c r="H72" s="348"/>
      <c r="I72" s="348"/>
      <c r="J72" s="348"/>
    </row>
    <row r="73" spans="8:8">
      <c r="B73" s="348"/>
      <c r="C73" s="348"/>
      <c r="D73" s="348"/>
      <c r="E73" s="348"/>
      <c r="F73" s="348"/>
      <c r="G73" s="348"/>
      <c r="H73" s="348"/>
      <c r="I73" s="348"/>
      <c r="J73" s="348"/>
    </row>
    <row r="74" spans="8:8">
      <c r="B74" s="348"/>
      <c r="C74" s="348"/>
      <c r="D74" s="348"/>
      <c r="E74" s="348"/>
      <c r="F74" s="348"/>
      <c r="G74" s="348"/>
      <c r="H74" s="348"/>
      <c r="I74" s="348"/>
      <c r="J74" s="348"/>
    </row>
    <row r="75" spans="8:8">
      <c r="B75" s="348"/>
      <c r="C75" s="348"/>
      <c r="D75" s="348"/>
      <c r="E75" s="348"/>
      <c r="F75" s="348"/>
      <c r="G75" s="348"/>
      <c r="H75" s="348"/>
      <c r="I75" s="348"/>
      <c r="J75" s="348"/>
    </row>
    <row r="76" spans="8:8">
      <c r="B76" s="348"/>
      <c r="C76" s="348"/>
      <c r="D76" s="348"/>
      <c r="E76" s="348"/>
      <c r="F76" s="348"/>
      <c r="G76" s="348"/>
      <c r="H76" s="348"/>
      <c r="I76" s="348"/>
      <c r="J76" s="348"/>
    </row>
    <row r="77" spans="8:8">
      <c r="B77" s="348"/>
      <c r="C77" s="348"/>
      <c r="D77" s="348"/>
      <c r="E77" s="348"/>
      <c r="F77" s="348"/>
      <c r="G77" s="348"/>
      <c r="H77" s="348"/>
      <c r="I77" s="348"/>
      <c r="J77" s="348"/>
    </row>
    <row r="78" spans="8:8">
      <c r="B78" s="348"/>
      <c r="C78" s="348"/>
      <c r="D78" s="348"/>
      <c r="E78" s="348"/>
      <c r="F78" s="348"/>
      <c r="G78" s="348"/>
      <c r="H78" s="348"/>
      <c r="I78" s="348"/>
      <c r="J78" s="348"/>
    </row>
    <row r="79" spans="8:8">
      <c r="B79" s="348"/>
      <c r="C79" s="348"/>
      <c r="D79" s="348"/>
      <c r="E79" s="348"/>
      <c r="F79" s="348"/>
      <c r="G79" s="348"/>
      <c r="H79" s="348"/>
      <c r="I79" s="348"/>
      <c r="J79" s="348"/>
    </row>
    <row r="80" spans="8:8">
      <c r="B80" s="348"/>
      <c r="C80" s="348"/>
      <c r="D80" s="348"/>
      <c r="E80" s="348"/>
      <c r="F80" s="348"/>
      <c r="G80" s="348"/>
      <c r="H80" s="348"/>
      <c r="I80" s="348"/>
      <c r="J80" s="348"/>
    </row>
    <row r="81" spans="8:8">
      <c r="B81" s="348"/>
      <c r="C81" s="348"/>
      <c r="D81" s="348"/>
      <c r="E81" s="348"/>
      <c r="F81" s="348"/>
      <c r="G81" s="348"/>
      <c r="H81" s="348"/>
      <c r="I81" s="348"/>
      <c r="J81" s="348"/>
    </row>
    <row r="82" spans="8:8">
      <c r="B82" s="348"/>
      <c r="C82" s="348"/>
      <c r="D82" s="348"/>
      <c r="E82" s="348"/>
      <c r="F82" s="348"/>
      <c r="G82" s="348"/>
      <c r="H82" s="348"/>
      <c r="I82" s="348"/>
      <c r="J82" s="348"/>
      <c r="K82" s="348"/>
    </row>
    <row r="83" spans="8:8">
      <c r="B83" s="348"/>
      <c r="C83" s="348"/>
      <c r="D83" s="348"/>
      <c r="E83" s="348"/>
      <c r="F83" s="348"/>
      <c r="G83" s="348"/>
      <c r="H83" s="348"/>
      <c r="I83" s="348"/>
      <c r="J83" s="348"/>
      <c r="K83" s="348"/>
    </row>
    <row r="84" spans="8:8">
      <c r="B84" s="348"/>
      <c r="C84" s="348"/>
      <c r="D84" s="348"/>
      <c r="E84" s="348"/>
      <c r="F84" s="348"/>
      <c r="G84" s="348"/>
      <c r="H84" s="348"/>
      <c r="I84" s="348"/>
      <c r="J84" s="348"/>
      <c r="K84" s="348"/>
    </row>
    <row r="85" spans="8:8">
      <c r="B85" s="348"/>
      <c r="C85" s="348"/>
      <c r="D85" s="348"/>
      <c r="E85" s="348"/>
      <c r="F85" s="348"/>
      <c r="G85" s="348"/>
      <c r="H85" s="348"/>
      <c r="I85" s="348"/>
      <c r="J85" s="348"/>
      <c r="K85" s="348"/>
    </row>
    <row r="86" spans="8:8">
      <c r="B86" s="348"/>
      <c r="C86" s="348"/>
      <c r="D86" s="348"/>
      <c r="E86" s="348"/>
      <c r="F86" s="348"/>
      <c r="G86" s="348"/>
      <c r="H86" s="348"/>
      <c r="I86" s="348"/>
      <c r="J86" s="348"/>
      <c r="K86" s="348"/>
    </row>
    <row r="87" spans="8:8">
      <c r="B87" s="348"/>
      <c r="C87" s="348"/>
      <c r="D87" s="348"/>
      <c r="E87" s="348"/>
      <c r="F87" s="348"/>
      <c r="G87" s="348"/>
      <c r="H87" s="348"/>
      <c r="I87" s="348"/>
      <c r="J87" s="348"/>
      <c r="K87" s="348"/>
    </row>
    <row r="88" spans="8:8">
      <c r="B88" s="348"/>
      <c r="C88" s="348"/>
      <c r="D88" s="348"/>
      <c r="E88" s="348"/>
      <c r="F88" s="348"/>
      <c r="G88" s="348"/>
      <c r="H88" s="348"/>
      <c r="I88" s="348"/>
      <c r="J88" s="348"/>
      <c r="K88" s="348"/>
    </row>
    <row r="89" spans="8:8">
      <c r="B89" s="348"/>
      <c r="C89" s="348"/>
      <c r="D89" s="348"/>
      <c r="E89" s="348"/>
      <c r="F89" s="348"/>
      <c r="G89" s="348"/>
      <c r="H89" s="348"/>
      <c r="I89" s="348"/>
      <c r="J89" s="348"/>
      <c r="K89" s="348"/>
    </row>
    <row r="90" spans="8:8">
      <c r="B90" s="348"/>
      <c r="C90" s="348"/>
      <c r="D90" s="348"/>
      <c r="E90" s="348"/>
      <c r="F90" s="348"/>
      <c r="G90" s="348"/>
      <c r="H90" s="348"/>
      <c r="I90" s="348"/>
      <c r="J90" s="348"/>
      <c r="K90" s="348"/>
    </row>
    <row r="91" spans="8:8">
      <c r="B91" s="348"/>
      <c r="C91" s="348"/>
      <c r="D91" s="348"/>
      <c r="E91" s="348"/>
      <c r="F91" s="348"/>
      <c r="G91" s="348"/>
      <c r="H91" s="348"/>
      <c r="I91" s="348"/>
      <c r="J91" s="348"/>
      <c r="K91" s="348"/>
      <c r="L91" s="348"/>
      <c r="M91" s="348"/>
      <c r="N91" s="348"/>
      <c r="O91" s="348"/>
    </row>
    <row r="92" spans="8:8">
      <c r="B92" s="348"/>
      <c r="C92" s="348"/>
      <c r="D92" s="348"/>
      <c r="E92" s="348"/>
      <c r="F92" s="348"/>
      <c r="G92" s="348"/>
      <c r="H92" s="348"/>
      <c r="I92" s="348"/>
      <c r="J92" s="348"/>
      <c r="K92" s="348"/>
      <c r="L92" s="348"/>
      <c r="M92" s="348"/>
      <c r="N92" s="348"/>
      <c r="O92" s="348"/>
    </row>
    <row r="93" spans="8:8">
      <c r="B93" s="348"/>
      <c r="C93" s="348"/>
      <c r="D93" s="348"/>
      <c r="E93" s="348"/>
      <c r="F93" s="348"/>
      <c r="G93" s="348"/>
      <c r="H93" s="348"/>
      <c r="I93" s="348"/>
      <c r="J93" s="348"/>
      <c r="K93" s="348"/>
      <c r="L93" s="348"/>
      <c r="M93" s="348"/>
      <c r="N93" s="348"/>
      <c r="O93" s="348"/>
    </row>
    <row r="94" spans="8:8">
      <c r="B94" s="348"/>
      <c r="C94" s="348"/>
      <c r="D94" s="348"/>
      <c r="E94" s="348"/>
      <c r="F94" s="348"/>
      <c r="G94" s="348"/>
      <c r="H94" s="348"/>
      <c r="I94" s="348"/>
      <c r="J94" s="348"/>
      <c r="K94" s="348"/>
      <c r="L94" s="348"/>
      <c r="M94" s="348"/>
      <c r="N94" s="348"/>
      <c r="O94" s="348"/>
    </row>
    <row r="95" spans="8:8">
      <c r="B95" s="348"/>
      <c r="C95" s="348"/>
      <c r="D95" s="348"/>
      <c r="E95" s="348"/>
      <c r="F95" s="348"/>
      <c r="G95" s="348"/>
      <c r="H95" s="348"/>
      <c r="I95" s="348"/>
      <c r="J95" s="348"/>
      <c r="K95" s="348"/>
      <c r="L95" s="348"/>
      <c r="M95" s="348"/>
      <c r="N95" s="348"/>
      <c r="O95" s="348"/>
    </row>
    <row r="96" spans="8:8">
      <c r="B96" s="348"/>
      <c r="C96" s="348"/>
      <c r="D96" s="348"/>
      <c r="E96" s="348"/>
      <c r="F96" s="348"/>
      <c r="G96" s="348"/>
      <c r="H96" s="348"/>
      <c r="I96" s="348"/>
      <c r="J96" s="348"/>
      <c r="K96" s="348"/>
      <c r="L96" s="348"/>
      <c r="M96" s="348"/>
      <c r="N96" s="348"/>
      <c r="O96" s="348"/>
    </row>
    <row r="97" spans="8:8">
      <c r="B97" s="348"/>
      <c r="C97" s="348"/>
      <c r="D97" s="348"/>
      <c r="E97" s="348"/>
      <c r="F97" s="348"/>
      <c r="G97" s="348"/>
      <c r="H97" s="348"/>
      <c r="I97" s="348"/>
      <c r="J97" s="348"/>
      <c r="K97" s="348"/>
      <c r="L97" s="348"/>
      <c r="M97" s="348"/>
      <c r="N97" s="348"/>
      <c r="O97" s="348"/>
    </row>
    <row r="98" spans="8:8">
      <c r="B98" s="348"/>
      <c r="C98" s="348"/>
      <c r="D98" s="348"/>
      <c r="E98" s="348"/>
      <c r="F98" s="348"/>
      <c r="G98" s="348"/>
      <c r="H98" s="348"/>
      <c r="I98" s="348"/>
      <c r="J98" s="348"/>
      <c r="K98" s="348"/>
      <c r="L98" s="348"/>
      <c r="M98" s="348"/>
      <c r="N98" s="348"/>
      <c r="O98" s="348"/>
    </row>
    <row r="99" spans="8:8">
      <c r="L99" s="348"/>
      <c r="M99" s="348"/>
      <c r="N99" s="348"/>
      <c r="O99" s="348"/>
    </row>
    <row r="100" spans="8:8">
      <c r="L100" s="348"/>
      <c r="M100" s="348"/>
      <c r="N100" s="348"/>
      <c r="O100" s="348"/>
    </row>
    <row r="101" spans="8:8">
      <c r="L101" s="348"/>
      <c r="M101" s="348"/>
      <c r="N101" s="348"/>
      <c r="O101" s="348"/>
    </row>
    <row r="102" spans="8:8">
      <c r="L102" s="348"/>
      <c r="M102" s="348"/>
      <c r="N102" s="348"/>
      <c r="O102" s="348"/>
    </row>
    <row r="103" spans="8:8">
      <c r="L103" s="348"/>
      <c r="M103" s="348"/>
      <c r="N103" s="348"/>
      <c r="O103" s="348"/>
    </row>
    <row r="104" spans="8:8">
      <c r="L104" s="348"/>
      <c r="M104" s="348"/>
      <c r="N104" s="348"/>
      <c r="O104" s="348"/>
    </row>
    <row r="105" spans="8:8">
      <c r="L105" s="348"/>
      <c r="M105" s="348"/>
      <c r="N105" s="348"/>
      <c r="O105" s="348"/>
    </row>
    <row r="106" spans="8:8">
      <c r="L106" s="348"/>
      <c r="M106" s="348"/>
      <c r="N106" s="348"/>
      <c r="O106" s="348"/>
    </row>
    <row r="107" spans="8:8">
      <c r="L107" s="348"/>
      <c r="M107" s="348"/>
      <c r="N107" s="348"/>
      <c r="O107" s="348"/>
    </row>
  </sheetData>
  <sheetProtection sheet="0" formatColumns="0" formatRows="0" insertColumns="0" insertRows="0"/>
  <mergeCells count="59">
    <mergeCell ref="L42:T54"/>
    <mergeCell ref="L25:T25"/>
    <mergeCell ref="L33:T33"/>
    <mergeCell ref="L38:T40"/>
    <mergeCell ref="L34:T36"/>
    <mergeCell ref="L37:T37"/>
    <mergeCell ref="L29:T29"/>
    <mergeCell ref="L30:T32"/>
    <mergeCell ref="B11:D11"/>
    <mergeCell ref="H17:J24"/>
    <mergeCell ref="C30:D30"/>
    <mergeCell ref="F22:G22"/>
    <mergeCell ref="C29:D29"/>
    <mergeCell ref="E12:J13"/>
    <mergeCell ref="E8:F8"/>
    <mergeCell ref="E18:G18"/>
    <mergeCell ref="C50:J50"/>
    <mergeCell ref="B32:J39"/>
    <mergeCell ref="E11:F11"/>
    <mergeCell ref="B40:J40"/>
    <mergeCell ref="B44:J44"/>
    <mergeCell ref="B45:J48"/>
    <mergeCell ref="B49:J49"/>
    <mergeCell ref="B41:J43"/>
    <mergeCell ref="E9:J10"/>
    <mergeCell ref="G8:J8"/>
    <mergeCell ref="C25:D25"/>
    <mergeCell ref="E20:G20"/>
    <mergeCell ref="E17:G17"/>
    <mergeCell ref="E14:F14"/>
    <mergeCell ref="E19:G19"/>
    <mergeCell ref="L26:T28"/>
    <mergeCell ref="B31:J31"/>
    <mergeCell ref="B12:D13"/>
    <mergeCell ref="E15:J16"/>
    <mergeCell ref="F21:G21"/>
    <mergeCell ref="B14:D14"/>
    <mergeCell ref="B3:J5"/>
    <mergeCell ref="F23:G23"/>
    <mergeCell ref="C27:D27"/>
    <mergeCell ref="G11:J11"/>
    <mergeCell ref="C10:D10"/>
    <mergeCell ref="F24:G24"/>
    <mergeCell ref="E25:J25"/>
    <mergeCell ref="C51:J51"/>
    <mergeCell ref="C52:J54"/>
    <mergeCell ref="L2:T2"/>
    <mergeCell ref="C26:D26"/>
    <mergeCell ref="B17:D24"/>
    <mergeCell ref="B2:J2"/>
    <mergeCell ref="G14:J14"/>
    <mergeCell ref="C28:D28"/>
    <mergeCell ref="C9:D9"/>
    <mergeCell ref="B15:D16"/>
    <mergeCell ref="L3:T24"/>
    <mergeCell ref="L41:T41"/>
    <mergeCell ref="C8:D8"/>
    <mergeCell ref="E26:J30"/>
    <mergeCell ref="B52:B54"/>
  </mergeCells>
  <dataValidations count="5">
    <dataValidation allowBlank="1" type="list" errorStyle="stop" showInputMessage="1" showErrorMessage="1" sqref="D14">
      <formula1>"隐藏,可见"</formula1>
    </dataValidation>
    <dataValidation allowBlank="1" type="list" errorStyle="stop" showInputMessage="1" showErrorMessage="1" sqref="E18:G18">
      <formula1>"Safe,Euclid,Keter,Thaumiel,Neutralized,Apollyon"</formula1>
    </dataValidation>
    <dataValidation allowBlank="1" type="list" errorStyle="stop" showInputMessage="1" showErrorMessage="1" sqref="C27:D27">
      <formula1>"男,女,其他"</formula1>
    </dataValidation>
    <dataValidation allowBlank="1" type="list" errorStyle="stop" showInputMessage="1" showErrorMessage="1" sqref="H29">
      <formula1>數值參考!$C$3:$C$35</formula1>
    </dataValidation>
    <dataValidation allowBlank="1" type="list" errorStyle="stop" showInputMessage="1" showErrorMessage="1" sqref="B15:D16">
      <formula1>"秩序-善,中立-善,混沌-善,秩序-中庸,中立-中庸,混沌-中庸,秩序-恶,中立-恶,混沌-恶,秩序-狂,中立-狂,混沌-狂"</formula1>
    </dataValidation>
  </dataValidations>
  <pageMargins left="0.699305555555556" right="0.699305555555556" top="0.75" bottom="0.75" header="0.3" footer="0.3"/>
  <legacyDrawing r:id="rId1"/>
</worksheet>
</file>

<file path=xl/worksheets/sheet4.xml><?xml version="1.0" encoding="utf-8"?>
<worksheet xmlns:r="http://schemas.openxmlformats.org/officeDocument/2006/relationships" xmlns="http://schemas.openxmlformats.org/spreadsheetml/2006/main">
  <dimension ref="B1:AU47"/>
  <sheetViews>
    <sheetView workbookViewId="0" topLeftCell="E3" zoomScale="130">
      <selection activeCell="R10" sqref="R10"/>
    </sheetView>
  </sheetViews>
  <sheetFormatPr defaultRowHeight="15.6" defaultColWidth="10"/>
  <cols>
    <col min="11" max="11" customWidth="0" width="12.796875" style="0"/>
  </cols>
  <sheetData>
    <row r="1" spans="8:8" ht="15.6" customHeight="1"/>
    <row r="2" spans="8:8" ht="15.6" customHeight="1"/>
    <row r="3" spans="8:8" ht="15.6" customHeight="1">
      <c r="B3" s="349" t="s">
        <v>156</v>
      </c>
      <c r="C3" s="350" t="s">
        <v>59</v>
      </c>
      <c r="D3" s="350" t="s">
        <v>60</v>
      </c>
      <c r="E3" s="350" t="s">
        <v>61</v>
      </c>
      <c r="F3" s="350" t="s">
        <v>62</v>
      </c>
      <c r="G3" s="350" t="s">
        <v>63</v>
      </c>
      <c r="H3" s="350"/>
      <c r="J3" s="349" t="s">
        <v>157</v>
      </c>
      <c r="K3" s="349" t="s">
        <v>158</v>
      </c>
      <c r="M3" s="349" t="s">
        <v>159</v>
      </c>
      <c r="N3" s="349" t="s">
        <v>158</v>
      </c>
      <c r="P3" s="351" t="s">
        <v>35</v>
      </c>
      <c r="Q3" s="352"/>
    </row>
    <row r="4" spans="8:8" ht="15.6" customHeight="1">
      <c r="B4" s="349" t="s">
        <v>47</v>
      </c>
      <c r="C4" s="353">
        <v>20.0</v>
      </c>
      <c r="D4" s="353">
        <v>20.0</v>
      </c>
      <c r="E4" s="353">
        <v>20.0</v>
      </c>
      <c r="F4" s="353">
        <v>20.0</v>
      </c>
      <c r="G4" s="353">
        <v>20.0</v>
      </c>
      <c r="H4" s="354"/>
      <c r="J4" s="350" t="s">
        <v>160</v>
      </c>
      <c r="K4" s="350">
        <v>1.0</v>
      </c>
      <c r="M4" s="350" t="s">
        <v>160</v>
      </c>
      <c r="N4" s="350">
        <v>1.0</v>
      </c>
      <c r="P4" s="355" t="s">
        <v>47</v>
      </c>
      <c r="Q4" s="355" t="s">
        <v>161</v>
      </c>
    </row>
    <row r="5" spans="8:8" ht="15.6" customHeight="1">
      <c r="B5" s="349" t="s">
        <v>162</v>
      </c>
      <c r="C5" s="350">
        <v>20.0</v>
      </c>
      <c r="D5" s="353">
        <v>10.0</v>
      </c>
      <c r="E5" s="353">
        <v>20.0</v>
      </c>
      <c r="F5" s="356">
        <v>20.0</v>
      </c>
      <c r="G5" s="356">
        <v>20.0</v>
      </c>
      <c r="H5" s="356"/>
      <c r="J5" s="350" t="s">
        <v>163</v>
      </c>
      <c r="K5" s="350">
        <v>2.0</v>
      </c>
      <c r="M5" s="350" t="s">
        <v>163</v>
      </c>
      <c r="N5" s="350">
        <v>2.0</v>
      </c>
      <c r="P5" s="355" t="s">
        <v>162</v>
      </c>
      <c r="Q5" s="355" t="s">
        <v>164</v>
      </c>
    </row>
    <row r="6" spans="8:8" ht="15.6" customHeight="1">
      <c r="B6" s="349" t="s">
        <v>165</v>
      </c>
      <c r="C6" s="353">
        <v>10.0</v>
      </c>
      <c r="D6" s="353">
        <v>10.0</v>
      </c>
      <c r="E6" s="353">
        <v>30.0</v>
      </c>
      <c r="F6" s="356">
        <v>20.0</v>
      </c>
      <c r="G6" s="353">
        <v>10.0</v>
      </c>
      <c r="H6" s="354"/>
      <c r="J6" s="350" t="s">
        <v>78</v>
      </c>
      <c r="K6" s="350">
        <v>3.0</v>
      </c>
      <c r="M6" s="350" t="s">
        <v>78</v>
      </c>
      <c r="N6" s="350">
        <v>3.0</v>
      </c>
      <c r="P6" s="355" t="s">
        <v>165</v>
      </c>
      <c r="Q6" s="355" t="s">
        <v>166</v>
      </c>
    </row>
    <row r="7" spans="8:8" ht="15.6" customHeight="1">
      <c r="B7" s="349" t="s">
        <v>167</v>
      </c>
      <c r="C7" s="353">
        <v>10.0</v>
      </c>
      <c r="D7" s="353">
        <v>10.0</v>
      </c>
      <c r="E7" s="353">
        <v>30.0</v>
      </c>
      <c r="F7" s="353">
        <v>20.0</v>
      </c>
      <c r="G7" s="353">
        <v>10.0</v>
      </c>
      <c r="H7" s="349"/>
      <c r="J7" s="350" t="s">
        <v>168</v>
      </c>
      <c r="K7" s="350">
        <v>4.0</v>
      </c>
      <c r="M7" s="350" t="s">
        <v>168</v>
      </c>
      <c r="N7" s="350">
        <v>4.0</v>
      </c>
      <c r="P7" s="355" t="s">
        <v>167</v>
      </c>
      <c r="Q7" s="355" t="s">
        <v>169</v>
      </c>
    </row>
    <row r="8" spans="8:8" ht="15.6" customHeight="1">
      <c r="B8" s="349" t="s">
        <v>170</v>
      </c>
      <c r="C8" s="353">
        <v>30.0</v>
      </c>
      <c r="D8" s="353">
        <v>20.0</v>
      </c>
      <c r="E8" s="353">
        <v>30.0</v>
      </c>
      <c r="F8" s="353">
        <v>0.0</v>
      </c>
      <c r="G8" s="353">
        <v>20.0</v>
      </c>
      <c r="H8" s="349"/>
      <c r="J8" s="350" t="s">
        <v>95</v>
      </c>
      <c r="K8" s="350">
        <v>5.0</v>
      </c>
      <c r="M8" s="350" t="s">
        <v>95</v>
      </c>
      <c r="N8" s="350">
        <v>5.0</v>
      </c>
      <c r="P8" s="355" t="s">
        <v>170</v>
      </c>
      <c r="Q8" s="355" t="s">
        <v>171</v>
      </c>
    </row>
    <row r="9" spans="8:8" ht="15.6" customHeight="1">
      <c r="B9" s="349" t="s">
        <v>172</v>
      </c>
      <c r="C9" s="353">
        <v>20.0</v>
      </c>
      <c r="D9" s="353">
        <v>10.0</v>
      </c>
      <c r="E9" s="353">
        <v>20.0</v>
      </c>
      <c r="F9" s="353">
        <v>0.0</v>
      </c>
      <c r="G9" s="353">
        <v>20.0</v>
      </c>
      <c r="H9" s="349"/>
      <c r="J9" s="350" t="s">
        <v>173</v>
      </c>
      <c r="K9" s="350">
        <v>7.0</v>
      </c>
      <c r="M9" s="350" t="s">
        <v>173</v>
      </c>
      <c r="N9" s="350">
        <v>9.0</v>
      </c>
      <c r="P9" s="355" t="s">
        <v>172</v>
      </c>
      <c r="Q9" s="355" t="s">
        <v>174</v>
      </c>
    </row>
    <row r="10" spans="8:8" ht="15.6" customHeight="1">
      <c r="B10" s="349" t="s">
        <v>175</v>
      </c>
      <c r="C10" s="353">
        <v>10.0</v>
      </c>
      <c r="D10" s="353">
        <v>20.0</v>
      </c>
      <c r="E10" s="353">
        <v>20.0</v>
      </c>
      <c r="F10" s="353">
        <v>0.0</v>
      </c>
      <c r="G10" s="353">
        <v>20.0</v>
      </c>
      <c r="H10" s="349"/>
      <c r="J10" s="357" t="s">
        <v>176</v>
      </c>
      <c r="K10" s="350">
        <v>1.0</v>
      </c>
      <c r="M10" s="357" t="s">
        <v>176</v>
      </c>
      <c r="N10" s="350">
        <v>1.0</v>
      </c>
      <c r="P10" s="355" t="s">
        <v>175</v>
      </c>
      <c r="Q10" s="355" t="s">
        <v>177</v>
      </c>
    </row>
    <row r="11" spans="8:8" ht="15.6" customHeight="1">
      <c r="B11" s="349" t="s">
        <v>178</v>
      </c>
      <c r="C11" s="353">
        <v>10.0</v>
      </c>
      <c r="D11" s="353">
        <v>20.0</v>
      </c>
      <c r="E11" s="353">
        <v>20.0</v>
      </c>
      <c r="F11" s="353">
        <v>0.0</v>
      </c>
      <c r="G11" s="353">
        <v>20.0</v>
      </c>
      <c r="H11" s="349"/>
      <c r="J11" s="357" t="s">
        <v>179</v>
      </c>
      <c r="K11" s="350">
        <v>2.0</v>
      </c>
      <c r="M11" s="357" t="s">
        <v>179</v>
      </c>
      <c r="N11" s="350">
        <v>2.0</v>
      </c>
      <c r="P11" s="355" t="s">
        <v>178</v>
      </c>
      <c r="Q11" s="355" t="s">
        <v>180</v>
      </c>
    </row>
    <row r="12" spans="8:8" ht="15.6" customHeight="1">
      <c r="B12" s="349" t="s">
        <v>181</v>
      </c>
      <c r="C12" s="353">
        <v>0.0</v>
      </c>
      <c r="D12" s="353">
        <v>0.0</v>
      </c>
      <c r="E12" s="353">
        <v>0.0</v>
      </c>
      <c r="F12" s="353">
        <v>30.0</v>
      </c>
      <c r="G12" s="353">
        <v>20.0</v>
      </c>
      <c r="H12" s="349"/>
      <c r="J12" s="357" t="s">
        <v>182</v>
      </c>
      <c r="K12" s="350">
        <v>3.0</v>
      </c>
      <c r="M12" s="357" t="s">
        <v>182</v>
      </c>
      <c r="N12" s="350">
        <v>3.0</v>
      </c>
      <c r="P12" s="355" t="s">
        <v>181</v>
      </c>
      <c r="Q12" s="355" t="s">
        <v>183</v>
      </c>
    </row>
    <row r="13" spans="8:8" ht="15.6" customHeight="1">
      <c r="B13" s="349" t="s">
        <v>184</v>
      </c>
      <c r="C13" s="353">
        <v>0.0</v>
      </c>
      <c r="D13" s="353">
        <v>0.0</v>
      </c>
      <c r="E13" s="353">
        <v>0.0</v>
      </c>
      <c r="F13" s="353">
        <v>30.0</v>
      </c>
      <c r="G13" s="353">
        <v>20.0</v>
      </c>
      <c r="H13" s="349"/>
      <c r="J13" s="357" t="s">
        <v>185</v>
      </c>
      <c r="K13" s="350">
        <v>4.0</v>
      </c>
      <c r="M13" s="357" t="s">
        <v>185</v>
      </c>
      <c r="N13" s="350">
        <v>4.0</v>
      </c>
      <c r="P13" s="355" t="s">
        <v>184</v>
      </c>
      <c r="Q13" s="355" t="s">
        <v>186</v>
      </c>
    </row>
    <row r="14" spans="8:8" ht="15.6" customHeight="1">
      <c r="B14" s="349" t="s">
        <v>187</v>
      </c>
      <c r="C14" s="353">
        <v>0.0</v>
      </c>
      <c r="D14" s="353">
        <v>0.0</v>
      </c>
      <c r="E14" s="353">
        <v>20.0</v>
      </c>
      <c r="F14" s="353">
        <v>0.0</v>
      </c>
      <c r="G14" s="353">
        <v>20.0</v>
      </c>
      <c r="H14" s="349"/>
      <c r="J14" s="357" t="s">
        <v>188</v>
      </c>
      <c r="K14" s="350">
        <v>5.0</v>
      </c>
      <c r="M14" s="357" t="s">
        <v>188</v>
      </c>
      <c r="N14" s="350">
        <v>5.0</v>
      </c>
      <c r="P14" s="355" t="s">
        <v>187</v>
      </c>
      <c r="Q14" s="355" t="s">
        <v>189</v>
      </c>
    </row>
    <row r="15" spans="8:8" ht="15.6" customHeight="1">
      <c r="B15" s="349" t="s">
        <v>190</v>
      </c>
      <c r="C15" s="353">
        <v>0.0</v>
      </c>
      <c r="D15" s="353">
        <v>0.0</v>
      </c>
      <c r="E15" s="353">
        <v>20.0</v>
      </c>
      <c r="F15" s="353">
        <v>0.0</v>
      </c>
      <c r="G15" s="353">
        <v>20.0</v>
      </c>
      <c r="H15" s="349"/>
      <c r="J15" s="357" t="s">
        <v>191</v>
      </c>
      <c r="K15" s="350">
        <v>7.0</v>
      </c>
      <c r="M15" s="357" t="s">
        <v>191</v>
      </c>
      <c r="N15" s="350">
        <v>9.0</v>
      </c>
      <c r="P15" s="355" t="s">
        <v>190</v>
      </c>
      <c r="Q15" s="355" t="s">
        <v>192</v>
      </c>
    </row>
    <row r="16" spans="8:8" ht="15.6" customHeight="1">
      <c r="B16" s="349" t="s">
        <v>193</v>
      </c>
      <c r="C16" s="353">
        <v>20.0</v>
      </c>
      <c r="D16" s="353">
        <v>20.0</v>
      </c>
      <c r="E16" s="353">
        <v>20.0</v>
      </c>
      <c r="F16" s="353">
        <v>0.0</v>
      </c>
      <c r="G16" s="353">
        <v>0.0</v>
      </c>
      <c r="H16" s="349"/>
      <c r="J16" s="357" t="s">
        <v>194</v>
      </c>
      <c r="K16" s="350">
        <v>3.0</v>
      </c>
      <c r="M16" s="357" t="s">
        <v>194</v>
      </c>
      <c r="N16" s="350">
        <v>3.0</v>
      </c>
      <c r="P16" s="355" t="s">
        <v>193</v>
      </c>
      <c r="Q16" s="355" t="s">
        <v>195</v>
      </c>
    </row>
    <row r="17" spans="8:8" ht="15.6" customHeight="1">
      <c r="B17" s="349" t="s">
        <v>196</v>
      </c>
      <c r="C17" s="353">
        <v>20.0</v>
      </c>
      <c r="D17" s="353">
        <v>20.0</v>
      </c>
      <c r="E17" s="353">
        <v>20.0</v>
      </c>
      <c r="F17" s="353">
        <v>0.0</v>
      </c>
      <c r="G17" s="353">
        <v>0.0</v>
      </c>
      <c r="H17" s="349"/>
      <c r="J17" s="357" t="s">
        <v>197</v>
      </c>
      <c r="K17" s="350">
        <v>4.0</v>
      </c>
      <c r="M17" s="357" t="s">
        <v>197</v>
      </c>
      <c r="N17" s="350">
        <v>4.0</v>
      </c>
      <c r="P17" s="355" t="s">
        <v>196</v>
      </c>
      <c r="Q17" s="355" t="s">
        <v>198</v>
      </c>
    </row>
    <row r="18" spans="8:8" ht="15.6" customHeight="1">
      <c r="B18" s="349"/>
      <c r="C18" s="353"/>
      <c r="D18" s="353"/>
      <c r="E18" s="353"/>
      <c r="F18" s="353"/>
      <c r="G18" s="353"/>
      <c r="H18" s="349"/>
      <c r="J18" s="357" t="s">
        <v>199</v>
      </c>
      <c r="K18" s="350">
        <v>5.0</v>
      </c>
      <c r="M18" s="357" t="s">
        <v>199</v>
      </c>
      <c r="N18" s="350">
        <v>5.0</v>
      </c>
      <c r="P18" s="355"/>
      <c r="Q18" s="355"/>
    </row>
    <row r="19" spans="8:8" ht="15.6" customHeight="1">
      <c r="B19" s="349"/>
      <c r="C19" s="353"/>
      <c r="D19" s="353"/>
      <c r="E19" s="353"/>
      <c r="F19" s="353"/>
      <c r="G19" s="353"/>
      <c r="H19" s="349"/>
      <c r="J19" s="357" t="s">
        <v>200</v>
      </c>
      <c r="K19" s="350">
        <v>6.0</v>
      </c>
      <c r="M19" s="357" t="s">
        <v>200</v>
      </c>
      <c r="N19" s="350">
        <v>6.0</v>
      </c>
      <c r="P19" s="355"/>
      <c r="Q19" s="355"/>
    </row>
    <row r="20" spans="8:8" ht="15.6" customHeight="1">
      <c r="J20" s="357" t="s">
        <v>201</v>
      </c>
      <c r="K20" s="350">
        <v>7.0</v>
      </c>
      <c r="M20" s="357" t="s">
        <v>201</v>
      </c>
      <c r="N20" s="350">
        <v>7.0</v>
      </c>
    </row>
    <row r="21" spans="8:8" ht="15.6" customHeight="1">
      <c r="J21" s="357" t="s">
        <v>202</v>
      </c>
      <c r="K21" s="350">
        <v>5.0</v>
      </c>
      <c r="M21" s="357" t="s">
        <v>202</v>
      </c>
      <c r="N21" s="350">
        <v>5.0</v>
      </c>
    </row>
    <row r="22" spans="8:8" ht="15.6" customHeight="1">
      <c r="J22" s="357" t="s">
        <v>203</v>
      </c>
      <c r="K22" s="350">
        <v>6.0</v>
      </c>
      <c r="M22" s="357" t="s">
        <v>203</v>
      </c>
      <c r="N22" s="350">
        <v>6.0</v>
      </c>
    </row>
    <row r="23" spans="8:8" ht="15.6" customHeight="1">
      <c r="J23" s="357" t="s">
        <v>204</v>
      </c>
      <c r="K23" s="350">
        <v>7.0</v>
      </c>
      <c r="M23" s="357" t="s">
        <v>204</v>
      </c>
      <c r="N23" s="350">
        <v>7.0</v>
      </c>
    </row>
    <row r="24" spans="8:8" ht="15.6" customHeight="1">
      <c r="J24" s="357" t="s">
        <v>205</v>
      </c>
      <c r="K24" s="350">
        <v>8.0</v>
      </c>
      <c r="M24" s="357" t="s">
        <v>205</v>
      </c>
      <c r="N24" s="350">
        <v>8.0</v>
      </c>
    </row>
    <row r="25" spans="8:8" ht="15.6" customHeight="1">
      <c r="J25" s="357" t="s">
        <v>206</v>
      </c>
      <c r="K25" s="350">
        <v>9.0</v>
      </c>
      <c r="M25" s="357" t="s">
        <v>206</v>
      </c>
      <c r="N25" s="350">
        <v>9.0</v>
      </c>
    </row>
    <row r="26" spans="8:8" ht="15.6" customHeight="1">
      <c r="J26" s="357" t="s">
        <v>207</v>
      </c>
      <c r="K26" s="350">
        <v>7.0</v>
      </c>
      <c r="M26" s="357" t="s">
        <v>207</v>
      </c>
      <c r="N26" s="350">
        <v>7.0</v>
      </c>
    </row>
    <row r="27" spans="8:8" ht="15.6" customHeight="1">
      <c r="J27" s="357" t="s">
        <v>208</v>
      </c>
      <c r="K27" s="350">
        <v>8.0</v>
      </c>
      <c r="M27" s="357" t="s">
        <v>208</v>
      </c>
      <c r="N27" s="350">
        <v>8.0</v>
      </c>
    </row>
    <row r="28" spans="8:8" ht="15.6" customHeight="1">
      <c r="J28" s="357" t="s">
        <v>209</v>
      </c>
      <c r="K28" s="350">
        <v>9.0</v>
      </c>
      <c r="M28" s="357" t="s">
        <v>209</v>
      </c>
      <c r="N28" s="350">
        <v>9.0</v>
      </c>
    </row>
    <row r="29" spans="8:8" ht="15.6" customHeight="1">
      <c r="J29" s="357" t="s">
        <v>210</v>
      </c>
      <c r="K29" s="350">
        <v>10.0</v>
      </c>
      <c r="M29" s="357" t="s">
        <v>210</v>
      </c>
      <c r="N29" s="350">
        <v>10.0</v>
      </c>
    </row>
    <row r="30" spans="8:8" ht="15.6" customHeight="1">
      <c r="J30" s="357" t="s">
        <v>211</v>
      </c>
      <c r="K30" s="350">
        <v>11.0</v>
      </c>
      <c r="M30" s="357" t="s">
        <v>211</v>
      </c>
      <c r="N30" s="350">
        <v>11.0</v>
      </c>
    </row>
    <row r="31" spans="8:8" ht="15.6" customHeight="1">
      <c r="J31" s="357"/>
      <c r="K31" s="350"/>
      <c r="M31" s="357"/>
      <c r="N31" s="350"/>
    </row>
    <row r="32" spans="8:8" ht="15.6" customHeight="1">
      <c r="J32" s="357"/>
      <c r="K32" s="350"/>
      <c r="M32" s="357"/>
      <c r="N32" s="350"/>
    </row>
    <row r="33" spans="8:8" ht="15.6" customHeight="1">
      <c r="J33" s="357"/>
      <c r="K33" s="350"/>
      <c r="M33" s="357"/>
      <c r="N33" s="350"/>
    </row>
    <row r="34" spans="8:8" ht="15.6" customHeight="1"/>
    <row r="35" spans="8:8" ht="15.6" customHeight="1"/>
    <row r="36" spans="8:8" ht="15.6" customHeight="1"/>
    <row r="37" spans="8:8" ht="15.6" customHeight="1"/>
    <row r="38" spans="8:8" ht="15.6" customHeight="1"/>
    <row r="39" spans="8:8" ht="15.6" customHeight="1"/>
    <row r="40" spans="8:8" ht="15.6" customHeight="1"/>
    <row r="41" spans="8:8" ht="15.6" customHeight="1"/>
    <row r="42" spans="8:8" ht="15.6" customHeight="1"/>
    <row r="43" spans="8:8" ht="15.6" customHeight="1"/>
    <row r="44" spans="8:8" ht="15.6" customHeight="1"/>
    <row r="45" spans="8:8" ht="15.6" customHeight="1"/>
    <row r="46" spans="8:8" ht="15.6" customHeight="1"/>
    <row r="47" spans="8:8" ht="15.6" customHeight="1"/>
  </sheetData>
  <mergeCells count="1">
    <mergeCell ref="P3:Q3"/>
  </mergeCells>
  <pageMargins left="0.75" right="0.75" top="1.0" bottom="1.0" header="0.5" footer="0.5"/>
</worksheet>
</file>

<file path=xl/worksheets/sheet5.xml><?xml version="1.0" encoding="utf-8"?>
<worksheet xmlns:r="http://schemas.openxmlformats.org/officeDocument/2006/relationships" xmlns="http://schemas.openxmlformats.org/spreadsheetml/2006/main">
  <dimension ref="B1:AW105"/>
  <sheetViews>
    <sheetView workbookViewId="0">
      <selection activeCell="B19" sqref="B19:S19"/>
    </sheetView>
  </sheetViews>
  <sheetFormatPr defaultRowHeight="15.6" defaultColWidth="10"/>
  <cols>
    <col min="1" max="1" customWidth="1" width="5.546875" style="358"/>
    <col min="2" max="19" customWidth="1" width="9.0" style="358"/>
    <col min="20" max="16384" customWidth="0" width="8.796875" style="358"/>
  </cols>
  <sheetData>
    <row r="1" spans="8:8" ht="16.35">
      <c r="B1" s="359" t="s">
        <v>212</v>
      </c>
    </row>
    <row r="2" spans="8:8">
      <c r="B2" s="360" t="s">
        <v>38</v>
      </c>
      <c r="C2" s="361"/>
      <c r="D2" s="362" t="s">
        <v>213</v>
      </c>
      <c r="E2" s="361"/>
      <c r="F2" s="361"/>
      <c r="G2" s="361"/>
      <c r="H2" s="361"/>
      <c r="I2" s="361"/>
      <c r="J2" s="362" t="s">
        <v>214</v>
      </c>
      <c r="K2" s="361"/>
      <c r="L2" s="361"/>
      <c r="M2" s="361"/>
      <c r="N2" s="361"/>
      <c r="O2" s="361"/>
      <c r="P2" s="361"/>
      <c r="Q2" s="361"/>
      <c r="R2" s="361"/>
      <c r="S2" s="363"/>
    </row>
    <row r="3" spans="8:8">
      <c r="B3" s="364" t="s">
        <v>215</v>
      </c>
      <c r="C3" s="365"/>
      <c r="D3" s="366" t="s">
        <v>216</v>
      </c>
      <c r="E3" s="366" t="s">
        <v>59</v>
      </c>
      <c r="F3" s="366" t="s">
        <v>60</v>
      </c>
      <c r="G3" s="366" t="s">
        <v>61</v>
      </c>
      <c r="H3" s="366" t="s">
        <v>62</v>
      </c>
      <c r="I3" s="366" t="s">
        <v>63</v>
      </c>
      <c r="J3" s="366" t="s">
        <v>217</v>
      </c>
      <c r="S3" s="367"/>
    </row>
    <row r="4" spans="8:8">
      <c r="B4" s="368"/>
      <c r="C4" s="366"/>
      <c r="D4" s="366" t="s">
        <v>218</v>
      </c>
      <c r="E4" s="366">
        <v>20.0</v>
      </c>
      <c r="F4" s="366">
        <v>20.0</v>
      </c>
      <c r="G4" s="366">
        <v>20.0</v>
      </c>
      <c r="H4" s="366">
        <v>10.0</v>
      </c>
      <c r="I4" s="366">
        <v>0.0</v>
      </c>
      <c r="J4" s="369"/>
      <c r="K4" s="370"/>
      <c r="L4" s="370"/>
      <c r="M4" s="370"/>
      <c r="N4" s="370"/>
      <c r="O4" s="370"/>
      <c r="P4" s="370"/>
      <c r="Q4" s="370"/>
      <c r="R4" s="370"/>
      <c r="S4" s="371"/>
    </row>
    <row r="5" spans="8:8">
      <c r="B5" s="372" t="s">
        <v>219</v>
      </c>
      <c r="C5" s="373"/>
      <c r="D5" s="374" t="s">
        <v>216</v>
      </c>
      <c r="E5" s="374" t="s">
        <v>59</v>
      </c>
      <c r="F5" s="374" t="s">
        <v>60</v>
      </c>
      <c r="G5" s="374" t="s">
        <v>61</v>
      </c>
      <c r="H5" s="374" t="s">
        <v>62</v>
      </c>
      <c r="I5" s="374" t="s">
        <v>63</v>
      </c>
      <c r="J5" s="374" t="s">
        <v>217</v>
      </c>
      <c r="K5" s="373"/>
      <c r="L5" s="373"/>
      <c r="M5" s="373"/>
      <c r="N5" s="373"/>
      <c r="O5" s="373"/>
      <c r="P5" s="373"/>
      <c r="Q5" s="373"/>
      <c r="R5" s="373"/>
      <c r="S5" s="375"/>
    </row>
    <row r="6" spans="8:8">
      <c r="B6" s="372"/>
      <c r="C6" s="374"/>
      <c r="D6" s="366" t="s">
        <v>218</v>
      </c>
      <c r="E6" s="366">
        <v>15.0</v>
      </c>
      <c r="F6" s="366">
        <v>15.0</v>
      </c>
      <c r="G6" s="366">
        <v>30.0</v>
      </c>
      <c r="H6" s="366">
        <v>0.0</v>
      </c>
      <c r="I6" s="366">
        <v>0.0</v>
      </c>
      <c r="J6" s="366" t="s">
        <v>220</v>
      </c>
      <c r="S6" s="367"/>
    </row>
    <row r="7" spans="8:8">
      <c r="B7" s="376" t="s">
        <v>221</v>
      </c>
      <c r="C7" s="377"/>
      <c r="D7" s="374" t="s">
        <v>216</v>
      </c>
      <c r="E7" s="374" t="s">
        <v>59</v>
      </c>
      <c r="F7" s="374" t="s">
        <v>60</v>
      </c>
      <c r="G7" s="374" t="s">
        <v>61</v>
      </c>
      <c r="H7" s="374" t="s">
        <v>62</v>
      </c>
      <c r="I7" s="374" t="s">
        <v>63</v>
      </c>
      <c r="J7" s="374" t="s">
        <v>222</v>
      </c>
      <c r="K7" s="373"/>
      <c r="L7" s="373"/>
      <c r="M7" s="373"/>
      <c r="N7" s="373"/>
      <c r="O7" s="373"/>
      <c r="P7" s="373"/>
      <c r="Q7" s="373"/>
      <c r="R7" s="373"/>
      <c r="S7" s="375"/>
    </row>
    <row r="8" spans="8:8">
      <c r="B8" s="368"/>
      <c r="C8" s="366"/>
      <c r="D8" s="366" t="s">
        <v>218</v>
      </c>
      <c r="E8" s="366">
        <v>15.0</v>
      </c>
      <c r="F8" s="366">
        <v>15.0</v>
      </c>
      <c r="G8" s="366">
        <v>20.0</v>
      </c>
      <c r="H8" s="366">
        <v>0.0</v>
      </c>
      <c r="I8" s="366">
        <v>0.0</v>
      </c>
      <c r="J8" s="378"/>
      <c r="K8" s="365"/>
      <c r="L8" s="365"/>
      <c r="M8" s="365"/>
      <c r="N8" s="365"/>
      <c r="O8" s="365"/>
      <c r="P8" s="365"/>
      <c r="Q8" s="365"/>
      <c r="R8" s="365"/>
      <c r="S8" s="379"/>
    </row>
    <row r="9" spans="8:8">
      <c r="B9" s="376" t="s">
        <v>223</v>
      </c>
      <c r="C9" s="377"/>
      <c r="D9" s="374" t="s">
        <v>216</v>
      </c>
      <c r="E9" s="374" t="s">
        <v>59</v>
      </c>
      <c r="F9" s="374" t="s">
        <v>60</v>
      </c>
      <c r="G9" s="374" t="s">
        <v>61</v>
      </c>
      <c r="H9" s="374" t="s">
        <v>62</v>
      </c>
      <c r="I9" s="374" t="s">
        <v>63</v>
      </c>
      <c r="J9" s="374" t="s">
        <v>224</v>
      </c>
      <c r="K9" s="373"/>
      <c r="L9" s="373"/>
      <c r="M9" s="373"/>
      <c r="N9" s="373"/>
      <c r="O9" s="373"/>
      <c r="P9" s="373"/>
      <c r="Q9" s="373"/>
      <c r="R9" s="373"/>
      <c r="S9" s="375"/>
    </row>
    <row r="10" spans="8:8">
      <c r="B10" s="368"/>
      <c r="C10" s="366"/>
      <c r="D10" s="366" t="s">
        <v>218</v>
      </c>
      <c r="E10" s="366">
        <v>10.0</v>
      </c>
      <c r="F10" s="366">
        <v>10.0</v>
      </c>
      <c r="G10" s="366">
        <v>10.0</v>
      </c>
      <c r="H10" s="366">
        <v>0.0</v>
      </c>
      <c r="I10" s="366">
        <v>0.0</v>
      </c>
      <c r="J10" s="378"/>
      <c r="K10" s="365"/>
      <c r="L10" s="365"/>
      <c r="M10" s="365"/>
      <c r="N10" s="365"/>
      <c r="O10" s="365"/>
      <c r="P10" s="365"/>
      <c r="Q10" s="365"/>
      <c r="R10" s="365"/>
      <c r="S10" s="379"/>
    </row>
    <row r="11" spans="8:8">
      <c r="B11" s="376" t="s">
        <v>225</v>
      </c>
      <c r="C11" s="377"/>
      <c r="D11" s="374" t="s">
        <v>216</v>
      </c>
      <c r="E11" s="374" t="s">
        <v>59</v>
      </c>
      <c r="F11" s="374" t="s">
        <v>60</v>
      </c>
      <c r="G11" s="374" t="s">
        <v>61</v>
      </c>
      <c r="H11" s="374" t="s">
        <v>62</v>
      </c>
      <c r="I11" s="374" t="s">
        <v>63</v>
      </c>
      <c r="J11" s="374" t="s">
        <v>226</v>
      </c>
      <c r="K11" s="373"/>
      <c r="L11" s="373"/>
      <c r="M11" s="373"/>
      <c r="N11" s="373"/>
      <c r="O11" s="373"/>
      <c r="P11" s="373"/>
      <c r="Q11" s="373"/>
      <c r="R11" s="373"/>
      <c r="S11" s="375"/>
    </row>
    <row r="12" spans="8:8">
      <c r="B12" s="368"/>
      <c r="C12" s="366"/>
      <c r="D12" s="366" t="s">
        <v>218</v>
      </c>
      <c r="E12" s="366">
        <v>0.0</v>
      </c>
      <c r="F12" s="366">
        <v>0.0</v>
      </c>
      <c r="G12" s="366">
        <v>0.0</v>
      </c>
      <c r="H12" s="366">
        <v>30.0</v>
      </c>
      <c r="I12" s="366">
        <v>0.0</v>
      </c>
      <c r="J12" s="380"/>
      <c r="S12" s="367"/>
    </row>
    <row r="13" spans="8:8">
      <c r="B13" s="376" t="s">
        <v>227</v>
      </c>
      <c r="C13" s="377"/>
      <c r="D13" s="374" t="s">
        <v>216</v>
      </c>
      <c r="E13" s="374" t="s">
        <v>59</v>
      </c>
      <c r="F13" s="374" t="s">
        <v>60</v>
      </c>
      <c r="G13" s="374" t="s">
        <v>61</v>
      </c>
      <c r="H13" s="374" t="s">
        <v>62</v>
      </c>
      <c r="I13" s="374" t="s">
        <v>63</v>
      </c>
      <c r="J13" s="366" t="s">
        <v>228</v>
      </c>
      <c r="S13" s="367"/>
    </row>
    <row r="14" spans="8:8">
      <c r="B14" s="368"/>
      <c r="C14" s="366"/>
      <c r="D14" s="366" t="s">
        <v>218</v>
      </c>
      <c r="E14" s="366">
        <v>0.0</v>
      </c>
      <c r="F14" s="366">
        <v>0.0</v>
      </c>
      <c r="G14" s="366">
        <v>30.0</v>
      </c>
      <c r="H14" s="366">
        <v>0.0</v>
      </c>
      <c r="I14" s="366">
        <v>0.0</v>
      </c>
      <c r="J14" s="378"/>
      <c r="K14" s="365"/>
      <c r="L14" s="365"/>
      <c r="M14" s="365"/>
      <c r="N14" s="365"/>
      <c r="O14" s="365"/>
      <c r="P14" s="365"/>
      <c r="Q14" s="365"/>
      <c r="R14" s="365"/>
      <c r="S14" s="379"/>
    </row>
    <row r="15" spans="8:8">
      <c r="B15" s="376" t="s">
        <v>229</v>
      </c>
      <c r="C15" s="377"/>
      <c r="D15" s="374" t="s">
        <v>216</v>
      </c>
      <c r="E15" s="374" t="s">
        <v>59</v>
      </c>
      <c r="F15" s="374" t="s">
        <v>60</v>
      </c>
      <c r="G15" s="374" t="s">
        <v>61</v>
      </c>
      <c r="H15" s="374" t="s">
        <v>62</v>
      </c>
      <c r="I15" s="374" t="s">
        <v>63</v>
      </c>
      <c r="J15" s="374" t="s">
        <v>230</v>
      </c>
      <c r="K15" s="373"/>
      <c r="L15" s="373"/>
      <c r="M15" s="373"/>
      <c r="N15" s="373"/>
      <c r="O15" s="373"/>
      <c r="P15" s="373"/>
      <c r="Q15" s="373"/>
      <c r="R15" s="373"/>
      <c r="S15" s="375"/>
    </row>
    <row r="16" spans="8:8">
      <c r="B16" s="368"/>
      <c r="C16" s="366"/>
      <c r="D16" s="366" t="s">
        <v>218</v>
      </c>
      <c r="E16" s="366">
        <v>15.0</v>
      </c>
      <c r="F16" s="366">
        <v>15.0</v>
      </c>
      <c r="G16" s="366">
        <v>0.0</v>
      </c>
      <c r="H16" s="366">
        <v>0.0</v>
      </c>
      <c r="I16" s="366">
        <v>0.0</v>
      </c>
      <c r="J16" s="380" t="s">
        <v>231</v>
      </c>
      <c r="S16" s="367"/>
    </row>
    <row r="17" spans="8:8" ht="16.35">
      <c r="B17" s="381"/>
      <c r="C17" s="382"/>
      <c r="D17" s="383"/>
      <c r="E17" s="384"/>
      <c r="F17" s="384"/>
      <c r="G17" s="384"/>
      <c r="H17" s="384"/>
      <c r="I17" s="385"/>
      <c r="J17" s="386" t="s">
        <v>232</v>
      </c>
      <c r="K17" s="387"/>
      <c r="L17" s="387"/>
      <c r="M17" s="387"/>
      <c r="N17" s="387"/>
      <c r="O17" s="387"/>
      <c r="P17" s="387"/>
      <c r="Q17" s="387"/>
      <c r="R17" s="387"/>
      <c r="S17" s="388"/>
    </row>
    <row r="18" spans="8:8" ht="16.35"/>
    <row r="19" spans="8:8">
      <c r="B19" s="389" t="s">
        <v>233</v>
      </c>
      <c r="C19" s="390"/>
      <c r="D19" s="390"/>
      <c r="E19" s="390"/>
      <c r="F19" s="390"/>
      <c r="G19" s="390"/>
      <c r="H19" s="390"/>
      <c r="I19" s="390"/>
      <c r="J19" s="390"/>
      <c r="K19" s="390"/>
      <c r="L19" s="390"/>
      <c r="M19" s="390"/>
      <c r="N19" s="390"/>
      <c r="O19" s="390"/>
      <c r="P19" s="390"/>
      <c r="Q19" s="390"/>
      <c r="R19" s="390"/>
      <c r="S19" s="391"/>
    </row>
    <row r="20" spans="8:8">
      <c r="B20" s="392" t="s">
        <v>234</v>
      </c>
      <c r="C20" s="393"/>
      <c r="D20" s="393"/>
      <c r="E20" s="393"/>
      <c r="F20" s="393"/>
      <c r="G20" s="393"/>
      <c r="H20" s="393"/>
      <c r="I20" s="393"/>
      <c r="J20" s="393"/>
      <c r="K20" s="393"/>
      <c r="L20" s="393"/>
      <c r="M20" s="393"/>
      <c r="N20" s="393"/>
      <c r="O20" s="393"/>
      <c r="P20" s="393"/>
      <c r="Q20" s="393"/>
      <c r="R20" s="393"/>
      <c r="S20" s="393"/>
    </row>
    <row r="21" spans="8:8">
      <c r="B21" s="394" t="s">
        <v>235</v>
      </c>
      <c r="C21" s="395"/>
      <c r="D21" s="395"/>
      <c r="E21" s="395"/>
      <c r="F21" s="395"/>
      <c r="G21" s="395"/>
      <c r="H21" s="395"/>
      <c r="I21" s="395"/>
      <c r="J21" s="395"/>
      <c r="K21" s="395" t="s">
        <v>235</v>
      </c>
      <c r="L21" s="395"/>
      <c r="M21" s="395"/>
      <c r="N21" s="395"/>
      <c r="O21" s="395"/>
      <c r="P21" s="395"/>
      <c r="Q21" s="395"/>
      <c r="R21" s="395"/>
      <c r="S21" s="396"/>
    </row>
    <row r="22" spans="8:8">
      <c r="B22" s="397" t="s">
        <v>236</v>
      </c>
      <c r="C22" s="398" t="s">
        <v>237</v>
      </c>
      <c r="D22" s="398"/>
      <c r="E22" s="399" t="s">
        <v>238</v>
      </c>
      <c r="F22" s="398" t="s">
        <v>235</v>
      </c>
      <c r="G22" s="398"/>
      <c r="H22" s="400" t="s">
        <v>239</v>
      </c>
      <c r="I22" s="401" t="s">
        <v>240</v>
      </c>
      <c r="J22" s="401"/>
      <c r="K22" s="399" t="s">
        <v>236</v>
      </c>
      <c r="L22" s="398" t="s">
        <v>241</v>
      </c>
      <c r="M22" s="398"/>
      <c r="N22" s="399" t="s">
        <v>238</v>
      </c>
      <c r="O22" s="398" t="s">
        <v>235</v>
      </c>
      <c r="P22" s="398"/>
      <c r="Q22" s="400" t="s">
        <v>239</v>
      </c>
      <c r="R22" s="401" t="s">
        <v>240</v>
      </c>
      <c r="S22" s="402"/>
    </row>
    <row r="23" spans="8:8">
      <c r="B23" s="397" t="s">
        <v>152</v>
      </c>
      <c r="C23" s="401" t="s">
        <v>242</v>
      </c>
      <c r="D23" s="401"/>
      <c r="E23" s="401"/>
      <c r="F23" s="401"/>
      <c r="G23" s="401"/>
      <c r="H23" s="401"/>
      <c r="I23" s="401"/>
      <c r="J23" s="401"/>
      <c r="K23" s="399" t="s">
        <v>152</v>
      </c>
      <c r="L23" s="403" t="s">
        <v>243</v>
      </c>
      <c r="M23" s="403"/>
      <c r="N23" s="403"/>
      <c r="O23" s="403"/>
      <c r="P23" s="403"/>
      <c r="Q23" s="403"/>
      <c r="R23" s="403"/>
      <c r="S23" s="404"/>
    </row>
    <row r="24" spans="8:8">
      <c r="B24" s="397"/>
      <c r="C24" s="401"/>
      <c r="D24" s="401"/>
      <c r="E24" s="401"/>
      <c r="F24" s="401"/>
      <c r="G24" s="401"/>
      <c r="H24" s="401"/>
      <c r="I24" s="401"/>
      <c r="J24" s="401"/>
      <c r="K24" s="399"/>
      <c r="L24" s="403"/>
      <c r="M24" s="403"/>
      <c r="N24" s="403"/>
      <c r="O24" s="403"/>
      <c r="P24" s="403"/>
      <c r="Q24" s="403"/>
      <c r="R24" s="403"/>
      <c r="S24" s="404"/>
    </row>
    <row r="25" spans="8:8">
      <c r="B25" s="397" t="s">
        <v>244</v>
      </c>
      <c r="C25" s="401" t="s">
        <v>245</v>
      </c>
      <c r="D25" s="401"/>
      <c r="E25" s="401"/>
      <c r="F25" s="401"/>
      <c r="G25" s="401"/>
      <c r="H25" s="401"/>
      <c r="I25" s="401"/>
      <c r="J25" s="401"/>
      <c r="K25" s="399"/>
      <c r="L25" s="403"/>
      <c r="M25" s="403"/>
      <c r="N25" s="403"/>
      <c r="O25" s="403"/>
      <c r="P25" s="403"/>
      <c r="Q25" s="403"/>
      <c r="R25" s="403"/>
      <c r="S25" s="404"/>
    </row>
    <row r="26" spans="8:8">
      <c r="B26" s="397" t="s">
        <v>236</v>
      </c>
      <c r="C26" s="398" t="s">
        <v>246</v>
      </c>
      <c r="D26" s="398"/>
      <c r="E26" s="399" t="s">
        <v>238</v>
      </c>
      <c r="F26" s="398" t="s">
        <v>235</v>
      </c>
      <c r="G26" s="398"/>
      <c r="H26" s="400" t="s">
        <v>239</v>
      </c>
      <c r="I26" s="401" t="s">
        <v>247</v>
      </c>
      <c r="J26" s="401"/>
      <c r="K26" s="399"/>
      <c r="L26" s="403"/>
      <c r="M26" s="403"/>
      <c r="N26" s="403"/>
      <c r="O26" s="403"/>
      <c r="P26" s="403"/>
      <c r="Q26" s="403"/>
      <c r="R26" s="403"/>
      <c r="S26" s="404"/>
    </row>
    <row r="27" spans="8:8">
      <c r="B27" s="397" t="s">
        <v>152</v>
      </c>
      <c r="C27" s="401" t="s">
        <v>248</v>
      </c>
      <c r="D27" s="401"/>
      <c r="E27" s="401"/>
      <c r="F27" s="401"/>
      <c r="G27" s="401"/>
      <c r="H27" s="401"/>
      <c r="I27" s="401"/>
      <c r="J27" s="401"/>
      <c r="K27" s="399" t="s">
        <v>236</v>
      </c>
      <c r="L27" s="398" t="s">
        <v>249</v>
      </c>
      <c r="M27" s="398"/>
      <c r="N27" s="399" t="s">
        <v>238</v>
      </c>
      <c r="O27" s="398" t="s">
        <v>235</v>
      </c>
      <c r="P27" s="398"/>
      <c r="Q27" s="400" t="s">
        <v>239</v>
      </c>
      <c r="R27" s="401" t="s">
        <v>250</v>
      </c>
      <c r="S27" s="402"/>
    </row>
    <row r="28" spans="8:8">
      <c r="B28" s="397"/>
      <c r="C28" s="401"/>
      <c r="D28" s="401"/>
      <c r="E28" s="401"/>
      <c r="F28" s="401"/>
      <c r="G28" s="401"/>
      <c r="H28" s="401"/>
      <c r="I28" s="401"/>
      <c r="J28" s="401"/>
      <c r="K28" s="399" t="s">
        <v>152</v>
      </c>
      <c r="L28" s="403" t="s">
        <v>251</v>
      </c>
      <c r="M28" s="401"/>
      <c r="N28" s="401"/>
      <c r="O28" s="401"/>
      <c r="P28" s="401"/>
      <c r="Q28" s="401"/>
      <c r="R28" s="401"/>
      <c r="S28" s="402"/>
    </row>
    <row r="29" spans="8:8">
      <c r="B29" s="397" t="s">
        <v>244</v>
      </c>
      <c r="C29" s="401" t="s">
        <v>252</v>
      </c>
      <c r="D29" s="401"/>
      <c r="E29" s="401"/>
      <c r="F29" s="401"/>
      <c r="G29" s="401"/>
      <c r="H29" s="401"/>
      <c r="I29" s="401"/>
      <c r="J29" s="401"/>
      <c r="K29" s="399"/>
      <c r="L29" s="401"/>
      <c r="M29" s="401"/>
      <c r="N29" s="401"/>
      <c r="O29" s="401"/>
      <c r="P29" s="401"/>
      <c r="Q29" s="401"/>
      <c r="R29" s="401"/>
      <c r="S29" s="402"/>
    </row>
    <row r="30" spans="8:8">
      <c r="B30" s="397" t="s">
        <v>236</v>
      </c>
      <c r="C30" s="398" t="s">
        <v>253</v>
      </c>
      <c r="D30" s="398"/>
      <c r="E30" s="399" t="s">
        <v>238</v>
      </c>
      <c r="F30" s="398" t="s">
        <v>235</v>
      </c>
      <c r="G30" s="398"/>
      <c r="H30" s="400" t="s">
        <v>239</v>
      </c>
      <c r="I30" s="401" t="s">
        <v>97</v>
      </c>
      <c r="J30" s="401"/>
      <c r="K30" s="399"/>
      <c r="L30" s="401"/>
      <c r="M30" s="401"/>
      <c r="N30" s="401"/>
      <c r="O30" s="401"/>
      <c r="P30" s="401"/>
      <c r="Q30" s="401"/>
      <c r="R30" s="401"/>
      <c r="S30" s="402"/>
    </row>
    <row r="31" spans="8:8">
      <c r="B31" s="397" t="s">
        <v>152</v>
      </c>
      <c r="C31" s="401" t="s">
        <v>254</v>
      </c>
      <c r="D31" s="401"/>
      <c r="E31" s="401"/>
      <c r="F31" s="401"/>
      <c r="G31" s="401"/>
      <c r="H31" s="401"/>
      <c r="I31" s="401"/>
      <c r="J31" s="401"/>
      <c r="K31" s="399"/>
      <c r="L31" s="401"/>
      <c r="M31" s="401"/>
      <c r="N31" s="401"/>
      <c r="O31" s="401"/>
      <c r="P31" s="401"/>
      <c r="Q31" s="401"/>
      <c r="R31" s="401"/>
      <c r="S31" s="402"/>
    </row>
    <row r="32" spans="8:8">
      <c r="B32" s="397"/>
      <c r="C32" s="401"/>
      <c r="D32" s="401"/>
      <c r="E32" s="401"/>
      <c r="F32" s="401"/>
      <c r="G32" s="401"/>
      <c r="H32" s="401"/>
      <c r="I32" s="401"/>
      <c r="J32" s="401"/>
      <c r="K32" s="405" t="s">
        <v>255</v>
      </c>
      <c r="L32" s="405"/>
      <c r="M32" s="405"/>
      <c r="N32" s="405"/>
      <c r="O32" s="405"/>
      <c r="P32" s="405"/>
      <c r="Q32" s="405"/>
      <c r="R32" s="405"/>
      <c r="S32" s="406"/>
    </row>
    <row r="33" spans="8:8">
      <c r="B33" s="397" t="s">
        <v>244</v>
      </c>
      <c r="C33" s="401" t="s">
        <v>256</v>
      </c>
      <c r="D33" s="401"/>
      <c r="E33" s="401"/>
      <c r="F33" s="401"/>
      <c r="G33" s="401"/>
      <c r="H33" s="401"/>
      <c r="I33" s="401"/>
      <c r="J33" s="401"/>
      <c r="K33" s="399" t="s">
        <v>236</v>
      </c>
      <c r="L33" s="398" t="s">
        <v>257</v>
      </c>
      <c r="M33" s="398"/>
      <c r="N33" s="399" t="s">
        <v>238</v>
      </c>
      <c r="O33" s="398" t="s">
        <v>255</v>
      </c>
      <c r="P33" s="398"/>
      <c r="Q33" s="400" t="s">
        <v>239</v>
      </c>
      <c r="R33" s="401" t="s">
        <v>258</v>
      </c>
      <c r="S33" s="402"/>
    </row>
    <row r="34" spans="8:8">
      <c r="B34" s="407" t="s">
        <v>255</v>
      </c>
      <c r="C34" s="405"/>
      <c r="D34" s="405"/>
      <c r="E34" s="405"/>
      <c r="F34" s="405"/>
      <c r="G34" s="405"/>
      <c r="H34" s="405"/>
      <c r="I34" s="405"/>
      <c r="J34" s="405"/>
      <c r="K34" s="399" t="s">
        <v>152</v>
      </c>
      <c r="L34" s="401" t="s">
        <v>259</v>
      </c>
      <c r="M34" s="401"/>
      <c r="N34" s="401"/>
      <c r="O34" s="401"/>
      <c r="P34" s="401"/>
      <c r="Q34" s="401"/>
      <c r="R34" s="401"/>
      <c r="S34" s="402"/>
    </row>
    <row r="35" spans="8:8">
      <c r="B35" s="397" t="s">
        <v>236</v>
      </c>
      <c r="C35" s="398" t="s">
        <v>260</v>
      </c>
      <c r="D35" s="398"/>
      <c r="E35" s="399" t="s">
        <v>238</v>
      </c>
      <c r="F35" s="398" t="s">
        <v>255</v>
      </c>
      <c r="G35" s="398"/>
      <c r="H35" s="400" t="s">
        <v>239</v>
      </c>
      <c r="I35" s="401" t="s">
        <v>97</v>
      </c>
      <c r="J35" s="401"/>
      <c r="K35" s="399"/>
      <c r="L35" s="401"/>
      <c r="M35" s="401"/>
      <c r="N35" s="401"/>
      <c r="O35" s="401"/>
      <c r="P35" s="401"/>
      <c r="Q35" s="401"/>
      <c r="R35" s="401"/>
      <c r="S35" s="402"/>
    </row>
    <row r="36" spans="8:8">
      <c r="B36" s="397" t="s">
        <v>152</v>
      </c>
      <c r="C36" s="401" t="s">
        <v>261</v>
      </c>
      <c r="D36" s="401"/>
      <c r="E36" s="401"/>
      <c r="F36" s="401"/>
      <c r="G36" s="401"/>
      <c r="H36" s="401"/>
      <c r="I36" s="401"/>
      <c r="J36" s="401"/>
      <c r="K36" s="399" t="s">
        <v>236</v>
      </c>
      <c r="L36" s="398" t="s">
        <v>262</v>
      </c>
      <c r="M36" s="398"/>
      <c r="N36" s="399" t="s">
        <v>238</v>
      </c>
      <c r="O36" s="398" t="s">
        <v>255</v>
      </c>
      <c r="P36" s="398"/>
      <c r="Q36" s="400" t="s">
        <v>239</v>
      </c>
      <c r="R36" s="401" t="s">
        <v>86</v>
      </c>
      <c r="S36" s="402"/>
    </row>
    <row r="37" spans="8:8">
      <c r="B37" s="397"/>
      <c r="C37" s="401"/>
      <c r="D37" s="401"/>
      <c r="E37" s="401"/>
      <c r="F37" s="401"/>
      <c r="G37" s="401"/>
      <c r="H37" s="401"/>
      <c r="I37" s="401"/>
      <c r="J37" s="401"/>
      <c r="K37" s="399" t="s">
        <v>152</v>
      </c>
      <c r="L37" s="403" t="s">
        <v>263</v>
      </c>
      <c r="M37" s="401"/>
      <c r="N37" s="401"/>
      <c r="O37" s="401"/>
      <c r="P37" s="401"/>
      <c r="Q37" s="401"/>
      <c r="R37" s="401"/>
      <c r="S37" s="402"/>
    </row>
    <row r="38" spans="8:8">
      <c r="B38" s="397" t="s">
        <v>244</v>
      </c>
      <c r="C38" s="401" t="s">
        <v>264</v>
      </c>
      <c r="D38" s="401"/>
      <c r="E38" s="401"/>
      <c r="F38" s="401"/>
      <c r="G38" s="401"/>
      <c r="H38" s="401"/>
      <c r="I38" s="401"/>
      <c r="J38" s="401"/>
      <c r="K38" s="399"/>
      <c r="L38" s="401"/>
      <c r="M38" s="401"/>
      <c r="N38" s="401"/>
      <c r="O38" s="401"/>
      <c r="P38" s="401"/>
      <c r="Q38" s="401"/>
      <c r="R38" s="401"/>
      <c r="S38" s="402"/>
    </row>
    <row r="39" spans="8:8">
      <c r="B39" s="397" t="s">
        <v>236</v>
      </c>
      <c r="C39" s="398" t="s">
        <v>265</v>
      </c>
      <c r="D39" s="398"/>
      <c r="E39" s="399" t="s">
        <v>238</v>
      </c>
      <c r="F39" s="398" t="s">
        <v>255</v>
      </c>
      <c r="G39" s="398"/>
      <c r="H39" s="400" t="s">
        <v>239</v>
      </c>
      <c r="I39" s="401" t="s">
        <v>86</v>
      </c>
      <c r="J39" s="401"/>
      <c r="K39" s="399"/>
      <c r="L39" s="401"/>
      <c r="M39" s="401"/>
      <c r="N39" s="401"/>
      <c r="O39" s="401"/>
      <c r="P39" s="401"/>
      <c r="Q39" s="401"/>
      <c r="R39" s="401"/>
      <c r="S39" s="402"/>
    </row>
    <row r="40" spans="8:8">
      <c r="B40" s="397" t="s">
        <v>152</v>
      </c>
      <c r="C40" s="403" t="s">
        <v>266</v>
      </c>
      <c r="D40" s="401"/>
      <c r="E40" s="401"/>
      <c r="F40" s="401"/>
      <c r="G40" s="401"/>
      <c r="H40" s="401"/>
      <c r="I40" s="401"/>
      <c r="J40" s="401"/>
      <c r="K40" s="399"/>
      <c r="L40" s="401"/>
      <c r="M40" s="401"/>
      <c r="N40" s="401"/>
      <c r="O40" s="401"/>
      <c r="P40" s="401"/>
      <c r="Q40" s="401"/>
      <c r="R40" s="401"/>
      <c r="S40" s="402"/>
    </row>
    <row r="41" spans="8:8">
      <c r="B41" s="397"/>
      <c r="C41" s="401"/>
      <c r="D41" s="401"/>
      <c r="E41" s="401"/>
      <c r="F41" s="401"/>
      <c r="G41" s="401"/>
      <c r="H41" s="401"/>
      <c r="I41" s="401"/>
      <c r="J41" s="401"/>
      <c r="K41" s="399" t="s">
        <v>244</v>
      </c>
      <c r="L41" s="401" t="s">
        <v>267</v>
      </c>
      <c r="M41" s="401"/>
      <c r="N41" s="401"/>
      <c r="O41" s="401"/>
      <c r="P41" s="401"/>
      <c r="Q41" s="401"/>
      <c r="R41" s="401"/>
      <c r="S41" s="402"/>
    </row>
    <row r="42" spans="8:8">
      <c r="B42" s="397" t="s">
        <v>244</v>
      </c>
      <c r="C42" s="401" t="s">
        <v>264</v>
      </c>
      <c r="D42" s="401"/>
      <c r="E42" s="401"/>
      <c r="F42" s="401"/>
      <c r="G42" s="401"/>
      <c r="H42" s="401"/>
      <c r="I42" s="401"/>
      <c r="J42" s="401"/>
      <c r="K42" s="399" t="s">
        <v>236</v>
      </c>
      <c r="L42" s="398" t="s">
        <v>268</v>
      </c>
      <c r="M42" s="398"/>
      <c r="N42" s="399" t="s">
        <v>238</v>
      </c>
      <c r="O42" s="398" t="s">
        <v>255</v>
      </c>
      <c r="P42" s="398"/>
      <c r="Q42" s="400" t="s">
        <v>239</v>
      </c>
      <c r="R42" s="401" t="s">
        <v>269</v>
      </c>
      <c r="S42" s="402"/>
    </row>
    <row r="43" spans="8:8">
      <c r="B43" s="397" t="s">
        <v>236</v>
      </c>
      <c r="C43" s="398" t="s">
        <v>270</v>
      </c>
      <c r="D43" s="398"/>
      <c r="E43" s="399" t="s">
        <v>238</v>
      </c>
      <c r="F43" s="398" t="s">
        <v>255</v>
      </c>
      <c r="G43" s="398"/>
      <c r="H43" s="400" t="s">
        <v>239</v>
      </c>
      <c r="I43" s="401"/>
      <c r="J43" s="401"/>
      <c r="K43" s="399" t="s">
        <v>152</v>
      </c>
      <c r="L43" s="403" t="s">
        <v>271</v>
      </c>
      <c r="M43" s="401"/>
      <c r="N43" s="401"/>
      <c r="O43" s="401"/>
      <c r="P43" s="401"/>
      <c r="Q43" s="401"/>
      <c r="R43" s="401"/>
      <c r="S43" s="402"/>
    </row>
    <row r="44" spans="8:8">
      <c r="B44" s="397" t="s">
        <v>152</v>
      </c>
      <c r="C44" s="403" t="s">
        <v>272</v>
      </c>
      <c r="D44" s="401"/>
      <c r="E44" s="401"/>
      <c r="F44" s="401"/>
      <c r="G44" s="401"/>
      <c r="H44" s="401"/>
      <c r="I44" s="401"/>
      <c r="J44" s="401"/>
      <c r="K44" s="399"/>
      <c r="L44" s="401"/>
      <c r="M44" s="401"/>
      <c r="N44" s="401"/>
      <c r="O44" s="401"/>
      <c r="P44" s="401"/>
      <c r="Q44" s="401"/>
      <c r="R44" s="401"/>
      <c r="S44" s="402"/>
    </row>
    <row r="45" spans="8:8">
      <c r="B45" s="397"/>
      <c r="C45" s="401"/>
      <c r="D45" s="401"/>
      <c r="E45" s="401"/>
      <c r="F45" s="401"/>
      <c r="G45" s="401"/>
      <c r="H45" s="401"/>
      <c r="I45" s="401"/>
      <c r="J45" s="401"/>
      <c r="K45" s="399"/>
      <c r="L45" s="401"/>
      <c r="M45" s="401"/>
      <c r="N45" s="401"/>
      <c r="O45" s="401"/>
      <c r="P45" s="401"/>
      <c r="Q45" s="401"/>
      <c r="R45" s="401"/>
      <c r="S45" s="402"/>
    </row>
    <row r="46" spans="8:8">
      <c r="B46" s="397"/>
      <c r="C46" s="401"/>
      <c r="D46" s="401"/>
      <c r="E46" s="401"/>
      <c r="F46" s="401"/>
      <c r="G46" s="401"/>
      <c r="H46" s="401"/>
      <c r="I46" s="401"/>
      <c r="J46" s="401"/>
      <c r="K46" s="399"/>
      <c r="L46" s="401"/>
      <c r="M46" s="401"/>
      <c r="N46" s="401"/>
      <c r="O46" s="401"/>
      <c r="P46" s="401"/>
      <c r="Q46" s="401"/>
      <c r="R46" s="401"/>
      <c r="S46" s="402"/>
    </row>
    <row r="47" spans="8:8">
      <c r="B47" s="397"/>
      <c r="C47" s="401"/>
      <c r="D47" s="401"/>
      <c r="E47" s="401"/>
      <c r="F47" s="401"/>
      <c r="G47" s="401"/>
      <c r="H47" s="401"/>
      <c r="I47" s="401"/>
      <c r="J47" s="401"/>
      <c r="K47" s="399" t="s">
        <v>236</v>
      </c>
      <c r="L47" s="398" t="s">
        <v>273</v>
      </c>
      <c r="M47" s="398"/>
      <c r="N47" s="399" t="s">
        <v>238</v>
      </c>
      <c r="O47" s="398" t="s">
        <v>255</v>
      </c>
      <c r="P47" s="398"/>
      <c r="Q47" s="400" t="s">
        <v>239</v>
      </c>
      <c r="R47" s="401" t="s">
        <v>258</v>
      </c>
      <c r="S47" s="402"/>
    </row>
    <row r="48" spans="8:8">
      <c r="B48" s="397" t="s">
        <v>244</v>
      </c>
      <c r="C48" s="401" t="s">
        <v>274</v>
      </c>
      <c r="D48" s="401"/>
      <c r="E48" s="401"/>
      <c r="F48" s="401"/>
      <c r="G48" s="401"/>
      <c r="H48" s="401"/>
      <c r="I48" s="401"/>
      <c r="J48" s="401"/>
      <c r="K48" s="399" t="s">
        <v>152</v>
      </c>
      <c r="L48" s="403" t="s">
        <v>275</v>
      </c>
      <c r="M48" s="403"/>
      <c r="N48" s="403"/>
      <c r="O48" s="403"/>
      <c r="P48" s="403"/>
      <c r="Q48" s="403"/>
      <c r="R48" s="403"/>
      <c r="S48" s="404"/>
    </row>
    <row r="49" spans="8:8">
      <c r="B49" s="397" t="s">
        <v>244</v>
      </c>
      <c r="C49" s="401" t="s">
        <v>276</v>
      </c>
      <c r="D49" s="401"/>
      <c r="E49" s="401"/>
      <c r="F49" s="401"/>
      <c r="G49" s="401"/>
      <c r="H49" s="401"/>
      <c r="I49" s="401"/>
      <c r="J49" s="401"/>
      <c r="K49" s="399"/>
      <c r="L49" s="403"/>
      <c r="M49" s="403"/>
      <c r="N49" s="403"/>
      <c r="O49" s="403"/>
      <c r="P49" s="403"/>
      <c r="Q49" s="403"/>
      <c r="R49" s="403"/>
      <c r="S49" s="404"/>
    </row>
    <row r="50" spans="8:8">
      <c r="B50" s="397" t="s">
        <v>244</v>
      </c>
      <c r="C50" s="401" t="s">
        <v>277</v>
      </c>
      <c r="D50" s="401"/>
      <c r="E50" s="401"/>
      <c r="F50" s="401"/>
      <c r="G50" s="401"/>
      <c r="H50" s="401"/>
      <c r="I50" s="401"/>
      <c r="J50" s="401"/>
      <c r="K50" s="399" t="s">
        <v>236</v>
      </c>
      <c r="L50" s="398" t="s">
        <v>278</v>
      </c>
      <c r="M50" s="398"/>
      <c r="N50" s="399" t="s">
        <v>238</v>
      </c>
      <c r="O50" s="398" t="s">
        <v>255</v>
      </c>
      <c r="P50" s="398"/>
      <c r="Q50" s="400" t="s">
        <v>239</v>
      </c>
      <c r="R50" s="401" t="s">
        <v>279</v>
      </c>
      <c r="S50" s="402"/>
    </row>
    <row r="51" spans="8:8">
      <c r="B51" s="397" t="s">
        <v>244</v>
      </c>
      <c r="C51" s="403" t="s">
        <v>280</v>
      </c>
      <c r="D51" s="403"/>
      <c r="E51" s="403"/>
      <c r="F51" s="403"/>
      <c r="G51" s="403"/>
      <c r="H51" s="403"/>
      <c r="I51" s="403"/>
      <c r="J51" s="403"/>
      <c r="K51" s="399" t="s">
        <v>152</v>
      </c>
      <c r="L51" s="403" t="s">
        <v>281</v>
      </c>
      <c r="M51" s="401"/>
      <c r="N51" s="401"/>
      <c r="O51" s="401"/>
      <c r="P51" s="401"/>
      <c r="Q51" s="401"/>
      <c r="R51" s="401"/>
      <c r="S51" s="402"/>
    </row>
    <row r="52" spans="8:8">
      <c r="B52" s="397"/>
      <c r="C52" s="403"/>
      <c r="D52" s="403"/>
      <c r="E52" s="403"/>
      <c r="F52" s="403"/>
      <c r="G52" s="403"/>
      <c r="H52" s="403"/>
      <c r="I52" s="403"/>
      <c r="J52" s="403"/>
      <c r="K52" s="399"/>
      <c r="L52" s="401"/>
      <c r="M52" s="401"/>
      <c r="N52" s="401"/>
      <c r="O52" s="401"/>
      <c r="P52" s="401"/>
      <c r="Q52" s="401"/>
      <c r="R52" s="401"/>
      <c r="S52" s="402"/>
    </row>
    <row r="53" spans="8:8">
      <c r="B53" s="407" t="s">
        <v>282</v>
      </c>
      <c r="C53" s="405"/>
      <c r="D53" s="405"/>
      <c r="E53" s="405"/>
      <c r="F53" s="405"/>
      <c r="G53" s="405"/>
      <c r="H53" s="405"/>
      <c r="I53" s="405"/>
      <c r="J53" s="405"/>
      <c r="K53" s="399"/>
      <c r="L53" s="401"/>
      <c r="M53" s="401"/>
      <c r="N53" s="401"/>
      <c r="O53" s="401"/>
      <c r="P53" s="401"/>
      <c r="Q53" s="401"/>
      <c r="R53" s="401"/>
      <c r="S53" s="402"/>
    </row>
    <row r="54" spans="8:8">
      <c r="B54" s="397" t="s">
        <v>236</v>
      </c>
      <c r="C54" s="398" t="s">
        <v>283</v>
      </c>
      <c r="D54" s="398"/>
      <c r="E54" s="399" t="s">
        <v>238</v>
      </c>
      <c r="F54" s="398" t="s">
        <v>282</v>
      </c>
      <c r="G54" s="398"/>
      <c r="H54" s="400" t="s">
        <v>239</v>
      </c>
      <c r="I54" s="401" t="s">
        <v>240</v>
      </c>
      <c r="J54" s="401"/>
      <c r="K54" s="399"/>
      <c r="L54" s="401"/>
      <c r="M54" s="401"/>
      <c r="N54" s="401"/>
      <c r="O54" s="401"/>
      <c r="P54" s="401"/>
      <c r="Q54" s="401"/>
      <c r="R54" s="401"/>
      <c r="S54" s="402"/>
    </row>
    <row r="55" spans="8:8">
      <c r="B55" s="397" t="s">
        <v>152</v>
      </c>
      <c r="C55" s="401" t="s">
        <v>284</v>
      </c>
      <c r="D55" s="401"/>
      <c r="E55" s="401"/>
      <c r="F55" s="401"/>
      <c r="G55" s="401"/>
      <c r="H55" s="401"/>
      <c r="I55" s="401"/>
      <c r="J55" s="401"/>
      <c r="K55" s="399" t="s">
        <v>236</v>
      </c>
      <c r="L55" s="398" t="s">
        <v>285</v>
      </c>
      <c r="M55" s="398"/>
      <c r="N55" s="399" t="s">
        <v>238</v>
      </c>
      <c r="O55" s="398" t="s">
        <v>255</v>
      </c>
      <c r="P55" s="398"/>
      <c r="Q55" s="400" t="s">
        <v>239</v>
      </c>
      <c r="R55" s="401" t="s">
        <v>104</v>
      </c>
      <c r="S55" s="402"/>
    </row>
    <row r="56" spans="8:8">
      <c r="B56" s="397"/>
      <c r="C56" s="401"/>
      <c r="D56" s="401"/>
      <c r="E56" s="401"/>
      <c r="F56" s="401"/>
      <c r="G56" s="401"/>
      <c r="H56" s="401"/>
      <c r="I56" s="401"/>
      <c r="J56" s="401"/>
      <c r="K56" s="399" t="s">
        <v>152</v>
      </c>
      <c r="L56" s="403" t="s">
        <v>286</v>
      </c>
      <c r="M56" s="403"/>
      <c r="N56" s="403"/>
      <c r="O56" s="403"/>
      <c r="P56" s="403"/>
      <c r="Q56" s="403"/>
      <c r="R56" s="403"/>
      <c r="S56" s="404"/>
    </row>
    <row r="57" spans="8:8" ht="16.35">
      <c r="B57" s="408" t="s">
        <v>244</v>
      </c>
      <c r="C57" s="409" t="s">
        <v>245</v>
      </c>
      <c r="D57" s="409"/>
      <c r="E57" s="409"/>
      <c r="F57" s="409"/>
      <c r="G57" s="409"/>
      <c r="H57" s="409"/>
      <c r="I57" s="409"/>
      <c r="J57" s="409"/>
      <c r="K57" s="410"/>
      <c r="L57" s="411"/>
      <c r="M57" s="411"/>
      <c r="N57" s="411"/>
      <c r="O57" s="411"/>
      <c r="P57" s="411"/>
      <c r="Q57" s="411"/>
      <c r="R57" s="411"/>
      <c r="S57" s="412"/>
    </row>
    <row r="59" spans="8:8">
      <c r="K59" s="413" t="s">
        <v>287</v>
      </c>
      <c r="L59" s="413"/>
      <c r="M59" s="413"/>
      <c r="N59" s="413"/>
      <c r="O59" s="413"/>
      <c r="P59" s="413"/>
      <c r="Q59" s="413"/>
      <c r="R59" s="413"/>
      <c r="S59" s="414"/>
    </row>
    <row r="72" spans="8:8" ht="16.35"/>
    <row r="73" spans="8:8">
      <c r="B73" s="415" t="s">
        <v>288</v>
      </c>
      <c r="C73" s="416"/>
      <c r="D73" s="416"/>
      <c r="E73" s="416"/>
      <c r="F73" s="416"/>
      <c r="G73" s="416"/>
      <c r="H73" s="416"/>
      <c r="I73" s="416"/>
      <c r="J73" s="416"/>
      <c r="K73" s="416"/>
      <c r="L73" s="416"/>
      <c r="M73" s="416"/>
      <c r="N73" s="416"/>
      <c r="O73" s="416"/>
      <c r="P73" s="416"/>
      <c r="Q73" s="416"/>
      <c r="R73" s="416"/>
      <c r="S73" s="417"/>
    </row>
    <row r="74" spans="8:8">
      <c r="B74" s="418" t="s">
        <v>289</v>
      </c>
      <c r="C74" s="419"/>
      <c r="D74" s="419"/>
      <c r="E74" s="419"/>
      <c r="F74" s="419"/>
      <c r="G74" s="419"/>
      <c r="H74" s="419"/>
      <c r="I74" s="419"/>
      <c r="J74" s="419"/>
      <c r="K74" s="420" t="s">
        <v>290</v>
      </c>
      <c r="L74" s="419"/>
      <c r="M74" s="419"/>
      <c r="N74" s="419"/>
      <c r="O74" s="419"/>
      <c r="P74" s="419"/>
      <c r="Q74" s="419"/>
      <c r="R74" s="419"/>
      <c r="S74" s="421"/>
    </row>
    <row r="75" spans="8:8">
      <c r="B75" s="422" t="s">
        <v>236</v>
      </c>
      <c r="C75" s="398" t="s">
        <v>291</v>
      </c>
      <c r="D75" s="398"/>
      <c r="E75" s="423" t="s">
        <v>238</v>
      </c>
      <c r="F75" s="398" t="s">
        <v>292</v>
      </c>
      <c r="G75" s="398"/>
      <c r="H75" s="424" t="s">
        <v>239</v>
      </c>
      <c r="I75" s="398" t="s">
        <v>104</v>
      </c>
      <c r="J75" s="398"/>
      <c r="K75" s="425" t="s">
        <v>236</v>
      </c>
      <c r="L75" s="398" t="s">
        <v>293</v>
      </c>
      <c r="M75" s="398"/>
      <c r="N75" s="423" t="s">
        <v>238</v>
      </c>
      <c r="O75" s="398" t="s">
        <v>289</v>
      </c>
      <c r="P75" s="398"/>
      <c r="Q75" s="424" t="s">
        <v>239</v>
      </c>
      <c r="R75" s="398" t="s">
        <v>104</v>
      </c>
      <c r="S75" s="426"/>
    </row>
    <row r="76" spans="8:8">
      <c r="B76" s="422" t="s">
        <v>152</v>
      </c>
      <c r="C76" s="398" t="s">
        <v>294</v>
      </c>
      <c r="D76" s="398"/>
      <c r="E76" s="398"/>
      <c r="F76" s="398"/>
      <c r="G76" s="398"/>
      <c r="H76" s="398"/>
      <c r="I76" s="398"/>
      <c r="J76" s="398"/>
      <c r="K76" s="425" t="s">
        <v>152</v>
      </c>
      <c r="L76" s="398" t="s">
        <v>295</v>
      </c>
      <c r="M76" s="398"/>
      <c r="N76" s="398"/>
      <c r="O76" s="398"/>
      <c r="P76" s="398"/>
      <c r="Q76" s="398"/>
      <c r="R76" s="398"/>
      <c r="S76" s="426"/>
    </row>
    <row r="77" spans="8:8">
      <c r="B77" s="422"/>
      <c r="C77" s="398"/>
      <c r="D77" s="398"/>
      <c r="E77" s="398"/>
      <c r="F77" s="398"/>
      <c r="G77" s="398"/>
      <c r="H77" s="398"/>
      <c r="I77" s="398"/>
      <c r="J77" s="398"/>
      <c r="K77" s="425"/>
      <c r="L77" s="398"/>
      <c r="M77" s="398"/>
      <c r="N77" s="398"/>
      <c r="O77" s="398"/>
      <c r="P77" s="398"/>
      <c r="Q77" s="398"/>
      <c r="R77" s="398"/>
      <c r="S77" s="426"/>
    </row>
    <row r="78" spans="8:8">
      <c r="B78" s="422" t="s">
        <v>236</v>
      </c>
      <c r="C78" s="398" t="s">
        <v>296</v>
      </c>
      <c r="D78" s="398"/>
      <c r="E78" s="423" t="s">
        <v>238</v>
      </c>
      <c r="F78" s="398" t="s">
        <v>292</v>
      </c>
      <c r="G78" s="398"/>
      <c r="H78" s="424" t="s">
        <v>239</v>
      </c>
      <c r="I78" s="398" t="s">
        <v>104</v>
      </c>
      <c r="J78" s="398"/>
      <c r="K78" s="425" t="s">
        <v>236</v>
      </c>
      <c r="L78" s="398" t="s">
        <v>297</v>
      </c>
      <c r="M78" s="398"/>
      <c r="N78" s="423" t="s">
        <v>238</v>
      </c>
      <c r="O78" s="398" t="s">
        <v>298</v>
      </c>
      <c r="P78" s="398"/>
      <c r="Q78" s="424" t="s">
        <v>239</v>
      </c>
      <c r="R78" s="398" t="s">
        <v>86</v>
      </c>
      <c r="S78" s="426"/>
    </row>
    <row r="79" spans="8:8">
      <c r="B79" s="422" t="s">
        <v>152</v>
      </c>
      <c r="C79" s="398" t="s">
        <v>299</v>
      </c>
      <c r="D79" s="398"/>
      <c r="E79" s="398"/>
      <c r="F79" s="398"/>
      <c r="G79" s="398"/>
      <c r="H79" s="398"/>
      <c r="I79" s="398"/>
      <c r="J79" s="398"/>
      <c r="K79" s="425" t="s">
        <v>152</v>
      </c>
      <c r="L79" s="398" t="s">
        <v>300</v>
      </c>
      <c r="M79" s="398"/>
      <c r="N79" s="398"/>
      <c r="O79" s="398"/>
      <c r="P79" s="398"/>
      <c r="Q79" s="398"/>
      <c r="R79" s="398"/>
      <c r="S79" s="426"/>
    </row>
    <row r="80" spans="8:8">
      <c r="B80" s="422"/>
      <c r="C80" s="398"/>
      <c r="D80" s="398"/>
      <c r="E80" s="398"/>
      <c r="F80" s="398"/>
      <c r="G80" s="398"/>
      <c r="H80" s="398"/>
      <c r="I80" s="398"/>
      <c r="J80" s="398"/>
      <c r="K80" s="425"/>
      <c r="L80" s="398"/>
      <c r="M80" s="398"/>
      <c r="N80" s="398"/>
      <c r="O80" s="398"/>
      <c r="P80" s="398"/>
      <c r="Q80" s="398"/>
      <c r="R80" s="398"/>
      <c r="S80" s="426"/>
    </row>
    <row r="81" spans="8:8">
      <c r="B81" s="422" t="s">
        <v>236</v>
      </c>
      <c r="C81" s="398" t="s">
        <v>301</v>
      </c>
      <c r="D81" s="398"/>
      <c r="E81" s="423" t="s">
        <v>238</v>
      </c>
      <c r="F81" s="398" t="s">
        <v>292</v>
      </c>
      <c r="G81" s="398"/>
      <c r="H81" s="424" t="s">
        <v>239</v>
      </c>
      <c r="I81" s="398" t="s">
        <v>258</v>
      </c>
      <c r="J81" s="398"/>
      <c r="K81" s="425" t="s">
        <v>236</v>
      </c>
      <c r="L81" s="398" t="s">
        <v>302</v>
      </c>
      <c r="M81" s="398"/>
      <c r="N81" s="423" t="s">
        <v>238</v>
      </c>
      <c r="O81" s="398" t="s">
        <v>292</v>
      </c>
      <c r="P81" s="398"/>
      <c r="Q81" s="424" t="s">
        <v>239</v>
      </c>
      <c r="R81" s="398" t="s">
        <v>258</v>
      </c>
      <c r="S81" s="426"/>
    </row>
    <row r="82" spans="8:8">
      <c r="B82" s="422" t="s">
        <v>152</v>
      </c>
      <c r="C82" s="398" t="s">
        <v>303</v>
      </c>
      <c r="D82" s="398"/>
      <c r="E82" s="398"/>
      <c r="F82" s="398"/>
      <c r="G82" s="398"/>
      <c r="H82" s="398"/>
      <c r="I82" s="398"/>
      <c r="J82" s="398"/>
      <c r="K82" s="425" t="s">
        <v>152</v>
      </c>
      <c r="L82" s="398" t="s">
        <v>304</v>
      </c>
      <c r="M82" s="398"/>
      <c r="N82" s="398"/>
      <c r="O82" s="398"/>
      <c r="P82" s="398"/>
      <c r="Q82" s="398"/>
      <c r="R82" s="398"/>
      <c r="S82" s="426"/>
    </row>
    <row r="83" spans="8:8">
      <c r="B83" s="422"/>
      <c r="C83" s="398"/>
      <c r="D83" s="398"/>
      <c r="E83" s="398"/>
      <c r="F83" s="398"/>
      <c r="G83" s="398"/>
      <c r="H83" s="398"/>
      <c r="I83" s="398"/>
      <c r="J83" s="398"/>
      <c r="K83" s="425"/>
      <c r="L83" s="398"/>
      <c r="M83" s="398"/>
      <c r="N83" s="398"/>
      <c r="O83" s="398"/>
      <c r="P83" s="398"/>
      <c r="Q83" s="398"/>
      <c r="R83" s="398"/>
      <c r="S83" s="426"/>
    </row>
    <row r="84" spans="8:8">
      <c r="B84" s="422" t="s">
        <v>236</v>
      </c>
      <c r="C84" s="398" t="s">
        <v>305</v>
      </c>
      <c r="D84" s="398"/>
      <c r="E84" s="423" t="s">
        <v>238</v>
      </c>
      <c r="F84" s="398" t="s">
        <v>298</v>
      </c>
      <c r="G84" s="398"/>
      <c r="H84" s="424" t="s">
        <v>239</v>
      </c>
      <c r="I84" s="398" t="s">
        <v>86</v>
      </c>
      <c r="J84" s="398"/>
      <c r="K84" s="425" t="s">
        <v>236</v>
      </c>
      <c r="L84" s="398" t="s">
        <v>306</v>
      </c>
      <c r="M84" s="398"/>
      <c r="N84" s="423" t="s">
        <v>238</v>
      </c>
      <c r="O84" s="398" t="s">
        <v>289</v>
      </c>
      <c r="P84" s="398"/>
      <c r="Q84" s="424" t="s">
        <v>239</v>
      </c>
      <c r="R84" s="398" t="s">
        <v>104</v>
      </c>
      <c r="S84" s="426"/>
    </row>
    <row r="85" spans="8:8">
      <c r="B85" s="422" t="s">
        <v>152</v>
      </c>
      <c r="C85" s="427" t="s">
        <v>307</v>
      </c>
      <c r="D85" s="428"/>
      <c r="E85" s="428"/>
      <c r="F85" s="428"/>
      <c r="G85" s="428"/>
      <c r="H85" s="428"/>
      <c r="I85" s="428"/>
      <c r="J85" s="429"/>
      <c r="K85" s="425" t="s">
        <v>152</v>
      </c>
      <c r="L85" s="427" t="s">
        <v>308</v>
      </c>
      <c r="M85" s="428"/>
      <c r="N85" s="428"/>
      <c r="O85" s="428"/>
      <c r="P85" s="428"/>
      <c r="Q85" s="428"/>
      <c r="R85" s="428"/>
      <c r="S85" s="430"/>
    </row>
    <row r="86" spans="8:8">
      <c r="B86" s="422"/>
      <c r="C86" s="431"/>
      <c r="D86" s="432"/>
      <c r="E86" s="432"/>
      <c r="F86" s="432"/>
      <c r="G86" s="432"/>
      <c r="H86" s="432"/>
      <c r="I86" s="432"/>
      <c r="J86" s="433"/>
      <c r="K86" s="425"/>
      <c r="L86" s="431"/>
      <c r="M86" s="432"/>
      <c r="N86" s="432"/>
      <c r="O86" s="432"/>
      <c r="P86" s="432"/>
      <c r="Q86" s="432"/>
      <c r="R86" s="432"/>
      <c r="S86" s="434"/>
    </row>
    <row r="87" spans="8:8">
      <c r="B87" s="422"/>
      <c r="C87" s="431"/>
      <c r="D87" s="432"/>
      <c r="E87" s="432"/>
      <c r="F87" s="432"/>
      <c r="G87" s="432"/>
      <c r="H87" s="432"/>
      <c r="I87" s="432"/>
      <c r="J87" s="433"/>
      <c r="K87" s="425"/>
      <c r="L87" s="431"/>
      <c r="M87" s="432"/>
      <c r="N87" s="432"/>
      <c r="O87" s="432"/>
      <c r="P87" s="432"/>
      <c r="Q87" s="432"/>
      <c r="R87" s="432"/>
      <c r="S87" s="434"/>
    </row>
    <row r="88" spans="8:8">
      <c r="B88" s="422"/>
      <c r="C88" s="435"/>
      <c r="D88" s="436"/>
      <c r="E88" s="436"/>
      <c r="F88" s="436"/>
      <c r="G88" s="436"/>
      <c r="H88" s="436"/>
      <c r="I88" s="436"/>
      <c r="J88" s="437"/>
      <c r="K88" s="425"/>
      <c r="L88" s="435"/>
      <c r="M88" s="436"/>
      <c r="N88" s="436"/>
      <c r="O88" s="436"/>
      <c r="P88" s="436"/>
      <c r="Q88" s="436"/>
      <c r="R88" s="436"/>
      <c r="S88" s="438"/>
    </row>
    <row r="89" spans="8:8">
      <c r="B89" s="422" t="s">
        <v>236</v>
      </c>
      <c r="C89" s="398" t="s">
        <v>309</v>
      </c>
      <c r="D89" s="398"/>
      <c r="E89" s="423" t="s">
        <v>238</v>
      </c>
      <c r="F89" s="398" t="s">
        <v>292</v>
      </c>
      <c r="G89" s="398"/>
      <c r="H89" s="424" t="s">
        <v>239</v>
      </c>
      <c r="I89" s="398" t="s">
        <v>104</v>
      </c>
      <c r="J89" s="398"/>
      <c r="K89" s="425" t="s">
        <v>236</v>
      </c>
      <c r="L89" s="398" t="s">
        <v>310</v>
      </c>
      <c r="M89" s="398"/>
      <c r="N89" s="423" t="s">
        <v>238</v>
      </c>
      <c r="O89" s="398" t="s">
        <v>298</v>
      </c>
      <c r="P89" s="398"/>
      <c r="Q89" s="424" t="s">
        <v>239</v>
      </c>
      <c r="R89" s="398" t="s">
        <v>311</v>
      </c>
      <c r="S89" s="426"/>
    </row>
    <row r="90" spans="8:8">
      <c r="B90" s="422" t="s">
        <v>152</v>
      </c>
      <c r="C90" s="427" t="s">
        <v>312</v>
      </c>
      <c r="D90" s="428"/>
      <c r="E90" s="428"/>
      <c r="F90" s="428"/>
      <c r="G90" s="428"/>
      <c r="H90" s="428"/>
      <c r="I90" s="428"/>
      <c r="J90" s="429"/>
      <c r="K90" s="425" t="s">
        <v>152</v>
      </c>
      <c r="L90" s="398" t="s">
        <v>313</v>
      </c>
      <c r="M90" s="398"/>
      <c r="N90" s="398"/>
      <c r="O90" s="398"/>
      <c r="P90" s="398"/>
      <c r="Q90" s="398"/>
      <c r="R90" s="398"/>
      <c r="S90" s="426"/>
    </row>
    <row r="91" spans="8:8">
      <c r="B91" s="422"/>
      <c r="C91" s="431"/>
      <c r="D91" s="432"/>
      <c r="E91" s="432"/>
      <c r="F91" s="432"/>
      <c r="G91" s="432"/>
      <c r="H91" s="432"/>
      <c r="I91" s="432"/>
      <c r="J91" s="433"/>
      <c r="K91" s="425"/>
      <c r="L91" s="398"/>
      <c r="M91" s="398"/>
      <c r="N91" s="398"/>
      <c r="O91" s="398"/>
      <c r="P91" s="398"/>
      <c r="Q91" s="398"/>
      <c r="R91" s="398"/>
      <c r="S91" s="426"/>
    </row>
    <row r="92" spans="8:8">
      <c r="B92" s="422"/>
      <c r="C92" s="431"/>
      <c r="D92" s="432"/>
      <c r="E92" s="432"/>
      <c r="F92" s="432"/>
      <c r="G92" s="432"/>
      <c r="H92" s="432"/>
      <c r="I92" s="432"/>
      <c r="J92" s="433"/>
      <c r="K92" s="425"/>
      <c r="L92" s="398"/>
      <c r="M92" s="398"/>
      <c r="N92" s="398"/>
      <c r="O92" s="398"/>
      <c r="P92" s="398"/>
      <c r="Q92" s="398"/>
      <c r="R92" s="398"/>
      <c r="S92" s="426"/>
    </row>
    <row r="93" spans="8:8">
      <c r="B93" s="422"/>
      <c r="C93" s="435"/>
      <c r="D93" s="436"/>
      <c r="E93" s="436"/>
      <c r="F93" s="436"/>
      <c r="G93" s="436"/>
      <c r="H93" s="436"/>
      <c r="I93" s="436"/>
      <c r="J93" s="437"/>
      <c r="K93" s="425"/>
      <c r="L93" s="398"/>
      <c r="M93" s="398"/>
      <c r="N93" s="398"/>
      <c r="O93" s="398"/>
      <c r="P93" s="398"/>
      <c r="Q93" s="398"/>
      <c r="R93" s="398"/>
      <c r="S93" s="426"/>
    </row>
    <row r="94" spans="8:8">
      <c r="B94" s="422" t="s">
        <v>236</v>
      </c>
      <c r="C94" s="398" t="s">
        <v>314</v>
      </c>
      <c r="D94" s="398"/>
      <c r="E94" s="423" t="s">
        <v>238</v>
      </c>
      <c r="F94" s="398" t="s">
        <v>292</v>
      </c>
      <c r="G94" s="398"/>
      <c r="H94" s="424" t="s">
        <v>239</v>
      </c>
      <c r="I94" s="398" t="s">
        <v>250</v>
      </c>
      <c r="J94" s="398"/>
      <c r="K94" s="425"/>
      <c r="L94" s="398"/>
      <c r="M94" s="398"/>
      <c r="N94" s="398"/>
      <c r="O94" s="398"/>
      <c r="P94" s="398"/>
      <c r="Q94" s="398"/>
      <c r="R94" s="398"/>
      <c r="S94" s="426"/>
    </row>
    <row r="95" spans="8:8">
      <c r="B95" s="422" t="s">
        <v>152</v>
      </c>
      <c r="C95" s="398" t="s">
        <v>315</v>
      </c>
      <c r="D95" s="398"/>
      <c r="E95" s="398"/>
      <c r="F95" s="398"/>
      <c r="G95" s="398"/>
      <c r="H95" s="398"/>
      <c r="I95" s="398"/>
      <c r="J95" s="398"/>
      <c r="K95" s="425"/>
      <c r="L95" s="398"/>
      <c r="M95" s="398"/>
      <c r="N95" s="398"/>
      <c r="O95" s="398"/>
      <c r="P95" s="398"/>
      <c r="Q95" s="398"/>
      <c r="R95" s="398"/>
      <c r="S95" s="426"/>
    </row>
    <row r="96" spans="8:8">
      <c r="B96" s="422"/>
      <c r="C96" s="398"/>
      <c r="D96" s="398"/>
      <c r="E96" s="398"/>
      <c r="F96" s="398"/>
      <c r="G96" s="398"/>
      <c r="H96" s="398"/>
      <c r="I96" s="398"/>
      <c r="J96" s="398"/>
      <c r="K96" s="425" t="s">
        <v>236</v>
      </c>
      <c r="L96" s="398" t="s">
        <v>316</v>
      </c>
      <c r="M96" s="398"/>
      <c r="N96" s="423" t="s">
        <v>238</v>
      </c>
      <c r="O96" s="398" t="s">
        <v>292</v>
      </c>
      <c r="P96" s="398"/>
      <c r="Q96" s="424" t="s">
        <v>239</v>
      </c>
      <c r="R96" s="398" t="s">
        <v>104</v>
      </c>
      <c r="S96" s="426"/>
    </row>
    <row r="97" spans="8:8">
      <c r="B97" s="422" t="s">
        <v>236</v>
      </c>
      <c r="C97" s="398" t="s">
        <v>317</v>
      </c>
      <c r="D97" s="398"/>
      <c r="E97" s="423" t="s">
        <v>238</v>
      </c>
      <c r="F97" s="398" t="s">
        <v>292</v>
      </c>
      <c r="G97" s="398"/>
      <c r="H97" s="424" t="s">
        <v>239</v>
      </c>
      <c r="I97" s="398" t="s">
        <v>318</v>
      </c>
      <c r="J97" s="398"/>
      <c r="K97" s="425" t="s">
        <v>152</v>
      </c>
      <c r="L97" s="398" t="s">
        <v>319</v>
      </c>
      <c r="M97" s="398"/>
      <c r="N97" s="398"/>
      <c r="O97" s="398"/>
      <c r="P97" s="398"/>
      <c r="Q97" s="398"/>
      <c r="R97" s="398"/>
      <c r="S97" s="426"/>
    </row>
    <row r="98" spans="8:8">
      <c r="B98" s="422" t="s">
        <v>152</v>
      </c>
      <c r="C98" s="398" t="s">
        <v>320</v>
      </c>
      <c r="D98" s="398"/>
      <c r="E98" s="398"/>
      <c r="F98" s="398"/>
      <c r="G98" s="398"/>
      <c r="H98" s="398"/>
      <c r="I98" s="398"/>
      <c r="J98" s="398"/>
      <c r="K98" s="425"/>
      <c r="L98" s="398"/>
      <c r="M98" s="398"/>
      <c r="N98" s="398"/>
      <c r="O98" s="398"/>
      <c r="P98" s="398"/>
      <c r="Q98" s="398"/>
      <c r="R98" s="398"/>
      <c r="S98" s="426"/>
    </row>
    <row r="99" spans="8:8">
      <c r="B99" s="422"/>
      <c r="C99" s="398"/>
      <c r="D99" s="398"/>
      <c r="E99" s="398"/>
      <c r="F99" s="398"/>
      <c r="G99" s="398"/>
      <c r="H99" s="398"/>
      <c r="I99" s="398"/>
      <c r="J99" s="398"/>
      <c r="K99" s="425"/>
      <c r="L99" s="398"/>
      <c r="M99" s="398"/>
      <c r="N99" s="398"/>
      <c r="O99" s="398"/>
      <c r="P99" s="398"/>
      <c r="Q99" s="398"/>
      <c r="R99" s="398"/>
      <c r="S99" s="426"/>
    </row>
    <row r="100" spans="8:8">
      <c r="B100" s="422"/>
      <c r="C100" s="398"/>
      <c r="D100" s="398"/>
      <c r="E100" s="398"/>
      <c r="F100" s="398"/>
      <c r="G100" s="398"/>
      <c r="H100" s="398"/>
      <c r="I100" s="398"/>
      <c r="J100" s="398"/>
      <c r="K100" s="425"/>
      <c r="L100" s="398"/>
      <c r="M100" s="398"/>
      <c r="N100" s="398"/>
      <c r="O100" s="398"/>
      <c r="P100" s="398"/>
      <c r="Q100" s="398"/>
      <c r="R100" s="398"/>
      <c r="S100" s="426"/>
    </row>
    <row r="101" spans="8:8">
      <c r="B101" s="422"/>
      <c r="C101" s="398"/>
      <c r="D101" s="398"/>
      <c r="E101" s="398"/>
      <c r="F101" s="398"/>
      <c r="G101" s="398"/>
      <c r="H101" s="398"/>
      <c r="I101" s="398"/>
      <c r="J101" s="398"/>
      <c r="K101" s="425" t="s">
        <v>236</v>
      </c>
      <c r="L101" s="398" t="s">
        <v>321</v>
      </c>
      <c r="M101" s="398"/>
      <c r="N101" s="423" t="s">
        <v>238</v>
      </c>
      <c r="O101" s="398" t="s">
        <v>292</v>
      </c>
      <c r="P101" s="398"/>
      <c r="Q101" s="424" t="s">
        <v>239</v>
      </c>
      <c r="R101" s="398" t="s">
        <v>104</v>
      </c>
      <c r="S101" s="426"/>
    </row>
    <row r="102" spans="8:8">
      <c r="B102" s="422" t="s">
        <v>244</v>
      </c>
      <c r="C102" s="398" t="s">
        <v>322</v>
      </c>
      <c r="D102" s="398"/>
      <c r="E102" s="398"/>
      <c r="F102" s="398"/>
      <c r="G102" s="398"/>
      <c r="H102" s="398"/>
      <c r="I102" s="398"/>
      <c r="J102" s="398"/>
      <c r="K102" s="425" t="s">
        <v>152</v>
      </c>
      <c r="L102" s="398" t="s">
        <v>323</v>
      </c>
      <c r="M102" s="398"/>
      <c r="N102" s="398"/>
      <c r="O102" s="398"/>
      <c r="P102" s="398"/>
      <c r="Q102" s="398"/>
      <c r="R102" s="398"/>
      <c r="S102" s="426"/>
    </row>
    <row r="103" spans="8:8" ht="16.35">
      <c r="B103" s="439"/>
      <c r="C103" s="440"/>
      <c r="D103" s="440"/>
      <c r="E103" s="440"/>
      <c r="F103" s="440"/>
      <c r="G103" s="440"/>
      <c r="H103" s="440"/>
      <c r="I103" s="440"/>
      <c r="J103" s="440"/>
      <c r="K103" s="425"/>
      <c r="L103" s="398"/>
      <c r="M103" s="398"/>
      <c r="N103" s="398"/>
      <c r="O103" s="398"/>
      <c r="P103" s="398"/>
      <c r="Q103" s="398"/>
      <c r="R103" s="398"/>
      <c r="S103" s="426"/>
    </row>
    <row r="104" spans="8:8">
      <c r="K104" s="422"/>
      <c r="L104" s="398"/>
      <c r="M104" s="398"/>
      <c r="N104" s="398"/>
      <c r="O104" s="398"/>
      <c r="P104" s="398"/>
      <c r="Q104" s="398"/>
      <c r="R104" s="398"/>
      <c r="S104" s="426"/>
    </row>
    <row r="105" spans="8:8" ht="16.35">
      <c r="K105" s="439"/>
      <c r="L105" s="440"/>
      <c r="M105" s="440"/>
      <c r="N105" s="440"/>
      <c r="O105" s="440"/>
      <c r="P105" s="440"/>
      <c r="Q105" s="440"/>
      <c r="R105" s="440"/>
      <c r="S105" s="441"/>
    </row>
  </sheetData>
  <mergeCells count="189">
    <mergeCell ref="B55:B56"/>
    <mergeCell ref="L78:M78"/>
    <mergeCell ref="C85:J88"/>
    <mergeCell ref="C82:J83"/>
    <mergeCell ref="K76:K77"/>
    <mergeCell ref="F81:G81"/>
    <mergeCell ref="C76:J77"/>
    <mergeCell ref="C23:J24"/>
    <mergeCell ref="R42:S42"/>
    <mergeCell ref="C44:J47"/>
    <mergeCell ref="C48:J48"/>
    <mergeCell ref="J6:S6"/>
    <mergeCell ref="J2:S2"/>
    <mergeCell ref="F26:G26"/>
    <mergeCell ref="O81:P81"/>
    <mergeCell ref="L43:S46"/>
    <mergeCell ref="O89:P89"/>
    <mergeCell ref="O84:P84"/>
    <mergeCell ref="C55:J56"/>
    <mergeCell ref="R89:S89"/>
    <mergeCell ref="L41:S41"/>
    <mergeCell ref="K28:K31"/>
    <mergeCell ref="B44:B47"/>
    <mergeCell ref="C38:J38"/>
    <mergeCell ref="K43:K46"/>
    <mergeCell ref="B74:J74"/>
    <mergeCell ref="B73:S73"/>
    <mergeCell ref="F35:G35"/>
    <mergeCell ref="L84:M84"/>
    <mergeCell ref="B85:B88"/>
    <mergeCell ref="D17:I17"/>
    <mergeCell ref="L47:M47"/>
    <mergeCell ref="O36:P36"/>
    <mergeCell ref="B40:B41"/>
    <mergeCell ref="J7:S7"/>
    <mergeCell ref="R50:S50"/>
    <mergeCell ref="B95:B96"/>
    <mergeCell ref="L102:S105"/>
    <mergeCell ref="J4:S4"/>
    <mergeCell ref="L48:S49"/>
    <mergeCell ref="C31:J32"/>
    <mergeCell ref="J8:S8"/>
    <mergeCell ref="J3:S3"/>
    <mergeCell ref="C102:J103"/>
    <mergeCell ref="L76:S77"/>
    <mergeCell ref="L82:S83"/>
    <mergeCell ref="O96:P96"/>
    <mergeCell ref="C94:D94"/>
    <mergeCell ref="R96:S96"/>
    <mergeCell ref="R75:S75"/>
    <mergeCell ref="I26:J26"/>
    <mergeCell ref="I78:J78"/>
    <mergeCell ref="L75:M75"/>
    <mergeCell ref="L33:M33"/>
    <mergeCell ref="O27:P27"/>
    <mergeCell ref="I97:J97"/>
    <mergeCell ref="I75:J75"/>
    <mergeCell ref="C51:J52"/>
    <mergeCell ref="J15:S15"/>
    <mergeCell ref="B34:J34"/>
    <mergeCell ref="I94:J94"/>
    <mergeCell ref="O50:P50"/>
    <mergeCell ref="C97:D97"/>
    <mergeCell ref="F94:G94"/>
    <mergeCell ref="F84:G84"/>
    <mergeCell ref="B98:B101"/>
    <mergeCell ref="B21:J21"/>
    <mergeCell ref="R36:S36"/>
    <mergeCell ref="C54:D54"/>
    <mergeCell ref="J11:S11"/>
    <mergeCell ref="O47:P47"/>
    <mergeCell ref="C30:D30"/>
    <mergeCell ref="F43:G43"/>
    <mergeCell ref="J16:S16"/>
    <mergeCell ref="J12:S12"/>
    <mergeCell ref="I43:J43"/>
    <mergeCell ref="L22:M22"/>
    <mergeCell ref="R33:S33"/>
    <mergeCell ref="J17:S17"/>
    <mergeCell ref="L42:M42"/>
    <mergeCell ref="K21:S21"/>
    <mergeCell ref="I54:J54"/>
    <mergeCell ref="J13:S13"/>
    <mergeCell ref="B102:B103"/>
    <mergeCell ref="L56:S57"/>
    <mergeCell ref="B2:C2"/>
    <mergeCell ref="O42:P42"/>
    <mergeCell ref="B51:B52"/>
    <mergeCell ref="F89:G89"/>
    <mergeCell ref="K48:K49"/>
    <mergeCell ref="R81:S81"/>
    <mergeCell ref="F75:G75"/>
    <mergeCell ref="O78:P78"/>
    <mergeCell ref="F54:G54"/>
    <mergeCell ref="L55:M55"/>
    <mergeCell ref="L23:S26"/>
    <mergeCell ref="B36:B37"/>
    <mergeCell ref="I22:J22"/>
    <mergeCell ref="L79:S80"/>
    <mergeCell ref="I39:J39"/>
    <mergeCell ref="C90:J93"/>
    <mergeCell ref="R101:S101"/>
    <mergeCell ref="K102:K105"/>
    <mergeCell ref="L89:M89"/>
    <mergeCell ref="L90:S95"/>
    <mergeCell ref="F39:G39"/>
    <mergeCell ref="I35:J35"/>
    <mergeCell ref="D2:I2"/>
    <mergeCell ref="K56:K57"/>
    <mergeCell ref="B31:B32"/>
    <mergeCell ref="L36:M36"/>
    <mergeCell ref="K82:K83"/>
    <mergeCell ref="L97:S100"/>
    <mergeCell ref="C84:D84"/>
    <mergeCell ref="K79:K80"/>
    <mergeCell ref="L96:M96"/>
    <mergeCell ref="K85:K88"/>
    <mergeCell ref="K90:K95"/>
    <mergeCell ref="F97:G97"/>
    <mergeCell ref="C50:J50"/>
    <mergeCell ref="K32:S32"/>
    <mergeCell ref="B23:B24"/>
    <mergeCell ref="K74:S74"/>
    <mergeCell ref="F22:G22"/>
    <mergeCell ref="C35:D35"/>
    <mergeCell ref="I81:J81"/>
    <mergeCell ref="L28:S31"/>
    <mergeCell ref="C78:D78"/>
    <mergeCell ref="B27:B28"/>
    <mergeCell ref="L51:S54"/>
    <mergeCell ref="C42:J42"/>
    <mergeCell ref="L85:S88"/>
    <mergeCell ref="C29:J29"/>
    <mergeCell ref="R78:S78"/>
    <mergeCell ref="L81:M81"/>
    <mergeCell ref="I84:J84"/>
    <mergeCell ref="B79:B80"/>
    <mergeCell ref="O33:P33"/>
    <mergeCell ref="K59:S59"/>
    <mergeCell ref="K23:K26"/>
    <mergeCell ref="R47:S47"/>
    <mergeCell ref="C81:D81"/>
    <mergeCell ref="K97:K100"/>
    <mergeCell ref="C95:J96"/>
    <mergeCell ref="I30:J30"/>
    <mergeCell ref="K37:K40"/>
    <mergeCell ref="B53:J53"/>
    <mergeCell ref="B90:B93"/>
    <mergeCell ref="O101:P101"/>
    <mergeCell ref="C25:J25"/>
    <mergeCell ref="L50:M50"/>
    <mergeCell ref="J5:S5"/>
    <mergeCell ref="J10:S10"/>
    <mergeCell ref="J9:S9"/>
    <mergeCell ref="R55:S55"/>
    <mergeCell ref="C39:D39"/>
    <mergeCell ref="R22:S22"/>
    <mergeCell ref="C27:J28"/>
    <mergeCell ref="O55:P55"/>
    <mergeCell ref="F30:G30"/>
    <mergeCell ref="C49:J49"/>
    <mergeCell ref="L27:M27"/>
    <mergeCell ref="C57:J57"/>
    <mergeCell ref="B76:B77"/>
    <mergeCell ref="R84:S84"/>
    <mergeCell ref="C26:D26"/>
    <mergeCell ref="K51:K54"/>
    <mergeCell ref="L37:S40"/>
    <mergeCell ref="B19:S19"/>
    <mergeCell ref="J14:S14"/>
    <mergeCell ref="R27:S27"/>
    <mergeCell ref="O22:P22"/>
    <mergeCell ref="C22:D22"/>
    <mergeCell ref="C79:J80"/>
    <mergeCell ref="K34:K35"/>
    <mergeCell ref="C75:D75"/>
    <mergeCell ref="F78:G78"/>
    <mergeCell ref="C89:D89"/>
    <mergeCell ref="I89:J89"/>
    <mergeCell ref="C98:J101"/>
    <mergeCell ref="B20:S20"/>
    <mergeCell ref="C43:D43"/>
    <mergeCell ref="C36:J37"/>
    <mergeCell ref="C33:J33"/>
    <mergeCell ref="L34:S35"/>
    <mergeCell ref="C40:J41"/>
    <mergeCell ref="B82:B83"/>
    <mergeCell ref="L101:M101"/>
    <mergeCell ref="O75:P75"/>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AT75"/>
  <sheetViews>
    <sheetView workbookViewId="0">
      <pane ySplit="2" topLeftCell="A65" state="frozen" activePane="bottomLeft"/>
      <selection pane="bottomLeft" activeCell="A75" sqref="A75"/>
    </sheetView>
  </sheetViews>
  <sheetFormatPr defaultRowHeight="17.4" customHeight="1" defaultColWidth="10"/>
  <cols>
    <col min="1" max="16384" customWidth="0" width="8.796875" style="442"/>
  </cols>
  <sheetData>
    <row r="1" spans="8:8" ht="17.4" customHeight="1">
      <c r="A1" s="443" t="s">
        <v>324</v>
      </c>
      <c r="B1" s="443"/>
      <c r="C1" s="443"/>
      <c r="D1" s="443"/>
      <c r="E1" s="443"/>
      <c r="F1" s="443"/>
      <c r="G1" s="443"/>
      <c r="H1" s="443"/>
      <c r="I1" s="444" t="s">
        <v>325</v>
      </c>
      <c r="J1" s="444"/>
      <c r="K1" s="444"/>
      <c r="L1" s="444"/>
      <c r="M1" s="444"/>
      <c r="N1" s="444"/>
      <c r="O1" s="444"/>
      <c r="P1" s="444"/>
    </row>
    <row r="2" spans="8:8" ht="17.4" customHeight="1">
      <c r="A2" s="445" t="s">
        <v>73</v>
      </c>
      <c r="B2" s="445" t="s">
        <v>81</v>
      </c>
      <c r="C2" s="445" t="s">
        <v>326</v>
      </c>
      <c r="D2" s="445" t="s">
        <v>58</v>
      </c>
      <c r="E2" s="445" t="s">
        <v>76</v>
      </c>
      <c r="F2" s="445" t="s">
        <v>82</v>
      </c>
      <c r="G2" s="445" t="s">
        <v>327</v>
      </c>
      <c r="H2" s="445" t="s">
        <v>88</v>
      </c>
      <c r="I2" s="446" t="s">
        <v>73</v>
      </c>
      <c r="J2" s="446" t="s">
        <v>81</v>
      </c>
      <c r="K2" s="446" t="s">
        <v>326</v>
      </c>
      <c r="L2" s="446" t="s">
        <v>58</v>
      </c>
      <c r="M2" s="446" t="s">
        <v>76</v>
      </c>
      <c r="N2" s="446" t="s">
        <v>82</v>
      </c>
      <c r="O2" s="446" t="s">
        <v>327</v>
      </c>
      <c r="P2" s="446" t="s">
        <v>88</v>
      </c>
    </row>
    <row r="3" spans="8:8" ht="17.4" customHeight="1">
      <c r="A3" s="442" t="s">
        <v>74</v>
      </c>
      <c r="B3" s="442" t="s">
        <v>328</v>
      </c>
      <c r="C3" s="442" t="s">
        <v>329</v>
      </c>
      <c r="D3" s="442" t="s">
        <v>160</v>
      </c>
      <c r="E3" s="442">
        <v>1.0</v>
      </c>
      <c r="F3" s="442">
        <v>1.0</v>
      </c>
      <c r="G3" s="442">
        <v>1.0</v>
      </c>
      <c r="H3" s="447" t="s">
        <v>330</v>
      </c>
    </row>
    <row r="4" spans="8:8" ht="17.4" customHeight="1">
      <c r="A4" s="442" t="s">
        <v>74</v>
      </c>
      <c r="B4" s="442" t="s">
        <v>328</v>
      </c>
      <c r="C4" s="442" t="s">
        <v>329</v>
      </c>
      <c r="D4" s="442" t="s">
        <v>163</v>
      </c>
      <c r="E4" s="442">
        <v>2.0</v>
      </c>
      <c r="F4" s="442">
        <v>1.0</v>
      </c>
      <c r="G4" s="442">
        <v>1.0</v>
      </c>
      <c r="H4" s="447" t="s">
        <v>330</v>
      </c>
    </row>
    <row r="5" spans="8:8" ht="17.4" customHeight="1">
      <c r="A5" s="442" t="s">
        <v>74</v>
      </c>
      <c r="B5" s="442" t="s">
        <v>328</v>
      </c>
      <c r="C5" s="442" t="s">
        <v>329</v>
      </c>
      <c r="D5" s="442" t="s">
        <v>78</v>
      </c>
      <c r="E5" s="442">
        <v>3.0</v>
      </c>
      <c r="F5" s="442">
        <v>1.0</v>
      </c>
      <c r="G5" s="442">
        <v>1.0</v>
      </c>
      <c r="H5" s="447" t="s">
        <v>330</v>
      </c>
    </row>
    <row r="6" spans="8:8" ht="17.4" customHeight="1">
      <c r="A6" s="442" t="s">
        <v>74</v>
      </c>
      <c r="B6" s="442" t="s">
        <v>328</v>
      </c>
      <c r="C6" s="442" t="s">
        <v>329</v>
      </c>
      <c r="D6" s="442" t="s">
        <v>168</v>
      </c>
      <c r="E6" s="442">
        <v>4.0</v>
      </c>
      <c r="F6" s="442">
        <v>1.0</v>
      </c>
      <c r="G6" s="442">
        <v>1.0</v>
      </c>
      <c r="H6" s="447" t="s">
        <v>330</v>
      </c>
    </row>
    <row r="7" spans="8:8" ht="17.4" customHeight="1">
      <c r="A7" s="442" t="s">
        <v>74</v>
      </c>
      <c r="B7" s="442" t="s">
        <v>328</v>
      </c>
      <c r="C7" s="442" t="s">
        <v>329</v>
      </c>
      <c r="D7" s="442" t="s">
        <v>95</v>
      </c>
      <c r="E7" s="442">
        <v>5.0</v>
      </c>
      <c r="F7" s="442">
        <v>1.0</v>
      </c>
      <c r="G7" s="442">
        <v>1.0</v>
      </c>
      <c r="H7" s="447" t="s">
        <v>330</v>
      </c>
    </row>
    <row r="8" spans="8:8" ht="17.4" customHeight="1">
      <c r="A8" s="442" t="s">
        <v>93</v>
      </c>
      <c r="B8" s="442" t="s">
        <v>328</v>
      </c>
      <c r="C8" s="442" t="s">
        <v>86</v>
      </c>
      <c r="D8" s="442" t="s">
        <v>160</v>
      </c>
      <c r="E8" s="442">
        <v>1.0</v>
      </c>
      <c r="F8" s="442">
        <v>0.0</v>
      </c>
      <c r="G8" s="442">
        <v>0.0</v>
      </c>
      <c r="H8" s="442" t="s">
        <v>331</v>
      </c>
    </row>
    <row r="9" spans="8:8" ht="17.4" customHeight="1">
      <c r="A9" s="442" t="s">
        <v>93</v>
      </c>
      <c r="B9" s="442" t="s">
        <v>328</v>
      </c>
      <c r="C9" s="442" t="s">
        <v>86</v>
      </c>
      <c r="D9" s="442" t="s">
        <v>163</v>
      </c>
      <c r="E9" s="442">
        <v>2.0</v>
      </c>
      <c r="F9" s="442">
        <v>0.0</v>
      </c>
      <c r="G9" s="442">
        <v>0.0</v>
      </c>
      <c r="H9" s="442" t="s">
        <v>332</v>
      </c>
    </row>
    <row r="10" spans="8:8" ht="17.4" customHeight="1">
      <c r="A10" s="442" t="s">
        <v>93</v>
      </c>
      <c r="B10" s="442" t="s">
        <v>328</v>
      </c>
      <c r="C10" s="442" t="s">
        <v>86</v>
      </c>
      <c r="D10" s="442" t="s">
        <v>78</v>
      </c>
      <c r="E10" s="442">
        <v>3.0</v>
      </c>
      <c r="F10" s="442">
        <v>0.0</v>
      </c>
      <c r="G10" s="442">
        <v>0.0</v>
      </c>
      <c r="H10" s="442" t="s">
        <v>333</v>
      </c>
    </row>
    <row r="11" spans="8:8" ht="17.4" customHeight="1">
      <c r="A11" s="442" t="s">
        <v>93</v>
      </c>
      <c r="B11" s="442" t="s">
        <v>328</v>
      </c>
      <c r="C11" s="442" t="s">
        <v>86</v>
      </c>
      <c r="D11" s="442" t="s">
        <v>168</v>
      </c>
      <c r="E11" s="442">
        <v>4.0</v>
      </c>
      <c r="F11" s="442">
        <v>0.0</v>
      </c>
      <c r="G11" s="442">
        <v>0.0</v>
      </c>
      <c r="H11" s="442" t="s">
        <v>334</v>
      </c>
    </row>
    <row r="12" spans="8:8" ht="17.4" customHeight="1">
      <c r="A12" s="442" t="s">
        <v>93</v>
      </c>
      <c r="B12" s="442" t="s">
        <v>328</v>
      </c>
      <c r="C12" s="442" t="s">
        <v>86</v>
      </c>
      <c r="D12" s="442" t="s">
        <v>95</v>
      </c>
      <c r="E12" s="442">
        <v>5.0</v>
      </c>
      <c r="F12" s="442">
        <v>0.0</v>
      </c>
      <c r="G12" s="442">
        <v>0.0</v>
      </c>
      <c r="H12" s="442" t="s">
        <v>335</v>
      </c>
    </row>
    <row r="13" spans="8:8" ht="17.4" customHeight="1">
      <c r="A13" s="442" t="s">
        <v>336</v>
      </c>
      <c r="B13" s="442" t="s">
        <v>328</v>
      </c>
      <c r="C13" s="442" t="s">
        <v>86</v>
      </c>
      <c r="D13" s="442" t="s">
        <v>160</v>
      </c>
      <c r="E13" s="442">
        <v>1.0</v>
      </c>
      <c r="F13" s="442">
        <v>0.0</v>
      </c>
      <c r="G13" s="442">
        <v>0.0</v>
      </c>
      <c r="H13" s="447" t="s">
        <v>337</v>
      </c>
    </row>
    <row r="14" spans="8:8" ht="17.4" customHeight="1">
      <c r="A14" s="442" t="s">
        <v>336</v>
      </c>
      <c r="B14" s="442" t="s">
        <v>328</v>
      </c>
      <c r="C14" s="442" t="s">
        <v>86</v>
      </c>
      <c r="D14" s="442" t="s">
        <v>163</v>
      </c>
      <c r="E14" s="442">
        <v>2.0</v>
      </c>
      <c r="F14" s="442">
        <v>0.0</v>
      </c>
      <c r="G14" s="442">
        <v>0.0</v>
      </c>
      <c r="H14" s="447" t="s">
        <v>338</v>
      </c>
    </row>
    <row r="15" spans="8:8" ht="17.4" customHeight="1">
      <c r="A15" s="442" t="s">
        <v>336</v>
      </c>
      <c r="B15" s="442" t="s">
        <v>328</v>
      </c>
      <c r="C15" s="442" t="s">
        <v>86</v>
      </c>
      <c r="D15" s="442" t="s">
        <v>78</v>
      </c>
      <c r="E15" s="442">
        <v>3.0</v>
      </c>
      <c r="F15" s="442">
        <v>0.0</v>
      </c>
      <c r="G15" s="442">
        <v>0.0</v>
      </c>
      <c r="H15" s="447" t="s">
        <v>339</v>
      </c>
    </row>
    <row r="16" spans="8:8" ht="17.4" customHeight="1">
      <c r="A16" s="442" t="s">
        <v>336</v>
      </c>
      <c r="B16" s="442" t="s">
        <v>328</v>
      </c>
      <c r="C16" s="442" t="s">
        <v>86</v>
      </c>
      <c r="D16" s="442" t="s">
        <v>168</v>
      </c>
      <c r="E16" s="442">
        <v>4.0</v>
      </c>
      <c r="F16" s="442">
        <v>0.0</v>
      </c>
      <c r="G16" s="442">
        <v>0.0</v>
      </c>
      <c r="H16" s="447" t="s">
        <v>340</v>
      </c>
    </row>
    <row r="17" spans="8:8" ht="17.4" customHeight="1">
      <c r="A17" s="442" t="s">
        <v>336</v>
      </c>
      <c r="B17" s="442" t="s">
        <v>328</v>
      </c>
      <c r="C17" s="442" t="s">
        <v>86</v>
      </c>
      <c r="D17" s="442" t="s">
        <v>95</v>
      </c>
      <c r="E17" s="442">
        <v>5.0</v>
      </c>
      <c r="F17" s="442">
        <v>0.0</v>
      </c>
      <c r="G17" s="442">
        <v>0.0</v>
      </c>
      <c r="H17" s="447" t="s">
        <v>341</v>
      </c>
    </row>
    <row r="18" spans="8:8" ht="17.4" customHeight="1">
      <c r="A18" s="442" t="s">
        <v>342</v>
      </c>
      <c r="B18" s="442" t="s">
        <v>343</v>
      </c>
      <c r="C18" s="442" t="s">
        <v>250</v>
      </c>
      <c r="D18" s="442" t="s">
        <v>160</v>
      </c>
      <c r="E18" s="442">
        <v>1.0</v>
      </c>
      <c r="F18" s="442">
        <v>20.0</v>
      </c>
      <c r="G18" s="442">
        <v>3.0</v>
      </c>
      <c r="H18" s="447" t="s">
        <v>344</v>
      </c>
    </row>
    <row r="19" spans="8:8" ht="17.4" customHeight="1">
      <c r="A19" s="442" t="s">
        <v>342</v>
      </c>
      <c r="B19" s="442" t="s">
        <v>343</v>
      </c>
      <c r="C19" s="442" t="s">
        <v>250</v>
      </c>
      <c r="D19" s="442" t="s">
        <v>163</v>
      </c>
      <c r="E19" s="442">
        <v>2.0</v>
      </c>
      <c r="F19" s="442">
        <v>20.0</v>
      </c>
      <c r="G19" s="442">
        <v>3.0</v>
      </c>
      <c r="H19" s="447" t="s">
        <v>345</v>
      </c>
    </row>
    <row r="20" spans="8:8" ht="17.4" customHeight="1">
      <c r="A20" s="442" t="s">
        <v>342</v>
      </c>
      <c r="B20" s="442" t="s">
        <v>343</v>
      </c>
      <c r="C20" s="442" t="s">
        <v>250</v>
      </c>
      <c r="D20" s="442" t="s">
        <v>78</v>
      </c>
      <c r="E20" s="442">
        <v>3.0</v>
      </c>
      <c r="F20" s="442">
        <v>20.0</v>
      </c>
      <c r="G20" s="442">
        <v>3.0</v>
      </c>
      <c r="H20" s="442" t="s">
        <v>346</v>
      </c>
    </row>
    <row r="21" spans="8:8" ht="17.4" customHeight="1">
      <c r="A21" s="442" t="s">
        <v>342</v>
      </c>
      <c r="B21" s="442" t="s">
        <v>343</v>
      </c>
      <c r="C21" s="442" t="s">
        <v>250</v>
      </c>
      <c r="D21" s="442" t="s">
        <v>168</v>
      </c>
      <c r="E21" s="442">
        <v>4.0</v>
      </c>
      <c r="F21" s="442">
        <v>20.0</v>
      </c>
      <c r="G21" s="442">
        <v>3.0</v>
      </c>
      <c r="H21" s="442" t="s">
        <v>347</v>
      </c>
    </row>
    <row r="22" spans="8:8" ht="17.4" customHeight="1">
      <c r="A22" s="442" t="s">
        <v>342</v>
      </c>
      <c r="B22" s="442" t="s">
        <v>343</v>
      </c>
      <c r="C22" s="442" t="s">
        <v>250</v>
      </c>
      <c r="D22" s="442" t="s">
        <v>95</v>
      </c>
      <c r="E22" s="442">
        <v>5.0</v>
      </c>
      <c r="F22" s="442">
        <v>20.0</v>
      </c>
      <c r="G22" s="442">
        <v>3.0</v>
      </c>
      <c r="H22" s="442" t="s">
        <v>348</v>
      </c>
    </row>
    <row r="23" spans="8:8" ht="17.4" customHeight="1">
      <c r="A23" s="442" t="s">
        <v>349</v>
      </c>
      <c r="B23" s="442" t="s">
        <v>343</v>
      </c>
      <c r="C23" s="442" t="s">
        <v>86</v>
      </c>
      <c r="D23" s="442" t="s">
        <v>160</v>
      </c>
      <c r="E23" s="442">
        <v>1.0</v>
      </c>
      <c r="F23" s="442">
        <v>0.0</v>
      </c>
      <c r="G23" s="442">
        <v>0.0</v>
      </c>
      <c r="H23" s="447" t="s">
        <v>350</v>
      </c>
    </row>
    <row r="24" spans="8:8" ht="17.4" customHeight="1">
      <c r="A24" s="442" t="s">
        <v>349</v>
      </c>
      <c r="B24" s="442" t="s">
        <v>343</v>
      </c>
      <c r="C24" s="442" t="s">
        <v>86</v>
      </c>
      <c r="D24" s="442" t="s">
        <v>163</v>
      </c>
      <c r="E24" s="442">
        <v>2.0</v>
      </c>
      <c r="F24" s="442">
        <v>0.0</v>
      </c>
      <c r="G24" s="442">
        <v>0.0</v>
      </c>
      <c r="H24" s="447" t="s">
        <v>351</v>
      </c>
    </row>
    <row r="25" spans="8:8" ht="17.4" customHeight="1">
      <c r="A25" s="442" t="s">
        <v>349</v>
      </c>
      <c r="B25" s="442" t="s">
        <v>343</v>
      </c>
      <c r="C25" s="442" t="s">
        <v>86</v>
      </c>
      <c r="D25" s="442" t="s">
        <v>78</v>
      </c>
      <c r="E25" s="442">
        <v>3.0</v>
      </c>
      <c r="F25" s="442">
        <v>0.0</v>
      </c>
      <c r="G25" s="442">
        <v>0.0</v>
      </c>
      <c r="H25" s="447" t="s">
        <v>352</v>
      </c>
    </row>
    <row r="26" spans="8:8" ht="17.4" customHeight="1">
      <c r="A26" s="442" t="s">
        <v>349</v>
      </c>
      <c r="B26" s="442" t="s">
        <v>343</v>
      </c>
      <c r="C26" s="442" t="s">
        <v>86</v>
      </c>
      <c r="D26" s="442" t="s">
        <v>168</v>
      </c>
      <c r="E26" s="442">
        <v>4.0</v>
      </c>
      <c r="F26" s="442">
        <v>0.0</v>
      </c>
      <c r="G26" s="442">
        <v>0.0</v>
      </c>
      <c r="H26" s="447" t="s">
        <v>353</v>
      </c>
    </row>
    <row r="27" spans="8:8" ht="17.4" customHeight="1">
      <c r="A27" s="442" t="s">
        <v>349</v>
      </c>
      <c r="B27" s="442" t="s">
        <v>343</v>
      </c>
      <c r="C27" s="442" t="s">
        <v>86</v>
      </c>
      <c r="D27" s="442" t="s">
        <v>95</v>
      </c>
      <c r="E27" s="442">
        <v>5.0</v>
      </c>
      <c r="F27" s="442">
        <v>0.0</v>
      </c>
      <c r="G27" s="442">
        <v>0.0</v>
      </c>
      <c r="H27" s="447" t="s">
        <v>354</v>
      </c>
    </row>
    <row r="28" spans="8:8" ht="17.4" customHeight="1">
      <c r="A28" s="442" t="s">
        <v>355</v>
      </c>
      <c r="B28" s="442" t="s">
        <v>328</v>
      </c>
      <c r="C28" s="442" t="s">
        <v>86</v>
      </c>
      <c r="D28" s="442" t="s">
        <v>160</v>
      </c>
      <c r="E28" s="442">
        <v>1.0</v>
      </c>
      <c r="F28" s="442">
        <v>0.0</v>
      </c>
      <c r="G28" s="442">
        <v>0.0</v>
      </c>
      <c r="H28" s="447" t="s">
        <v>356</v>
      </c>
    </row>
    <row r="29" spans="8:8" ht="17.4" customHeight="1">
      <c r="A29" s="442" t="s">
        <v>355</v>
      </c>
      <c r="B29" s="442" t="s">
        <v>328</v>
      </c>
      <c r="C29" s="442" t="s">
        <v>86</v>
      </c>
      <c r="D29" s="442" t="s">
        <v>163</v>
      </c>
      <c r="E29" s="442">
        <v>2.0</v>
      </c>
      <c r="F29" s="442">
        <v>0.0</v>
      </c>
      <c r="G29" s="442">
        <v>0.0</v>
      </c>
      <c r="H29" s="447" t="s">
        <v>357</v>
      </c>
    </row>
    <row r="30" spans="8:8" ht="17.4" customHeight="1">
      <c r="A30" s="442" t="s">
        <v>355</v>
      </c>
      <c r="B30" s="442" t="s">
        <v>328</v>
      </c>
      <c r="C30" s="442" t="s">
        <v>86</v>
      </c>
      <c r="D30" s="442" t="s">
        <v>78</v>
      </c>
      <c r="E30" s="442">
        <v>3.0</v>
      </c>
      <c r="F30" s="442">
        <v>0.0</v>
      </c>
      <c r="G30" s="442">
        <v>0.0</v>
      </c>
      <c r="H30" s="447" t="s">
        <v>358</v>
      </c>
    </row>
    <row r="31" spans="8:8" ht="17.4" customHeight="1">
      <c r="A31" s="442" t="s">
        <v>355</v>
      </c>
      <c r="B31" s="442" t="s">
        <v>328</v>
      </c>
      <c r="C31" s="442" t="s">
        <v>86</v>
      </c>
      <c r="D31" s="442" t="s">
        <v>168</v>
      </c>
      <c r="E31" s="442">
        <v>4.0</v>
      </c>
      <c r="F31" s="442">
        <v>0.0</v>
      </c>
      <c r="G31" s="442">
        <v>0.0</v>
      </c>
      <c r="H31" s="447" t="s">
        <v>359</v>
      </c>
    </row>
    <row r="32" spans="8:8" ht="17.4" customHeight="1">
      <c r="A32" s="442" t="s">
        <v>355</v>
      </c>
      <c r="B32" s="442" t="s">
        <v>328</v>
      </c>
      <c r="C32" s="442" t="s">
        <v>86</v>
      </c>
      <c r="D32" s="442" t="s">
        <v>95</v>
      </c>
      <c r="E32" s="442">
        <v>5.0</v>
      </c>
      <c r="F32" s="442">
        <v>0.0</v>
      </c>
      <c r="G32" s="442">
        <v>0.0</v>
      </c>
      <c r="H32" s="447" t="s">
        <v>360</v>
      </c>
    </row>
    <row r="33" spans="8:8" ht="17.4" customHeight="1">
      <c r="A33" s="442" t="s">
        <v>361</v>
      </c>
      <c r="B33" s="442" t="s">
        <v>328</v>
      </c>
      <c r="C33" s="442" t="s">
        <v>86</v>
      </c>
      <c r="D33" s="442" t="s">
        <v>160</v>
      </c>
      <c r="E33" s="442">
        <v>1.0</v>
      </c>
      <c r="F33" s="442">
        <v>0.0</v>
      </c>
      <c r="G33" s="442">
        <v>5.0</v>
      </c>
      <c r="H33" s="447" t="s">
        <v>362</v>
      </c>
    </row>
    <row r="34" spans="8:8" ht="17.4" customHeight="1">
      <c r="A34" s="442" t="s">
        <v>361</v>
      </c>
      <c r="B34" s="442" t="s">
        <v>328</v>
      </c>
      <c r="C34" s="442" t="s">
        <v>86</v>
      </c>
      <c r="D34" s="442" t="s">
        <v>163</v>
      </c>
      <c r="E34" s="442">
        <v>2.0</v>
      </c>
      <c r="F34" s="442">
        <v>0.0</v>
      </c>
      <c r="G34" s="442">
        <v>10.0</v>
      </c>
      <c r="H34" s="447" t="s">
        <v>363</v>
      </c>
    </row>
    <row r="35" spans="8:8" ht="17.4" customHeight="1">
      <c r="A35" s="442" t="s">
        <v>361</v>
      </c>
      <c r="B35" s="442" t="s">
        <v>328</v>
      </c>
      <c r="C35" s="442" t="s">
        <v>86</v>
      </c>
      <c r="D35" s="442" t="s">
        <v>78</v>
      </c>
      <c r="E35" s="442">
        <v>3.0</v>
      </c>
      <c r="F35" s="442">
        <v>0.0</v>
      </c>
      <c r="G35" s="442">
        <v>15.0</v>
      </c>
      <c r="H35" s="447" t="s">
        <v>364</v>
      </c>
    </row>
    <row r="36" spans="8:8" ht="17.4" customHeight="1">
      <c r="A36" s="442" t="s">
        <v>361</v>
      </c>
      <c r="B36" s="442" t="s">
        <v>328</v>
      </c>
      <c r="C36" s="442" t="s">
        <v>86</v>
      </c>
      <c r="D36" s="442" t="s">
        <v>168</v>
      </c>
      <c r="E36" s="442">
        <v>4.0</v>
      </c>
      <c r="F36" s="442">
        <v>0.0</v>
      </c>
      <c r="G36" s="442">
        <v>20.0</v>
      </c>
      <c r="H36" s="447" t="s">
        <v>365</v>
      </c>
    </row>
    <row r="37" spans="8:8" ht="17.4" customHeight="1">
      <c r="A37" s="442" t="s">
        <v>361</v>
      </c>
      <c r="B37" s="442" t="s">
        <v>328</v>
      </c>
      <c r="C37" s="442" t="s">
        <v>86</v>
      </c>
      <c r="D37" s="442" t="s">
        <v>95</v>
      </c>
      <c r="E37" s="442">
        <v>5.0</v>
      </c>
      <c r="F37" s="442">
        <v>0.0</v>
      </c>
      <c r="G37" s="442">
        <v>25.0</v>
      </c>
      <c r="H37" s="447" t="s">
        <v>366</v>
      </c>
    </row>
    <row r="38" spans="8:8" ht="17.4" customHeight="1">
      <c r="A38" s="442" t="s">
        <v>361</v>
      </c>
      <c r="B38" s="442" t="s">
        <v>328</v>
      </c>
      <c r="C38" s="442" t="s">
        <v>86</v>
      </c>
      <c r="D38" s="442" t="s">
        <v>173</v>
      </c>
      <c r="E38" s="442">
        <v>3.0</v>
      </c>
      <c r="F38" s="442">
        <v>0.0</v>
      </c>
      <c r="G38" s="442">
        <v>15.0</v>
      </c>
      <c r="H38" s="447" t="s">
        <v>367</v>
      </c>
    </row>
    <row r="39" spans="8:8" ht="17.4" customHeight="1">
      <c r="A39" s="442" t="s">
        <v>107</v>
      </c>
      <c r="B39" s="442" t="s">
        <v>108</v>
      </c>
      <c r="C39" s="442" t="s">
        <v>86</v>
      </c>
      <c r="D39" s="442" t="s">
        <v>160</v>
      </c>
      <c r="E39" s="442">
        <v>1.0</v>
      </c>
      <c r="F39" s="442">
        <v>0.0</v>
      </c>
      <c r="G39" s="442">
        <v>0.0</v>
      </c>
      <c r="H39" s="447" t="s">
        <v>368</v>
      </c>
    </row>
    <row r="40" spans="8:8" ht="17.4" customHeight="1">
      <c r="A40" s="442" t="s">
        <v>107</v>
      </c>
      <c r="B40" s="442" t="s">
        <v>108</v>
      </c>
      <c r="C40" s="442" t="s">
        <v>86</v>
      </c>
      <c r="D40" s="442" t="s">
        <v>163</v>
      </c>
      <c r="E40" s="442">
        <v>2.0</v>
      </c>
      <c r="F40" s="442">
        <v>0.0</v>
      </c>
      <c r="G40" s="442">
        <v>0.0</v>
      </c>
      <c r="H40" s="447" t="s">
        <v>369</v>
      </c>
    </row>
    <row r="41" spans="8:8" ht="17.4" customHeight="1">
      <c r="A41" s="442" t="s">
        <v>107</v>
      </c>
      <c r="B41" s="442" t="s">
        <v>108</v>
      </c>
      <c r="C41" s="442" t="s">
        <v>86</v>
      </c>
      <c r="D41" s="442" t="s">
        <v>78</v>
      </c>
      <c r="E41" s="442">
        <v>3.0</v>
      </c>
      <c r="F41" s="442">
        <v>0.0</v>
      </c>
      <c r="G41" s="442">
        <v>0.0</v>
      </c>
      <c r="H41" s="447" t="s">
        <v>370</v>
      </c>
    </row>
    <row r="42" spans="8:8" ht="17.4" customHeight="1">
      <c r="A42" s="442" t="s">
        <v>107</v>
      </c>
      <c r="B42" s="442" t="s">
        <v>108</v>
      </c>
      <c r="C42" s="442" t="s">
        <v>86</v>
      </c>
      <c r="D42" s="442" t="s">
        <v>168</v>
      </c>
      <c r="E42" s="442">
        <v>4.0</v>
      </c>
      <c r="F42" s="442">
        <v>0.0</v>
      </c>
      <c r="G42" s="442">
        <v>0.0</v>
      </c>
      <c r="H42" s="447" t="s">
        <v>371</v>
      </c>
    </row>
    <row r="43" spans="8:8" ht="17.4" customHeight="1">
      <c r="A43" s="442" t="s">
        <v>107</v>
      </c>
      <c r="B43" s="442" t="s">
        <v>108</v>
      </c>
      <c r="C43" s="442" t="s">
        <v>86</v>
      </c>
      <c r="D43" s="442" t="s">
        <v>95</v>
      </c>
      <c r="E43" s="442">
        <v>5.0</v>
      </c>
      <c r="F43" s="442">
        <v>0.0</v>
      </c>
      <c r="G43" s="442">
        <v>0.0</v>
      </c>
      <c r="H43" s="447" t="s">
        <v>372</v>
      </c>
    </row>
    <row r="44" spans="8:8" ht="17.4" customHeight="1">
      <c r="A44" s="442" t="s">
        <v>109</v>
      </c>
      <c r="B44" s="442" t="s">
        <v>108</v>
      </c>
      <c r="C44" s="442" t="s">
        <v>104</v>
      </c>
      <c r="D44" s="442" t="s">
        <v>78</v>
      </c>
      <c r="E44" s="442">
        <v>3.0</v>
      </c>
      <c r="F44" s="442">
        <v>1.0</v>
      </c>
      <c r="G44" s="442">
        <v>0.0</v>
      </c>
      <c r="H44" s="447" t="s">
        <v>373</v>
      </c>
    </row>
    <row r="45" spans="8:8" ht="17.4" customHeight="1">
      <c r="A45" s="442" t="s">
        <v>109</v>
      </c>
      <c r="B45" s="442" t="s">
        <v>108</v>
      </c>
      <c r="C45" s="442" t="s">
        <v>104</v>
      </c>
      <c r="D45" s="442" t="s">
        <v>168</v>
      </c>
      <c r="E45" s="442">
        <v>4.0</v>
      </c>
      <c r="F45" s="442">
        <v>1.0</v>
      </c>
      <c r="G45" s="442">
        <v>0.0</v>
      </c>
      <c r="H45" s="447" t="s">
        <v>373</v>
      </c>
    </row>
    <row r="46" spans="8:8" ht="17.4" customHeight="1">
      <c r="A46" s="442" t="s">
        <v>109</v>
      </c>
      <c r="B46" s="442" t="s">
        <v>108</v>
      </c>
      <c r="C46" s="442" t="s">
        <v>104</v>
      </c>
      <c r="D46" s="442" t="s">
        <v>95</v>
      </c>
      <c r="E46" s="442">
        <v>5.0</v>
      </c>
      <c r="F46" s="442">
        <v>1.0</v>
      </c>
      <c r="G46" s="442">
        <v>0.0</v>
      </c>
      <c r="H46" s="447" t="s">
        <v>373</v>
      </c>
    </row>
    <row r="47" spans="8:8" ht="17.4" customHeight="1">
      <c r="A47" s="442" t="s">
        <v>374</v>
      </c>
      <c r="B47" s="442" t="s">
        <v>108</v>
      </c>
      <c r="C47" s="442" t="s">
        <v>86</v>
      </c>
      <c r="D47" s="442" t="s">
        <v>78</v>
      </c>
      <c r="E47" s="442">
        <v>3.0</v>
      </c>
      <c r="F47" s="442">
        <v>0.0</v>
      </c>
      <c r="G47" s="442">
        <v>0.0</v>
      </c>
      <c r="H47" s="447" t="s">
        <v>375</v>
      </c>
    </row>
    <row r="48" spans="8:8" ht="17.4" customHeight="1">
      <c r="A48" s="442" t="s">
        <v>374</v>
      </c>
      <c r="B48" s="442" t="s">
        <v>108</v>
      </c>
      <c r="C48" s="442" t="s">
        <v>86</v>
      </c>
      <c r="D48" s="442" t="s">
        <v>168</v>
      </c>
      <c r="E48" s="442">
        <v>4.0</v>
      </c>
      <c r="F48" s="442">
        <v>0.0</v>
      </c>
      <c r="G48" s="442">
        <v>0.0</v>
      </c>
      <c r="H48" s="447" t="s">
        <v>376</v>
      </c>
    </row>
    <row r="49" spans="8:8" ht="17.4" customHeight="1">
      <c r="A49" s="442" t="s">
        <v>374</v>
      </c>
      <c r="B49" s="442" t="s">
        <v>108</v>
      </c>
      <c r="C49" s="442" t="s">
        <v>86</v>
      </c>
      <c r="D49" s="442" t="s">
        <v>95</v>
      </c>
      <c r="E49" s="442">
        <v>5.0</v>
      </c>
      <c r="F49" s="442">
        <v>0.0</v>
      </c>
      <c r="G49" s="442">
        <v>0.0</v>
      </c>
      <c r="H49" s="447" t="s">
        <v>377</v>
      </c>
    </row>
    <row r="50" spans="8:8" ht="17.4" customHeight="1">
      <c r="A50" s="442" t="s">
        <v>378</v>
      </c>
      <c r="B50" s="442" t="s">
        <v>108</v>
      </c>
      <c r="C50" s="442" t="s">
        <v>86</v>
      </c>
      <c r="D50" s="442" t="s">
        <v>160</v>
      </c>
      <c r="E50" s="442">
        <v>1.0</v>
      </c>
      <c r="F50" s="442">
        <v>0.0</v>
      </c>
      <c r="G50" s="442">
        <v>0.0</v>
      </c>
      <c r="H50" s="442" t="s">
        <v>379</v>
      </c>
    </row>
    <row r="51" spans="8:8" ht="17.4" customHeight="1">
      <c r="A51" s="442" t="s">
        <v>378</v>
      </c>
      <c r="B51" s="442" t="s">
        <v>108</v>
      </c>
      <c r="C51" s="442" t="s">
        <v>86</v>
      </c>
      <c r="D51" s="442" t="s">
        <v>163</v>
      </c>
      <c r="E51" s="442">
        <v>2.0</v>
      </c>
      <c r="F51" s="442">
        <v>0.0</v>
      </c>
      <c r="G51" s="442">
        <v>0.0</v>
      </c>
      <c r="H51" s="442" t="s">
        <v>380</v>
      </c>
    </row>
    <row r="52" spans="8:8" ht="17.4" customHeight="1">
      <c r="A52" s="442" t="s">
        <v>378</v>
      </c>
      <c r="B52" s="442" t="s">
        <v>108</v>
      </c>
      <c r="C52" s="442" t="s">
        <v>86</v>
      </c>
      <c r="D52" s="442" t="s">
        <v>78</v>
      </c>
      <c r="E52" s="442">
        <v>3.0</v>
      </c>
      <c r="F52" s="442">
        <v>0.0</v>
      </c>
      <c r="G52" s="442">
        <v>0.0</v>
      </c>
      <c r="H52" s="442" t="s">
        <v>381</v>
      </c>
    </row>
    <row r="53" spans="8:8" ht="17.4" customHeight="1">
      <c r="A53" s="442" t="s">
        <v>378</v>
      </c>
      <c r="B53" s="442" t="s">
        <v>108</v>
      </c>
      <c r="C53" s="442" t="s">
        <v>86</v>
      </c>
      <c r="D53" s="442" t="s">
        <v>168</v>
      </c>
      <c r="E53" s="442">
        <v>4.0</v>
      </c>
      <c r="F53" s="442">
        <v>0.0</v>
      </c>
      <c r="G53" s="442">
        <v>0.0</v>
      </c>
      <c r="H53" s="442" t="s">
        <v>382</v>
      </c>
    </row>
    <row r="54" spans="8:8" ht="17.4" customHeight="1">
      <c r="A54" s="442" t="s">
        <v>378</v>
      </c>
      <c r="B54" s="442" t="s">
        <v>108</v>
      </c>
      <c r="C54" s="442" t="s">
        <v>86</v>
      </c>
      <c r="D54" s="442" t="s">
        <v>95</v>
      </c>
      <c r="E54" s="442">
        <v>5.0</v>
      </c>
      <c r="F54" s="442">
        <v>0.0</v>
      </c>
      <c r="G54" s="442">
        <v>0.0</v>
      </c>
      <c r="H54" s="442" t="s">
        <v>383</v>
      </c>
    </row>
    <row r="55" spans="8:8" ht="17.4" customHeight="1">
      <c r="A55" s="442" t="s">
        <v>384</v>
      </c>
      <c r="B55" s="442" t="s">
        <v>108</v>
      </c>
      <c r="C55" s="442" t="s">
        <v>86</v>
      </c>
      <c r="D55" s="442" t="s">
        <v>78</v>
      </c>
      <c r="E55" s="442">
        <v>3.0</v>
      </c>
      <c r="F55" s="442">
        <v>0.0</v>
      </c>
      <c r="G55" s="442">
        <v>0.0</v>
      </c>
      <c r="H55" s="442" t="s">
        <v>385</v>
      </c>
    </row>
    <row r="56" spans="8:8" ht="17.4" customHeight="1">
      <c r="A56" s="442" t="s">
        <v>384</v>
      </c>
      <c r="B56" s="442" t="s">
        <v>108</v>
      </c>
      <c r="C56" s="442" t="s">
        <v>86</v>
      </c>
      <c r="D56" s="442" t="s">
        <v>168</v>
      </c>
      <c r="E56" s="442">
        <v>4.0</v>
      </c>
      <c r="F56" s="442">
        <v>0.0</v>
      </c>
      <c r="G56" s="442">
        <v>0.0</v>
      </c>
      <c r="H56" s="442" t="s">
        <v>386</v>
      </c>
    </row>
    <row r="57" spans="8:8" ht="17.4" customHeight="1">
      <c r="A57" s="442" t="s">
        <v>384</v>
      </c>
      <c r="B57" s="442" t="s">
        <v>108</v>
      </c>
      <c r="C57" s="442" t="s">
        <v>86</v>
      </c>
      <c r="D57" s="442" t="s">
        <v>95</v>
      </c>
      <c r="E57" s="442">
        <v>5.0</v>
      </c>
      <c r="F57" s="442">
        <v>0.0</v>
      </c>
      <c r="G57" s="442">
        <v>0.0</v>
      </c>
      <c r="H57" s="442" t="s">
        <v>387</v>
      </c>
    </row>
    <row r="58" spans="8:8" ht="17.4" customHeight="1">
      <c r="A58" s="442" t="s">
        <v>388</v>
      </c>
      <c r="B58" s="442" t="s">
        <v>108</v>
      </c>
      <c r="C58" s="442" t="s">
        <v>86</v>
      </c>
      <c r="D58" s="442" t="s">
        <v>78</v>
      </c>
      <c r="E58" s="442">
        <v>3.0</v>
      </c>
      <c r="F58" s="442">
        <v>0.0</v>
      </c>
      <c r="G58" s="442">
        <v>0.0</v>
      </c>
      <c r="H58" s="447" t="s">
        <v>389</v>
      </c>
    </row>
    <row r="59" spans="8:8" ht="17.4" customHeight="1">
      <c r="A59" s="442" t="s">
        <v>388</v>
      </c>
      <c r="B59" s="442" t="s">
        <v>108</v>
      </c>
      <c r="C59" s="442" t="s">
        <v>86</v>
      </c>
      <c r="D59" s="442" t="s">
        <v>168</v>
      </c>
      <c r="E59" s="442">
        <v>4.0</v>
      </c>
      <c r="F59" s="442">
        <v>0.0</v>
      </c>
      <c r="G59" s="442">
        <v>0.0</v>
      </c>
      <c r="H59" s="447" t="s">
        <v>390</v>
      </c>
    </row>
    <row r="60" spans="8:8" ht="17.4" customHeight="1">
      <c r="A60" s="442" t="s">
        <v>388</v>
      </c>
      <c r="B60" s="442" t="s">
        <v>108</v>
      </c>
      <c r="C60" s="442" t="s">
        <v>86</v>
      </c>
      <c r="D60" s="442" t="s">
        <v>95</v>
      </c>
      <c r="E60" s="442">
        <v>5.0</v>
      </c>
      <c r="F60" s="442">
        <v>0.0</v>
      </c>
      <c r="G60" s="442">
        <v>0.0</v>
      </c>
      <c r="H60" s="447" t="s">
        <v>391</v>
      </c>
    </row>
    <row r="61" spans="8:8" ht="17.4" customHeight="1">
      <c r="A61" s="442" t="s">
        <v>392</v>
      </c>
      <c r="B61" s="442" t="s">
        <v>108</v>
      </c>
      <c r="C61" s="442" t="s">
        <v>86</v>
      </c>
      <c r="D61" s="442" t="s">
        <v>78</v>
      </c>
      <c r="E61" s="442">
        <v>3.0</v>
      </c>
      <c r="F61" s="442">
        <v>0.0</v>
      </c>
      <c r="G61" s="442">
        <v>0.0</v>
      </c>
      <c r="H61" s="447" t="s">
        <v>393</v>
      </c>
    </row>
    <row r="62" spans="8:8" ht="17.4" customHeight="1">
      <c r="A62" s="442" t="s">
        <v>392</v>
      </c>
      <c r="B62" s="442" t="s">
        <v>108</v>
      </c>
      <c r="C62" s="442" t="s">
        <v>86</v>
      </c>
      <c r="D62" s="442" t="s">
        <v>168</v>
      </c>
      <c r="E62" s="442">
        <v>4.0</v>
      </c>
      <c r="F62" s="442">
        <v>0.0</v>
      </c>
      <c r="G62" s="442">
        <v>0.0</v>
      </c>
      <c r="H62" s="447" t="s">
        <v>394</v>
      </c>
    </row>
    <row r="63" spans="8:8" ht="17.4" customHeight="1">
      <c r="A63" s="442" t="s">
        <v>392</v>
      </c>
      <c r="B63" s="442" t="s">
        <v>108</v>
      </c>
      <c r="C63" s="442" t="s">
        <v>86</v>
      </c>
      <c r="D63" s="442" t="s">
        <v>95</v>
      </c>
      <c r="E63" s="442">
        <v>5.0</v>
      </c>
      <c r="F63" s="442">
        <v>0.0</v>
      </c>
      <c r="G63" s="442">
        <v>0.0</v>
      </c>
      <c r="H63" s="447" t="s">
        <v>395</v>
      </c>
    </row>
    <row r="64" spans="8:8" ht="17.4" customHeight="1">
      <c r="A64" s="442" t="s">
        <v>396</v>
      </c>
      <c r="B64" s="442" t="s">
        <v>108</v>
      </c>
      <c r="C64" s="442" t="s">
        <v>104</v>
      </c>
      <c r="D64" s="442" t="s">
        <v>160</v>
      </c>
      <c r="E64" s="442">
        <v>1.0</v>
      </c>
      <c r="F64" s="442">
        <v>6.0</v>
      </c>
      <c r="G64" s="442">
        <v>0.0</v>
      </c>
      <c r="H64" s="442" t="s">
        <v>397</v>
      </c>
    </row>
    <row r="65" spans="8:8" ht="17.4" customHeight="1">
      <c r="A65" s="442" t="s">
        <v>396</v>
      </c>
      <c r="B65" s="442" t="s">
        <v>108</v>
      </c>
      <c r="C65" s="442" t="s">
        <v>104</v>
      </c>
      <c r="D65" s="442" t="s">
        <v>163</v>
      </c>
      <c r="E65" s="442">
        <v>2.0</v>
      </c>
      <c r="F65" s="442">
        <v>6.0</v>
      </c>
      <c r="G65" s="442">
        <v>0.0</v>
      </c>
      <c r="H65" s="442" t="s">
        <v>398</v>
      </c>
    </row>
    <row r="66" spans="8:8" ht="17.4" customHeight="1">
      <c r="A66" s="442" t="s">
        <v>396</v>
      </c>
      <c r="B66" s="442" t="s">
        <v>108</v>
      </c>
      <c r="C66" s="442" t="s">
        <v>104</v>
      </c>
      <c r="D66" s="442" t="s">
        <v>78</v>
      </c>
      <c r="E66" s="442">
        <v>3.0</v>
      </c>
      <c r="F66" s="442">
        <v>6.0</v>
      </c>
      <c r="G66" s="442">
        <v>0.0</v>
      </c>
      <c r="H66" s="442" t="s">
        <v>399</v>
      </c>
    </row>
    <row r="67" spans="8:8" ht="17.4" customHeight="1">
      <c r="A67" s="442" t="s">
        <v>396</v>
      </c>
      <c r="B67" s="442" t="s">
        <v>108</v>
      </c>
      <c r="C67" s="442" t="s">
        <v>104</v>
      </c>
      <c r="D67" s="442" t="s">
        <v>168</v>
      </c>
      <c r="E67" s="442">
        <v>4.0</v>
      </c>
      <c r="F67" s="442">
        <v>6.0</v>
      </c>
      <c r="G67" s="442">
        <v>0.0</v>
      </c>
      <c r="H67" s="442" t="s">
        <v>400</v>
      </c>
    </row>
    <row r="68" spans="8:8" ht="17.4" customHeight="1">
      <c r="A68" s="442" t="s">
        <v>101</v>
      </c>
      <c r="B68" s="442" t="s">
        <v>103</v>
      </c>
      <c r="C68" s="442" t="s">
        <v>104</v>
      </c>
      <c r="D68" s="442" t="s">
        <v>78</v>
      </c>
      <c r="E68" s="442">
        <v>3.0</v>
      </c>
      <c r="F68" s="442">
        <v>1.0</v>
      </c>
      <c r="G68" s="442">
        <v>5.0</v>
      </c>
      <c r="H68" s="447" t="s">
        <v>401</v>
      </c>
    </row>
    <row r="69" spans="8:8" ht="17.4" customHeight="1">
      <c r="D69" s="442" t="s">
        <v>168</v>
      </c>
      <c r="E69" s="442">
        <v>4.0</v>
      </c>
      <c r="F69" s="442">
        <v>1.0</v>
      </c>
      <c r="G69" s="442">
        <v>10.0</v>
      </c>
      <c r="H69" s="447" t="s">
        <v>402</v>
      </c>
    </row>
    <row r="70" spans="8:8" ht="17.4" customHeight="1">
      <c r="D70" s="442" t="s">
        <v>95</v>
      </c>
      <c r="E70" s="442">
        <v>5.0</v>
      </c>
      <c r="F70" s="442">
        <v>1.0</v>
      </c>
      <c r="G70" s="442">
        <v>15.0</v>
      </c>
      <c r="H70" s="447" t="s">
        <v>403</v>
      </c>
    </row>
    <row r="71" spans="8:8" ht="17.4" customHeight="1">
      <c r="A71" s="442" t="s">
        <v>404</v>
      </c>
      <c r="B71" s="442" t="s">
        <v>103</v>
      </c>
      <c r="C71" s="442" t="s">
        <v>86</v>
      </c>
      <c r="D71" s="442" t="s">
        <v>160</v>
      </c>
      <c r="E71" s="442">
        <v>1.0</v>
      </c>
      <c r="F71" s="442">
        <v>0.0</v>
      </c>
      <c r="G71" s="442">
        <v>0.0</v>
      </c>
      <c r="H71" s="447" t="s">
        <v>405</v>
      </c>
    </row>
    <row r="72" spans="8:8" ht="17.4" customHeight="1">
      <c r="C72" s="442" t="s">
        <v>86</v>
      </c>
      <c r="D72" s="442" t="s">
        <v>163</v>
      </c>
      <c r="E72" s="442">
        <v>2.0</v>
      </c>
      <c r="F72" s="442">
        <v>0.0</v>
      </c>
      <c r="G72" s="442">
        <v>0.0</v>
      </c>
      <c r="H72" s="447" t="s">
        <v>406</v>
      </c>
    </row>
    <row r="73" spans="8:8" ht="17.4" customHeight="1">
      <c r="C73" s="442" t="s">
        <v>86</v>
      </c>
      <c r="D73" s="442" t="s">
        <v>78</v>
      </c>
      <c r="E73" s="442">
        <v>3.0</v>
      </c>
      <c r="F73" s="442">
        <v>0.0</v>
      </c>
      <c r="G73" s="442">
        <v>0.0</v>
      </c>
      <c r="H73" s="447" t="s">
        <v>407</v>
      </c>
    </row>
    <row r="74" spans="8:8" ht="17.4" customHeight="1">
      <c r="C74" s="442" t="s">
        <v>86</v>
      </c>
      <c r="D74" s="442" t="s">
        <v>168</v>
      </c>
      <c r="E74" s="442">
        <v>4.0</v>
      </c>
      <c r="F74" s="442">
        <v>0.0</v>
      </c>
      <c r="G74" s="442">
        <v>0.0</v>
      </c>
      <c r="H74" s="447" t="s">
        <v>408</v>
      </c>
    </row>
    <row r="75" spans="8:8" ht="17.4" customHeight="1">
      <c r="C75" s="442" t="s">
        <v>86</v>
      </c>
      <c r="D75" s="442" t="s">
        <v>95</v>
      </c>
      <c r="E75" s="442">
        <v>5.0</v>
      </c>
      <c r="F75" s="442">
        <v>0.0</v>
      </c>
      <c r="G75" s="442">
        <v>0.0</v>
      </c>
      <c r="H75" s="447" t="s">
        <v>409</v>
      </c>
    </row>
  </sheetData>
  <mergeCells count="2">
    <mergeCell ref="A1:H1"/>
    <mergeCell ref="I1:P1"/>
  </mergeCells>
  <pageMargins left="0.75" right="0.75" top="1.0" bottom="1.0" header="0.5" footer="0.5"/>
</worksheet>
</file>

<file path=xl/worksheets/sheet7.xml><?xml version="1.0" encoding="utf-8"?>
<worksheet xmlns:r="http://schemas.openxmlformats.org/officeDocument/2006/relationships" xmlns="http://schemas.openxmlformats.org/spreadsheetml/2006/main">
  <dimension ref="A1:AR38"/>
  <sheetViews>
    <sheetView workbookViewId="0" topLeftCell="C19" zoomScale="38">
      <selection activeCell="K48" sqref="K48"/>
    </sheetView>
  </sheetViews>
  <sheetFormatPr defaultRowHeight="15.6" defaultColWidth="10"/>
  <sheetData>
    <row r="1" spans="8:8" ht="16.35"/>
    <row r="2" spans="8:8">
      <c r="A2" s="448" t="s">
        <v>410</v>
      </c>
      <c r="B2" s="449" t="s">
        <v>411</v>
      </c>
      <c r="C2" s="450" t="s">
        <v>43</v>
      </c>
      <c r="D2" s="451"/>
      <c r="F2" s="452"/>
      <c r="G2" s="453" t="s">
        <v>412</v>
      </c>
      <c r="H2" s="453" t="s">
        <v>413</v>
      </c>
      <c r="I2" s="454" t="s">
        <v>414</v>
      </c>
      <c r="J2" s="454" t="s">
        <v>415</v>
      </c>
      <c r="K2" s="454" t="s">
        <v>416</v>
      </c>
      <c r="L2" s="453" t="s">
        <v>417</v>
      </c>
      <c r="M2" s="455" t="s">
        <v>35</v>
      </c>
    </row>
    <row r="3" spans="8:8">
      <c r="A3" s="456">
        <v>40.0</v>
      </c>
      <c r="B3" s="457">
        <v>100.0</v>
      </c>
      <c r="C3" s="458" t="s">
        <v>418</v>
      </c>
      <c r="D3" s="459"/>
      <c r="F3" s="460" t="s">
        <v>215</v>
      </c>
      <c r="G3" s="461">
        <v>20.0</v>
      </c>
      <c r="H3" s="461">
        <v>20.0</v>
      </c>
      <c r="I3" s="461">
        <v>20.0</v>
      </c>
      <c r="J3" s="461">
        <v>10.0</v>
      </c>
      <c r="K3" s="461">
        <v>20.0</v>
      </c>
      <c r="L3" s="461">
        <v>0.0</v>
      </c>
      <c r="M3" s="462" t="s">
        <v>419</v>
      </c>
    </row>
    <row r="4" spans="8:8">
      <c r="A4" s="456">
        <v>50.0</v>
      </c>
      <c r="B4" s="457">
        <v>120.0</v>
      </c>
      <c r="C4" s="458" t="s">
        <v>420</v>
      </c>
      <c r="D4" s="459"/>
      <c r="F4" s="460" t="s">
        <v>219</v>
      </c>
      <c r="G4" s="461">
        <v>10.0</v>
      </c>
      <c r="H4" s="461">
        <v>10.0</v>
      </c>
      <c r="I4" s="461">
        <v>30.0</v>
      </c>
      <c r="J4" s="461">
        <v>10.0</v>
      </c>
      <c r="K4" s="461">
        <v>10.0</v>
      </c>
      <c r="L4" s="461">
        <v>0.0</v>
      </c>
      <c r="M4" s="462" t="s">
        <v>421</v>
      </c>
    </row>
    <row r="5" spans="8:8">
      <c r="A5" s="456">
        <v>60.0</v>
      </c>
      <c r="B5" s="457">
        <v>140.0</v>
      </c>
      <c r="C5" s="458" t="s">
        <v>422</v>
      </c>
      <c r="D5" s="459"/>
      <c r="F5" s="460" t="s">
        <v>221</v>
      </c>
      <c r="G5" s="461">
        <v>10.0</v>
      </c>
      <c r="H5" s="461">
        <v>10.0</v>
      </c>
      <c r="I5" s="461">
        <v>10.0</v>
      </c>
      <c r="J5" s="461">
        <v>0.0</v>
      </c>
      <c r="K5" s="461">
        <v>20.0</v>
      </c>
      <c r="L5" s="461">
        <v>0.0</v>
      </c>
      <c r="M5" s="462" t="s">
        <v>423</v>
      </c>
    </row>
    <row r="6" spans="8:8">
      <c r="A6" s="456">
        <v>70.0</v>
      </c>
      <c r="B6" s="457">
        <v>160.0</v>
      </c>
      <c r="C6" s="458" t="s">
        <v>424</v>
      </c>
      <c r="D6" s="459"/>
      <c r="F6" s="460" t="s">
        <v>223</v>
      </c>
      <c r="G6" s="461">
        <v>0.0</v>
      </c>
      <c r="H6" s="461">
        <v>30.0</v>
      </c>
      <c r="I6" s="461">
        <v>0.0</v>
      </c>
      <c r="J6" s="461">
        <v>0.0</v>
      </c>
      <c r="K6" s="461">
        <v>20.0</v>
      </c>
      <c r="L6" s="461">
        <v>0.0</v>
      </c>
      <c r="M6" s="462" t="s">
        <v>425</v>
      </c>
    </row>
    <row r="7" spans="8:8">
      <c r="A7" s="463" t="s">
        <v>426</v>
      </c>
      <c r="B7" s="464">
        <v>0.0</v>
      </c>
      <c r="C7" s="458" t="s">
        <v>427</v>
      </c>
      <c r="D7" s="459"/>
      <c r="F7" s="460" t="s">
        <v>225</v>
      </c>
      <c r="G7" s="461">
        <v>0.0</v>
      </c>
      <c r="H7" s="461">
        <v>0.0</v>
      </c>
      <c r="I7" s="461">
        <v>0.0</v>
      </c>
      <c r="J7" s="461">
        <v>30.0</v>
      </c>
      <c r="K7" s="461">
        <v>0.0</v>
      </c>
      <c r="L7" s="461">
        <v>0.0</v>
      </c>
      <c r="M7" s="462" t="s">
        <v>428</v>
      </c>
    </row>
    <row r="8" spans="8:8">
      <c r="A8" s="463" t="s">
        <v>426</v>
      </c>
      <c r="B8" s="464">
        <v>0.0</v>
      </c>
      <c r="C8" s="458" t="s">
        <v>429</v>
      </c>
      <c r="D8" s="459"/>
      <c r="F8" s="460" t="s">
        <v>227</v>
      </c>
      <c r="G8" s="461">
        <v>0.0</v>
      </c>
      <c r="H8" s="461">
        <v>0.0</v>
      </c>
      <c r="I8" s="461">
        <v>20.0</v>
      </c>
      <c r="J8" s="461">
        <v>0.0</v>
      </c>
      <c r="K8" s="461">
        <v>20.0</v>
      </c>
      <c r="L8" s="461">
        <v>0.0</v>
      </c>
      <c r="M8" s="462" t="s">
        <v>430</v>
      </c>
    </row>
    <row r="9" spans="8:8" ht="16.35">
      <c r="A9" s="465" t="s">
        <v>426</v>
      </c>
      <c r="B9" s="466">
        <v>0.0</v>
      </c>
      <c r="C9" s="458" t="s">
        <v>431</v>
      </c>
      <c r="D9" s="459"/>
      <c r="F9" s="467" t="s">
        <v>229</v>
      </c>
      <c r="G9" s="461">
        <v>0.0</v>
      </c>
      <c r="H9" s="461">
        <v>0.0</v>
      </c>
      <c r="I9" s="461">
        <v>0.0</v>
      </c>
      <c r="J9" s="461">
        <v>0.0</v>
      </c>
      <c r="K9" s="461">
        <v>0.0</v>
      </c>
      <c r="L9" s="461">
        <v>0.0</v>
      </c>
      <c r="M9" s="462" t="s">
        <v>432</v>
      </c>
    </row>
    <row r="10" spans="8:8">
      <c r="C10" s="458" t="s">
        <v>433</v>
      </c>
      <c r="D10" s="459"/>
      <c r="F10" s="467" t="s">
        <v>434</v>
      </c>
      <c r="G10" s="461">
        <v>20.0</v>
      </c>
      <c r="H10" s="461">
        <v>30.0</v>
      </c>
      <c r="I10" s="461">
        <v>20.0</v>
      </c>
      <c r="J10" s="461">
        <v>10.0</v>
      </c>
      <c r="K10" s="461">
        <v>20.0</v>
      </c>
      <c r="L10" s="461">
        <v>0.0</v>
      </c>
      <c r="M10" s="462"/>
    </row>
    <row r="11" spans="8:8">
      <c r="C11" s="458" t="s">
        <v>435</v>
      </c>
      <c r="D11" s="459"/>
      <c r="F11" s="468" t="s">
        <v>436</v>
      </c>
      <c r="G11" s="469">
        <v>0.0</v>
      </c>
      <c r="H11" s="469">
        <v>0.0</v>
      </c>
      <c r="I11" s="469">
        <v>0.0</v>
      </c>
      <c r="J11" s="469">
        <v>0.0</v>
      </c>
      <c r="K11" s="469">
        <v>0.0</v>
      </c>
      <c r="L11" s="469">
        <v>0.0</v>
      </c>
      <c r="M11" s="464"/>
    </row>
    <row r="12" spans="8:8">
      <c r="C12" s="458" t="s">
        <v>437</v>
      </c>
      <c r="D12" s="459"/>
      <c r="F12" s="468" t="s">
        <v>438</v>
      </c>
      <c r="G12" s="469">
        <v>0.0</v>
      </c>
      <c r="H12" s="469">
        <v>0.0</v>
      </c>
      <c r="I12" s="469">
        <v>0.0</v>
      </c>
      <c r="J12" s="469">
        <v>0.0</v>
      </c>
      <c r="K12" s="469">
        <v>0.0</v>
      </c>
      <c r="L12" s="469">
        <v>0.0</v>
      </c>
      <c r="M12" s="464"/>
    </row>
    <row r="13" spans="8:8">
      <c r="C13" s="458" t="s">
        <v>439</v>
      </c>
      <c r="D13" s="459"/>
      <c r="F13" s="468" t="s">
        <v>440</v>
      </c>
      <c r="G13" s="469">
        <v>0.0</v>
      </c>
      <c r="H13" s="469">
        <v>0.0</v>
      </c>
      <c r="I13" s="469">
        <v>0.0</v>
      </c>
      <c r="J13" s="469">
        <v>0.0</v>
      </c>
      <c r="K13" s="469">
        <v>0.0</v>
      </c>
      <c r="L13" s="469">
        <v>0.0</v>
      </c>
      <c r="M13" s="464"/>
    </row>
    <row r="14" spans="8:8">
      <c r="C14" s="458" t="s">
        <v>441</v>
      </c>
      <c r="D14" s="459"/>
      <c r="F14" s="468" t="s">
        <v>442</v>
      </c>
      <c r="G14" s="469">
        <v>0.0</v>
      </c>
      <c r="H14" s="469">
        <v>0.0</v>
      </c>
      <c r="I14" s="469">
        <v>0.0</v>
      </c>
      <c r="J14" s="469">
        <v>0.0</v>
      </c>
      <c r="K14" s="469">
        <v>0.0</v>
      </c>
      <c r="L14" s="469">
        <v>0.0</v>
      </c>
      <c r="M14" s="464"/>
    </row>
    <row r="15" spans="8:8">
      <c r="C15" s="470" t="s">
        <v>426</v>
      </c>
      <c r="D15" s="471"/>
      <c r="F15" s="468" t="s">
        <v>443</v>
      </c>
      <c r="G15" s="469">
        <v>0.0</v>
      </c>
      <c r="H15" s="469">
        <v>0.0</v>
      </c>
      <c r="I15" s="469">
        <v>0.0</v>
      </c>
      <c r="J15" s="469">
        <v>0.0</v>
      </c>
      <c r="K15" s="469">
        <v>0.0</v>
      </c>
      <c r="L15" s="469">
        <v>0.0</v>
      </c>
      <c r="M15" s="464"/>
      <c r="N15" s="472"/>
    </row>
    <row r="16" spans="8:8">
      <c r="C16" s="470" t="s">
        <v>426</v>
      </c>
      <c r="D16" s="471"/>
      <c r="F16" s="468" t="s">
        <v>444</v>
      </c>
      <c r="G16" s="469">
        <v>0.0</v>
      </c>
      <c r="H16" s="469">
        <v>0.0</v>
      </c>
      <c r="I16" s="469">
        <v>0.0</v>
      </c>
      <c r="J16" s="469">
        <v>0.0</v>
      </c>
      <c r="K16" s="469">
        <v>0.0</v>
      </c>
      <c r="L16" s="469">
        <v>0.0</v>
      </c>
      <c r="M16" s="464"/>
    </row>
    <row r="17" spans="8:8">
      <c r="C17" s="470" t="s">
        <v>426</v>
      </c>
      <c r="D17" s="471"/>
      <c r="F17" s="463" t="s">
        <v>445</v>
      </c>
      <c r="G17" s="469">
        <v>20.0</v>
      </c>
      <c r="H17" s="469">
        <v>0.0</v>
      </c>
      <c r="I17" s="469">
        <v>0.0</v>
      </c>
      <c r="J17" s="469">
        <v>0.0</v>
      </c>
      <c r="K17" s="469">
        <v>0.0</v>
      </c>
      <c r="L17" s="469">
        <v>0.0</v>
      </c>
      <c r="M17" s="464"/>
    </row>
    <row r="18" spans="8:8">
      <c r="C18" s="470" t="s">
        <v>426</v>
      </c>
      <c r="D18" s="471"/>
      <c r="F18" s="463"/>
      <c r="G18" s="469">
        <v>0.0</v>
      </c>
      <c r="H18" s="469">
        <v>0.0</v>
      </c>
      <c r="I18" s="469">
        <v>0.0</v>
      </c>
      <c r="J18" s="469">
        <v>0.0</v>
      </c>
      <c r="K18" s="469">
        <v>0.0</v>
      </c>
      <c r="L18" s="469">
        <v>0.0</v>
      </c>
      <c r="M18" s="464"/>
    </row>
    <row r="19" spans="8:8">
      <c r="C19" s="470" t="s">
        <v>426</v>
      </c>
      <c r="D19" s="471"/>
      <c r="F19" s="463"/>
      <c r="G19" s="469">
        <v>0.0</v>
      </c>
      <c r="H19" s="469">
        <v>0.0</v>
      </c>
      <c r="I19" s="469">
        <v>0.0</v>
      </c>
      <c r="J19" s="469">
        <v>0.0</v>
      </c>
      <c r="K19" s="469">
        <v>0.0</v>
      </c>
      <c r="L19" s="469">
        <v>0.0</v>
      </c>
      <c r="M19" s="464"/>
    </row>
    <row r="20" spans="8:8" ht="16.35">
      <c r="C20" s="470" t="s">
        <v>426</v>
      </c>
      <c r="D20" s="471"/>
      <c r="F20" s="465"/>
      <c r="G20" s="473">
        <v>0.0</v>
      </c>
      <c r="H20" s="473">
        <v>0.0</v>
      </c>
      <c r="I20" s="473">
        <v>0.0</v>
      </c>
      <c r="J20" s="473">
        <v>0.0</v>
      </c>
      <c r="K20" s="473">
        <v>0.0</v>
      </c>
      <c r="L20" s="473">
        <v>0.0</v>
      </c>
      <c r="M20" s="466"/>
    </row>
    <row r="21" spans="8:8">
      <c r="C21" s="470" t="s">
        <v>426</v>
      </c>
      <c r="D21" s="471"/>
    </row>
    <row r="22" spans="8:8">
      <c r="C22" s="470" t="s">
        <v>426</v>
      </c>
      <c r="D22" s="471"/>
      <c r="F22" t="s">
        <v>446</v>
      </c>
      <c r="H22" t="s">
        <v>447</v>
      </c>
      <c r="J22" t="s">
        <v>448</v>
      </c>
    </row>
    <row r="23" spans="8:8">
      <c r="C23" s="470" t="s">
        <v>426</v>
      </c>
      <c r="D23" s="471"/>
      <c r="F23" t="s">
        <v>173</v>
      </c>
      <c r="G23">
        <v>7.0</v>
      </c>
      <c r="H23" t="s">
        <v>173</v>
      </c>
      <c r="I23">
        <v>9.0</v>
      </c>
      <c r="J23" t="s">
        <v>449</v>
      </c>
      <c r="K23">
        <v>6.0</v>
      </c>
    </row>
    <row r="24" spans="8:8">
      <c r="C24" s="470" t="s">
        <v>426</v>
      </c>
      <c r="D24" s="471"/>
      <c r="F24" t="s">
        <v>450</v>
      </c>
      <c r="G24">
        <v>5.0</v>
      </c>
      <c r="J24" t="s">
        <v>75</v>
      </c>
      <c r="K24">
        <v>4.0</v>
      </c>
    </row>
    <row r="25" spans="8:8">
      <c r="C25" s="470" t="s">
        <v>426</v>
      </c>
      <c r="D25" s="471"/>
      <c r="F25" t="s">
        <v>201</v>
      </c>
      <c r="G25">
        <v>7.0</v>
      </c>
      <c r="H25" t="s">
        <v>201</v>
      </c>
      <c r="I25">
        <v>7.0</v>
      </c>
      <c r="J25" t="s">
        <v>201</v>
      </c>
      <c r="K25">
        <v>7.0</v>
      </c>
    </row>
    <row r="26" spans="8:8">
      <c r="C26" s="470" t="s">
        <v>426</v>
      </c>
      <c r="D26" s="471"/>
      <c r="F26" t="s">
        <v>95</v>
      </c>
      <c r="G26">
        <v>5.0</v>
      </c>
      <c r="H26" t="s">
        <v>95</v>
      </c>
      <c r="I26">
        <v>5.0</v>
      </c>
      <c r="J26" t="s">
        <v>95</v>
      </c>
      <c r="K26">
        <v>5.0</v>
      </c>
    </row>
    <row r="27" spans="8:8">
      <c r="C27" s="470" t="s">
        <v>426</v>
      </c>
      <c r="D27" s="471"/>
      <c r="F27" t="s">
        <v>451</v>
      </c>
      <c r="G27">
        <v>5.0</v>
      </c>
      <c r="H27" t="s">
        <v>451</v>
      </c>
      <c r="I27">
        <v>5.0</v>
      </c>
      <c r="J27" t="s">
        <v>452</v>
      </c>
      <c r="K27">
        <v>3.0</v>
      </c>
    </row>
    <row r="28" spans="8:8">
      <c r="C28" s="474" t="s">
        <v>426</v>
      </c>
      <c r="D28" s="475"/>
      <c r="F28" t="s">
        <v>200</v>
      </c>
      <c r="G28">
        <v>6.0</v>
      </c>
      <c r="H28" t="s">
        <v>200</v>
      </c>
      <c r="I28">
        <v>6.0</v>
      </c>
      <c r="J28" t="s">
        <v>200</v>
      </c>
      <c r="K28">
        <v>6.0</v>
      </c>
    </row>
    <row r="29" spans="8:8">
      <c r="C29" s="474" t="s">
        <v>426</v>
      </c>
      <c r="D29" s="475"/>
      <c r="F29" t="s">
        <v>168</v>
      </c>
      <c r="G29">
        <v>4.0</v>
      </c>
      <c r="H29" t="s">
        <v>168</v>
      </c>
      <c r="I29">
        <v>4.0</v>
      </c>
      <c r="J29" t="s">
        <v>168</v>
      </c>
      <c r="K29">
        <v>4.0</v>
      </c>
    </row>
    <row r="30" spans="8:8">
      <c r="C30" s="474" t="s">
        <v>426</v>
      </c>
      <c r="D30" s="475"/>
      <c r="F30" t="s">
        <v>453</v>
      </c>
      <c r="G30">
        <v>4.0</v>
      </c>
      <c r="H30" t="s">
        <v>453</v>
      </c>
      <c r="I30">
        <v>4.0</v>
      </c>
      <c r="J30" t="s">
        <v>454</v>
      </c>
      <c r="K30">
        <v>2.0</v>
      </c>
    </row>
    <row r="31" spans="8:8">
      <c r="C31" s="474" t="s">
        <v>426</v>
      </c>
      <c r="D31" s="475"/>
      <c r="F31" t="s">
        <v>199</v>
      </c>
      <c r="G31">
        <v>5.0</v>
      </c>
      <c r="H31" t="s">
        <v>199</v>
      </c>
      <c r="I31">
        <v>5.0</v>
      </c>
      <c r="J31" t="s">
        <v>199</v>
      </c>
      <c r="K31">
        <v>5.0</v>
      </c>
    </row>
    <row r="32" spans="8:8">
      <c r="C32" s="474" t="s">
        <v>426</v>
      </c>
      <c r="D32" s="475"/>
      <c r="F32" t="s">
        <v>78</v>
      </c>
      <c r="G32">
        <v>3.0</v>
      </c>
      <c r="H32" t="s">
        <v>78</v>
      </c>
      <c r="I32">
        <v>3.0</v>
      </c>
      <c r="J32" t="s">
        <v>78</v>
      </c>
      <c r="K32">
        <v>3.0</v>
      </c>
    </row>
    <row r="33" spans="8:8">
      <c r="C33" s="474" t="s">
        <v>426</v>
      </c>
      <c r="D33" s="475"/>
      <c r="F33" t="s">
        <v>455</v>
      </c>
      <c r="G33">
        <v>3.0</v>
      </c>
      <c r="H33" t="s">
        <v>455</v>
      </c>
      <c r="I33">
        <v>3.0</v>
      </c>
      <c r="J33" t="s">
        <v>456</v>
      </c>
      <c r="K33">
        <v>1.0</v>
      </c>
    </row>
    <row r="34" spans="8:8">
      <c r="C34" s="474" t="s">
        <v>426</v>
      </c>
      <c r="D34" s="475"/>
      <c r="F34" t="s">
        <v>197</v>
      </c>
      <c r="G34">
        <v>4.0</v>
      </c>
      <c r="H34" t="s">
        <v>197</v>
      </c>
      <c r="I34">
        <v>4.0</v>
      </c>
      <c r="J34" t="s">
        <v>197</v>
      </c>
      <c r="K34">
        <v>4.0</v>
      </c>
    </row>
    <row r="35" spans="8:8" ht="16.35">
      <c r="C35" s="476" t="s">
        <v>426</v>
      </c>
      <c r="D35" s="477"/>
      <c r="F35" t="s">
        <v>163</v>
      </c>
      <c r="G35">
        <v>2.0</v>
      </c>
      <c r="H35" t="s">
        <v>163</v>
      </c>
      <c r="I35">
        <v>2.0</v>
      </c>
      <c r="J35" t="s">
        <v>163</v>
      </c>
      <c r="K35">
        <v>2.0</v>
      </c>
    </row>
    <row r="36" spans="8:8">
      <c r="J36" t="s">
        <v>457</v>
      </c>
      <c r="K36">
        <v>0.0</v>
      </c>
    </row>
    <row r="37" spans="8:8">
      <c r="F37" t="s">
        <v>194</v>
      </c>
      <c r="G37">
        <v>3.0</v>
      </c>
      <c r="H37" t="s">
        <v>194</v>
      </c>
      <c r="I37">
        <v>3.0</v>
      </c>
      <c r="J37" t="s">
        <v>194</v>
      </c>
      <c r="K37">
        <v>3.0</v>
      </c>
    </row>
    <row r="38" spans="8:8">
      <c r="F38" t="s">
        <v>160</v>
      </c>
      <c r="G38">
        <v>1.0</v>
      </c>
      <c r="H38" t="s">
        <v>160</v>
      </c>
      <c r="I38">
        <v>1.0</v>
      </c>
      <c r="J38" t="s">
        <v>160</v>
      </c>
      <c r="K38">
        <v>1.0</v>
      </c>
    </row>
  </sheetData>
  <mergeCells count="34">
    <mergeCell ref="C35:D35"/>
    <mergeCell ref="C21:D21"/>
    <mergeCell ref="C2:D2"/>
    <mergeCell ref="C13:D13"/>
    <mergeCell ref="C19:D19"/>
    <mergeCell ref="C34:D34"/>
    <mergeCell ref="C33:D33"/>
    <mergeCell ref="C22:D22"/>
    <mergeCell ref="C24:D24"/>
    <mergeCell ref="C20:D20"/>
    <mergeCell ref="C31:D31"/>
    <mergeCell ref="C18:D18"/>
    <mergeCell ref="C17:D17"/>
    <mergeCell ref="C32:D32"/>
    <mergeCell ref="C23:D23"/>
    <mergeCell ref="C25:D25"/>
    <mergeCell ref="C27:D27"/>
    <mergeCell ref="C29:D29"/>
    <mergeCell ref="C30:D30"/>
    <mergeCell ref="C26:D26"/>
    <mergeCell ref="C28:D28"/>
    <mergeCell ref="C16:D16"/>
    <mergeCell ref="C3:D3"/>
    <mergeCell ref="C14:D14"/>
    <mergeCell ref="C5:D5"/>
    <mergeCell ref="C15:D15"/>
    <mergeCell ref="C4:D4"/>
    <mergeCell ref="C12:D12"/>
    <mergeCell ref="C7:D7"/>
    <mergeCell ref="C11:D11"/>
    <mergeCell ref="C10:D10"/>
    <mergeCell ref="C6:D6"/>
    <mergeCell ref="C9:D9"/>
    <mergeCell ref="C8:D8"/>
  </mergeCells>
  <pageMargins left="0.75" right="0.75" top="1.0" bottom="1.0" header="0.511805555555556" footer="0.5118055555555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NetdiskSupbooks xmlns="http://www.wps.cn/et/2019/netdiskSupbooks">
  <NetdiskSupbook Target="空想SP1.159御主角色卡.xlsx" FileId="418434939870" NetdiskName="yunwps"/>
</NetdiskSupbooks>
</file>

<file path=customXml/item2.xml><?xml version="1.0" encoding="utf-8"?>
<allowEditUser xmlns="https://web.wps.cn/et/2018/main" xmlns:s="http://schemas.openxmlformats.org/spreadsheetml/2006/main" hasInvisiblePropRange="0">
  <rangeList sheetStid="1" master=""/>
  <rangeList sheetStid="2" master=""/>
  <rangeList sheetStid="3" master=""/>
  <rangeList sheetStid="7" master=""/>
  <rangeList sheetStid="4" master=""/>
  <rangeList sheetStid="5" master=""/>
  <rangeList sheetStid="6" master=""/>
</allowEditUser>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萱萱</cp:lastModifiedBy>
  <dcterms:created xsi:type="dcterms:W3CDTF">2017-08-04T11:16:00Z</dcterms:created>
  <dcterms:modified xsi:type="dcterms:W3CDTF">2026-03-29T14:54:20Z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ProductBuildVer">
    <vt:lpwstr>2052-12.1.0.25225</vt:lpwstr>
  </property>
  <property fmtid="{D5CDD505-2E9C-101B-9397-08002B2CF9AE}" pid="4" name="ICV">
    <vt:lpwstr>F2F11CE038CB42D8A77F8CD93E25067B_13</vt:lpwstr>
  </property>
</Properties>
</file>