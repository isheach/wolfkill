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2188" windowHeight="9060" firstSheet="1" activeTab="1"/>
  </bookViews>
  <sheets>
    <sheet name="說明" sheetId="1" r:id="rId1" state="hidden"/>
    <sheet name="角色卡" sheetId="2" r:id="rId2"/>
    <sheet name="角色經歷" sheetId="3" r:id="rId3"/>
    <sheet name="（调卡用表）" sheetId="4" r:id="rId4"/>
    <sheet name="建卡用参考资源" sheetId="5" r:id="rId5" state="hidden"/>
    <sheet name="数值参考" sheetId="6" r:id="rId6" state="hidden"/>
  </sheets>
  <definedNames>
    <definedName name="表">数值参考!#REF!</definedName>
    <definedName name="科技">数值参考!#REF!</definedName>
    <definedName name="魔术">数值参考!#REF!</definedName>
    <definedName name="特殊">数值参考!#REF!</definedName>
    <definedName name="天赋类型">数值参考!#REF!</definedName>
    <definedName name="武术">数值参考!#REF!</definedName>
  </definedNames>
  <calcPr calcId="191029"/>
</workbook>
</file>

<file path=xl/comments2.xml><?xml version="1.0" encoding="utf-8"?>
<comments xmlns="http://schemas.openxmlformats.org/spreadsheetml/2006/main">
  <authors>
    <author>dell</author>
  </authors>
  <commentList>
    <comment ref="H3" authorId="0">
      <text>
        <r>
          <rPr>
            <sz val="9"/>
            <rFont val="宋体"/>
            <charset val="134"/>
          </rPr>
          <t xml:space="preserve">放置角色肖像的栏位。
请选适当的图片。
若手机没办法贴上，请在交卡时直接传一张给GM。</t>
        </r>
      </text>
    </comment>
    <comment ref="F13" authorId="0">
      <text>
        <r>
          <rPr>
            <sz val="9"/>
            <rFont val="宋体"/>
            <charset val="134"/>
          </rPr>
          <t xml:space="preserve">袖珍：0~140cm；
通常：141~220cm；
巨大：221~1000cm；
超巨大：1001~∞。</t>
        </r>
      </text>
    </comment>
  </commentList>
</comments>
</file>

<file path=xl/sharedStrings.xml><?xml version="1.0" encoding="utf-8"?>
<sst xmlns="http://schemas.openxmlformats.org/spreadsheetml/2006/main" uniqueCount="405" count="405">
  <si>
    <t>對應規則書︰2.05</t>
  </si>
  <si>
    <t>更新記錄</t>
  </si>
  <si>
    <t>自動化一部份的屬性分配</t>
  </si>
  <si>
    <t>加入看上去很酷的屬性圖</t>
  </si>
  <si>
    <t>加入簡單背景介紹在第一頁</t>
  </si>
  <si>
    <t>加入特性(可選規則)用的格子</t>
  </si>
  <si>
    <t>將特性這不會暴露，暴露後易被針對的效果移至角色卡下方，以便GM處理情報</t>
  </si>
  <si>
    <t>為特性提供了實驗性質的效果槽，是否啟用自行向GM查詢</t>
  </si>
  <si>
    <t>本版本因應2.0規則將魔屬性分配更改了，舊版千萬不要使用此規則</t>
  </si>
  <si>
    <t>並且于本版卡的起源覺醒者已正式移出，和加入了結界使、人偶使</t>
  </si>
  <si>
    <t>六維圖修了修</t>
  </si>
  <si>
    <t>技能效果多加了一行，讓說明有點複雜的技能不用整天拉長行數。但是說明超長的依然要拉長行數</t>
  </si>
  <si>
    <t>禦主屬性回檔，魔力分配重新改為/2</t>
  </si>
  <si>
    <t>處理了不太好看的格子</t>
  </si>
  <si>
    <t>加了倫理規則下，關係用的格子</t>
  </si>
  <si>
    <t>特性由原來的範例，改成一些針對性的問題，寫特性時請將這些問題納入考慮</t>
  </si>
  <si>
    <t>雖然很丟人，但之前一直將貼圖鎖了....現在不解除保護也能貼圖了</t>
  </si>
  <si>
    <t>異能者的特性也改了</t>
  </si>
  <si>
    <t>代行者的九鍵數值調成15</t>
  </si>
  <si>
    <t>倫理關係的格子細分了關係背景、對指定關係人的態度</t>
  </si>
  <si>
    <t>角色的屬性改成橫的，方便填表時右鍵</t>
  </si>
  <si>
    <t>角色頭像可以放更大的了</t>
  </si>
  <si>
    <t>禦主名字、陣營的位置改放到「角色經歷」，第一頁改為放代稱</t>
  </si>
  <si>
    <t>為了排版美觀，職業特性自己去查規則書。</t>
  </si>
  <si>
    <t>另外調整了排版，如無意外角色卡可以用A4size印出來了。不過我還沒嘗試。</t>
  </si>
  <si>
    <t>有些排版出包了，調整完成。</t>
  </si>
  <si>
    <t>御主可选职业新增了巫术使</t>
  </si>
  <si>
    <t>GM開團前「可」準備的事</t>
  </si>
  <si>
    <t>在數值參考頁面按自己特有的村規進行基礎屬性、點數的調整。或加入新職階</t>
  </si>
  <si>
    <t>本角色卡是為聖杯戰爭跑團準備的角色卡。</t>
  </si>
  <si>
    <t>該聖杯戰爭跑團規則大部分採用了日本現在較流行的男爵聖杯規則作為基底，進行魔改的TRPG規則，在遊戲上簡約了戰鬥部分，以實際扮演為主體的遊戲方式。</t>
  </si>
  <si>
    <t>若有疑問可加群424815329查詢</t>
  </si>
  <si>
    <t>備用二群</t>
  </si>
  <si>
    <t>阵营</t>
  </si>
  <si>
    <t>外貌描述</t>
  </si>
  <si>
    <t>肖像</t>
  </si>
  <si>
    <t>资源上限</t>
  </si>
  <si>
    <t>特攻列表</t>
  </si>
  <si>
    <t>职业</t>
  </si>
  <si>
    <t>子职</t>
  </si>
  <si>
    <t>令咒</t>
  </si>
  <si>
    <t>剩余资源</t>
  </si>
  <si>
    <t>特性</t>
  </si>
  <si>
    <t>花费资源</t>
  </si>
  <si>
    <t>性别</t>
  </si>
  <si>
    <t>主职业</t>
  </si>
  <si>
    <t>魔术师</t>
  </si>
  <si>
    <t>体型</t>
  </si>
  <si>
    <t>子职业</t>
  </si>
  <si>
    <t>注释</t>
  </si>
  <si>
    <t>人型</t>
  </si>
  <si>
    <t>扩容</t>
  </si>
  <si>
    <t>特攻列表不会也不能为其他角色所获取。</t>
  </si>
  <si>
    <t>通常</t>
  </si>
  <si>
    <t>学科特性</t>
  </si>
  <si>
    <t>学科</t>
  </si>
  <si>
    <t>名称</t>
  </si>
  <si>
    <t>选取条件</t>
  </si>
  <si>
    <t>属性</t>
  </si>
  <si>
    <t>等级</t>
  </si>
  <si>
    <t>筋力</t>
  </si>
  <si>
    <t>耐久</t>
  </si>
  <si>
    <t>敏捷</t>
  </si>
  <si>
    <t>魔力</t>
  </si>
  <si>
    <t>幸运</t>
  </si>
  <si>
    <t>回路</t>
  </si>
  <si>
    <t>属性点数</t>
  </si>
  <si>
    <t>合计</t>
  </si>
  <si>
    <t>效果</t>
  </si>
  <si>
    <t>（持有[类型：魔术]技能且存在时钟塔进修经历的单位才可以选择[学科]）
（此项为额外规则，通常不开）</t>
  </si>
  <si>
    <t>分配</t>
  </si>
  <si>
    <t>剩余点数</t>
  </si>
  <si>
    <t>补正</t>
  </si>
  <si>
    <t>工房构件</t>
  </si>
  <si>
    <t>额外技能</t>
  </si>
  <si>
    <t>模板</t>
  </si>
  <si>
    <t>构件种类</t>
  </si>
  <si>
    <t>资源</t>
  </si>
  <si>
    <t>魔力消耗</t>
  </si>
  <si>
    <t>规模</t>
  </si>
  <si>
    <t>稳态</t>
  </si>
  <si>
    <t>类型</t>
  </si>
  <si>
    <t>回转</t>
  </si>
  <si>
    <t>发动时机</t>
  </si>
  <si>
    <t>（通常只有持有[魔术师]职业特性的单位才可以建造[魔术工房]）</t>
  </si>
  <si>
    <t>（每个御主持有三个初始技能栏，每个额外技能栏需要消耗2RP购入，写作[扩容]）</t>
  </si>
  <si>
    <t>背景</t>
  </si>
  <si>
    <t>（每个御主持有一个工房构件栏，每个额外工房栏需要消耗1RP购入，写作[扩容]）</t>
  </si>
  <si>
    <t>保有技能</t>
  </si>
  <si>
    <t>礼装</t>
  </si>
  <si>
    <t>(资源名称)</t>
  </si>
  <si>
    <t>/</t>
  </si>
  <si>
    <t>(自定义技能名称)</t>
  </si>
  <si>
    <t>（每名御主持有一个初始礼装栏，每个额外礼装栏需要消耗1RP购入，写作[扩容]）</t>
  </si>
  <si>
    <t>最能代表角色的一句话:</t>
  </si>
  <si>
    <t>你的角色是为了圣杯而参战的？你投身到圣杯战争中所追求的是什么？</t>
  </si>
  <si>
    <t>“如果你不为了你自己而活的话，
所谓的幸福究竟是什么——根本不会明白！”</t>
  </si>
  <si>
    <t>(投身杀戮，冒着生命危险参加圣杯战争的原因、愿望。)
（除非GM允许，否则愿望必须需要通过圣杯许愿实现）</t>
  </si>
  <si>
    <t>喜好</t>
  </si>
  <si>
    <t>宝石磨制、捉弄士郎。</t>
  </si>
  <si>
    <t>使魔外观</t>
  </si>
  <si>
    <t>猫、狗、机器、工具人</t>
  </si>
  <si>
    <t>厌恶</t>
  </si>
  <si>
    <t>全部的电子仪器、突发事件。</t>
  </si>
  <si>
    <t>技术</t>
  </si>
  <si>
    <t>魔术/科技/人脉?</t>
  </si>
  <si>
    <t>角色之核心人設</t>
  </si>
  <si>
    <t>魔术属性</t>
  </si>
  <si>
    <t>五大元素使</t>
  </si>
  <si>
    <t>图片（此处为使魔外观）</t>
  </si>
  <si>
    <t>(专注描写角色的性格、价值观的形成等等。)
(不便公开的里设，与正常侦查不应该取得的情报都放置于此。)
(角色简介与核心人设的内容，宜于审卡前与GM进行商确，确定什么内容置于那一面。)</t>
  </si>
  <si>
    <t>魔术特性</t>
  </si>
  <si>
    <t>转换</t>
  </si>
  <si>
    <t>姓名</t>
  </si>
  <si>
    <t>远坂凛</t>
  </si>
  <si>
    <t>身份</t>
  </si>
  <si>
    <t>魔术师/冬木市地脉管理者</t>
  </si>
  <si>
    <t>穗群原学园学生</t>
  </si>
  <si>
    <t>所属</t>
  </si>
  <si>
    <t>远坂家</t>
  </si>
  <si>
    <t>女</t>
  </si>
  <si>
    <t>玩家</t>
  </si>
  <si>
    <t>年龄</t>
  </si>
  <si>
    <t>身高</t>
  </si>
  <si>
    <t>体重</t>
  </si>
  <si>
    <t>秩序-善</t>
  </si>
  <si>
    <t>已知的情报</t>
  </si>
  <si>
    <t>(写出角色的简单、可调查取得的情报。像是出身、生平与所属魔术集团中的地位、战斗风格、魔术上的研究定位)
(为保证公平性，请与GM商确清楚放置于此处的内容。)
(本部份将因为详细侦查而暴露，过于核心的内容请不要填写于此处。但也不容许于此处进行严重欺骗、误导)</t>
  </si>
  <si>
    <t>社会关系/[支援伦理规则]:</t>
  </si>
  <si>
    <t>在這場聖杯戰爭中，你是否會遵守倫理的規則，不波及無辜？</t>
  </si>
  <si>
    <t>关系：</t>
  </si>
  <si>
    <t>父女</t>
  </si>
  <si>
    <t>對像：</t>
  </si>
  <si>
    <t>远坂时臣</t>
  </si>
  <si>
    <t>态度：</t>
  </si>
  <si>
    <t>亲切</t>
  </si>
  <si>
    <t>效果︰</t>
  </si>
  <si>
    <t>无</t>
  </si>
  <si>
    <t>交集点/
关系现状:</t>
  </si>
  <si>
    <t>时臣死了。</t>
  </si>
  <si>
    <t>你的愿望是否可以放弃，如果可以，是在什么情况下？</t>
  </si>
  <si>
    <t>（除非GM允许，否则愿望无法被放弃）</t>
  </si>
  <si>
    <t>友好</t>
  </si>
  <si>
    <t>(支援伦理规则用的格子，若果GM没开这规则就不用理会)
（作为社会关系栏位时，只需填写关系、态度与交集点/现状）</t>
  </si>
  <si>
    <t>你希望拥有怎样的从者？在什么情况下你可能会违背从者的意愿进行行动？</t>
  </si>
  <si>
    <t>(本角色與指定關系人如何相遇、如何相處)</t>
  </si>
  <si>
    <t>你愿意相信什么样的人？在什么情况下你可能会将其他参赛者认作盟友？</t>
  </si>
  <si>
    <t>角色梦境:</t>
  </si>
  <si>
    <t>(与从者交换梦境用的格子，若果GM没要求就不用理会)</t>
  </si>
  <si>
    <t>特性：</t>
  </si>
  <si>
    <t>(例)根源的渴望</t>
  </si>
  <si>
    <t>效果：</t>
  </si>
  <si>
    <t>(是否提供实质加乘，请向GM查询自行决定，基本上无效果)</t>
  </si>
  <si>
    <t>描述：</t>
  </si>
  <si>
    <t>(对自己的愿望有什么程度的执着，会于什么原因下放弃?)
(面对其他组别会优先做出什么行动?)(在失去从者的情况下还会不会坚持不退出?)</t>
  </si>
  <si>
    <t>职业名称</t>
  </si>
  <si>
    <t>技能等级</t>
  </si>
  <si>
    <r>
      <rPr>
        <charset val="134"/>
        <sz val="12"/>
        <color rgb="FF000000"/>
        <rFont val="宋体"/>
      </rPr>
      <t>对应</t>
    </r>
    <r>
      <rPr>
        <b/>
        <charset val="134"/>
        <sz val="12"/>
        <color rgb="FF000000"/>
        <rFont val="宋体"/>
      </rPr>
      <t>RP</t>
    </r>
  </si>
  <si>
    <t>宝具等级</t>
  </si>
  <si>
    <t>御主等级</t>
  </si>
  <si>
    <t>对应RP</t>
  </si>
  <si>
    <t>20</t>
  </si>
  <si>
    <t>E</t>
  </si>
  <si>
    <t>体术师</t>
  </si>
  <si>
    <t>D</t>
  </si>
  <si>
    <t>异能者</t>
  </si>
  <si>
    <t>10</t>
  </si>
  <si>
    <t>C</t>
  </si>
  <si>
    <t>代行者</t>
  </si>
  <si>
    <t>B</t>
  </si>
  <si>
    <t>退魔师</t>
  </si>
  <si>
    <t>0</t>
  </si>
  <si>
    <t>A</t>
  </si>
  <si>
    <t>执法者</t>
  </si>
  <si>
    <t>EX</t>
  </si>
  <si>
    <t>-(E)</t>
  </si>
  <si>
    <t>-(D)</t>
  </si>
  <si>
    <t>-(C)</t>
  </si>
  <si>
    <t>-(B)</t>
  </si>
  <si>
    <t>-(A)</t>
  </si>
  <si>
    <t>-(EX)</t>
  </si>
  <si>
    <t>E+</t>
  </si>
  <si>
    <t>D+</t>
  </si>
  <si>
    <t>C+</t>
  </si>
  <si>
    <t>B+</t>
  </si>
  <si>
    <t>A+</t>
  </si>
  <si>
    <t>E++</t>
  </si>
  <si>
    <t>D++</t>
  </si>
  <si>
    <t>C++</t>
  </si>
  <si>
    <t>B++</t>
  </si>
  <si>
    <t>A++</t>
  </si>
  <si>
    <t>E+++</t>
  </si>
  <si>
    <t>D+++</t>
  </si>
  <si>
    <t>C+++</t>
  </si>
  <si>
    <t>B+++</t>
  </si>
  <si>
    <t>A+++</t>
  </si>
  <si>
    <t>能力</t>
  </si>
  <si>
    <t>就算自身与从者不在同一个场景下，也能对其使用令咒。</t>
  </si>
  <si>
    <t>魔力额外获得[+10]的补正，该补正可以突破属性上限。并且基础技能的[类型]必须为[魔术]。</t>
  </si>
  <si>
    <t>开局可获得一个任意的基础礼装。</t>
  </si>
  <si>
    <t>人偶师</t>
  </si>
  <si>
    <t>自身的基础技能将会提升一个等级，最高为 A，但必须为[人偶制成]。</t>
  </si>
  <si>
    <t>可任意挑选[类别:魔术]以外的基础技能。并将那个技能的等级提高一个等级，最高为 A 级。</t>
  </si>
  <si>
    <t>并且额外获得[20]的可任意分配点数。</t>
  </si>
  <si>
    <t>（若是在等级骰点制的规则下，额外可任意分配点数将可以转化为自身等级骰+1。）</t>
  </si>
  <si>
    <t>注 1:这个可任意分配点数，无法使属性突破上限。</t>
  </si>
  <si>
    <t>注 2:由于御主默认没有宝具，所以也无法分配到宝具处。</t>
  </si>
  <si>
    <t>魔眼使</t>
  </si>
  <si>
    <t>将自身的[基础技能]更替为具有[对他人产生负面效果]的[特殊技能]，该特殊技能的技能等级视为[B]。</t>
  </si>
  <si>
    <t>名字：待定 类别：一般 使用时机：初始工序</t>
  </si>
  <si>
    <t>效果：对对方战斗位的上一名御主进行一次成功率=[自身任一数值-目标任一数值]的[即死]效果，</t>
  </si>
  <si>
    <t>在判定成功的情况下，若不以一枚令咒抵消，则将会视为退场。</t>
  </si>
  <si>
    <t>在判定失败的情况下，将会给予对方[同等于即死成功率]的[胜率惩罚]。</t>
  </si>
  <si>
    <t>保菌传承者</t>
  </si>
  <si>
    <t>将自身的[基础技能]更替为与自身[魔]相同等级的[对人宝具]。在解放宝具的当下也将会获得同等的[宝]属性。</t>
  </si>
  <si>
    <t>10=E 20=D 30=C 40=B 50=A。</t>
  </si>
  <si>
    <t>该宝具一天只能释放一次，且将会消耗等同于[魔]属性的魔力。也可以将自身的魔永久[-20]，将宝具类型提升为[固有结界]。</t>
  </si>
  <si>
    <t>自身的阵营必须为[秩序]，且参加圣杯战争的目的，必须是以[将圣杯回收至教会]为主，并且为了保证[圣杯]的魔力，不会给他人对[圣杯]许愿的机会。</t>
  </si>
  <si>
    <t>可任意挑选基础技能，并将会额外获得一个礼装——[九键]，并且可以对自身使用令咒来加强自身的战斗能力。</t>
  </si>
  <si>
    <t>名称：[九键] 类型：常驻礼装 使用时机：常驻</t>
  </si>
  <si>
    <t>效果：战斗中，无条件给予自身[+15]的胜率补正。该[胜率补正]不可与其他[九键]复数叠加。</t>
  </si>
  <si>
    <t>巫术使</t>
  </si>
  <si>
    <t>该职业可任意挑选基础技能，且将会额外获得两项特殊的回合行动指令。</t>
  </si>
  <si>
    <t>诅咒：</t>
  </si>
  <si>
    <t>消耗一个行动阶段发动，选择一名被自身详细侦查成功且未被诅咒过的御主全抗性受到[-20]的削减，这个状态将持续三天。</t>
  </si>
  <si>
    <t>该行动的优先级高于袭击低于魂食。</t>
  </si>
  <si>
    <t>献祭：</t>
  </si>
  <si>
    <t>这个职业的御主每当杀死了其他御主的情况下，将可以令与自身契约的一名从者除[宝]以外的属性获得[+5]的[常驻补正]；</t>
  </si>
  <si>
    <t>或消耗一个行动阶段发动，令自身的[耐]属性受到[-20]的常驻惩罚]，令与自身契约的一名从者除[宝]以外的属性获得[+5]的[常驻补正]。</t>
  </si>
  <si>
    <t>技能资源库</t>
  </si>
  <si>
    <t>基础技能</t>
  </si>
  <si>
    <t>特化技能</t>
  </si>
  <si>
    <t>一般</t>
  </si>
  <si>
    <t>名称：</t>
  </si>
  <si>
    <t>枪械精通 A B C</t>
  </si>
  <si>
    <t>类别：</t>
  </si>
  <si>
    <t>使用时机：</t>
  </si>
  <si>
    <t>初始工序</t>
  </si>
  <si>
    <t>八极拳 B</t>
  </si>
  <si>
    <t>在[袭击]或[介入行动]的时候，无条件获得[+20/15/10]的胜率补正。</t>
  </si>
  <si>
    <t>选择对方战斗位上的一名御主发动，令其进行一次成功率=[自身上三维总和-目标上三维总和]的判定 在判定成功后，将会使目标强制退出战斗位，这个判定受[非精神系弱体耐性]的影响。</t>
  </si>
  <si>
    <t>备注：</t>
  </si>
  <si>
    <t>御主等级[30/20/10]可分别获得[A/B/C]等级。</t>
  </si>
  <si>
    <t>情报优势 A B C</t>
  </si>
  <si>
    <t>游戏第一天开始时</t>
  </si>
  <si>
    <t>随机获得除自己以外最多[3/2/1]名[御主]的[详细侦查资料]以及[所在根据地]。</t>
  </si>
  <si>
    <t>投毒 B</t>
  </si>
  <si>
    <t>行动阶段</t>
  </si>
  <si>
    <t>该技能在本次圣杯战争中只能使用一次，发动后选择以下其一发动。
①消耗一个行动阶段，令一个灵脉上的全部[御主]受到一次成功率=[50]的[中毒]判定。
②回合结束时发动，令自身所在灵脉除自身以外的全部[御主]直接[中毒]。</t>
  </si>
  <si>
    <t>御主等级[35/25/15]可分别获得[A/B/C]等级。</t>
  </si>
  <si>
    <t>武术（剑术） A B C</t>
  </si>
  <si>
    <t>主要工序</t>
  </si>
  <si>
    <t>给予自身[筋力 [耐久]、[敏捷]其中一项获得[+15/+10/+5]的属性补正。</t>
  </si>
  <si>
    <t>魔术</t>
  </si>
  <si>
    <t>御主上三维属性的总和[70/50/30]可分别获得[A/B/C]等级。</t>
  </si>
  <si>
    <t>宝石魔术 B</t>
  </si>
  <si>
    <t>最终工序</t>
  </si>
  <si>
    <t>消耗任意一个礼装后发动，给予对方[-20]的胜率惩罚。</t>
  </si>
  <si>
    <t>魔术 A B C</t>
  </si>
  <si>
    <t>有使用[魔力]作为战斗属性的场合，给予敌方[-20/15/10]的胜率惩罚。</t>
  </si>
  <si>
    <t>死灵魔术 B</t>
  </si>
  <si>
    <t>常驻</t>
  </si>
  <si>
    <t>自身[人偶]的制作方式改变为[杀死一名御主]或[进行一次成功的魂食]，但自身的[人偶]将可以复数存在，
且自身的人偶无论数量多少，都将会在战斗时将所有人偶的属性叠加在一起并视为一个单位。</t>
  </si>
  <si>
    <t>御主的[魔]达到[35/25/15]可分别获得[A/B/C]等级。</t>
  </si>
  <si>
    <t>炼金魔术 A B C</t>
  </si>
  <si>
    <t>自身在制作礼装时，将会获得[+25/20/15]的[成功率补正]。
并且在制作礼装时，若出目数在[5]以下时，则这一次制作成功的礼装视为[2]份。</t>
  </si>
  <si>
    <t>利用[魂食]进行[人偶制作]时，在成功时将无法获取相对应的魔力。</t>
  </si>
  <si>
    <t>妨碍傀儡 A</t>
  </si>
  <si>
    <t>战斗前</t>
  </si>
  <si>
    <t>人偶制成 A B C</t>
  </si>
  <si>
    <t>选择场上由自身所控制的全部[人偶]发动，令其对场上一名任意御主进行一次成功率=[人偶数量×30]的判定，在判定成功的情况下，对方御主将无法参与进后续的战斗中。
无论判定成功与否，该技能发动后，自身的人偶都将无法参与进接下来的战斗中。</t>
  </si>
  <si>
    <t>游戏开始时，将会获得一个等级=[30/20/10]，总属性=[60/45/30]的[可命名人偶]。该[人偶]在被摧毁的情况下，可以消耗一个行动阶段来进行一次必定成功的制作。
那之后制作的人偶将会继承上一个被摧毁[人偶]的所有面板。</t>
  </si>
  <si>
    <t>魔力倾泄 A</t>
  </si>
  <si>
    <t>御主的等级[45/30/20]可分别获得[A/B/C]等级。</t>
  </si>
  <si>
    <t>给予对方[-15]的[胜率惩罚]，在发动这个技能时，可以令自身的[魔属性]受到[-10]的[常驻惩罚]来令这个技能所带来的[胜率惩罚]提高至[-30]。</t>
  </si>
  <si>
    <t>该人偶的上三维属性皆不可低于 5，且无法拥有宝属性，也无法作为协力者。</t>
  </si>
  <si>
    <t>该单位所进行的战斗，将会消耗对方从者等级所带来的魔力消耗。</t>
  </si>
  <si>
    <t>狂化咒文 A</t>
  </si>
  <si>
    <t>召唤时</t>
  </si>
  <si>
    <t>该单位持有者在执行无损撤退时，可以无条件的将其一并带走，但是若[人偶]数量为复数时，最多只能带走[1]个</t>
  </si>
  <si>
    <t>召唤时，若自身所召唤的从者职阶不为[berserker]，将可以消耗一枚令咒发动，赋予自身从者[狂化 C]。
该技能可以被[拥有抵消令咒效果]的从者主动抵消。</t>
  </si>
  <si>
    <t>支援</t>
  </si>
  <si>
    <t>狙击支援 A B C</t>
  </si>
  <si>
    <t>发动后，选择一方受到[-15/10/5]的[胜率惩罚]。</t>
  </si>
  <si>
    <t>协议破弃 C</t>
  </si>
  <si>
    <t>随时</t>
  </si>
  <si>
    <t>本次圣杯战争仅能使用一次，令与自身有关且是自身所签订的一项[契约]失效，且对方将无法察觉[契约]的失效。</t>
  </si>
  <si>
    <t>礼装资源库</t>
  </si>
  <si>
    <t>可制作礼装</t>
  </si>
  <si>
    <t>额外礼装</t>
  </si>
  <si>
    <t>魔水晶</t>
  </si>
  <si>
    <t>一次性礼装</t>
  </si>
  <si>
    <t>魔宝石 C</t>
  </si>
  <si>
    <t>令一名从者获得[+20]的魔力量。但是制作时，成功率将会受到[-20]的惩罚。</t>
  </si>
  <si>
    <t>该礼装将取代原规则书中的[魔水晶]，可以在任意时机回复自身[+10]的魔力量。
并且作为[宝石魔术]的消耗品时，将额外给予对方[-10]的胜率惩罚。</t>
  </si>
  <si>
    <t>魔力计</t>
  </si>
  <si>
    <t>[九键] B</t>
  </si>
  <si>
    <t>常驻礼装</t>
  </si>
  <si>
    <t>对己方行动阶段所执行的任一判定进行一次重骰。</t>
  </si>
  <si>
    <t>战斗中，无条件给予自身[+15]的胜率补正。该[胜率补正]不可与其他[九键]复数叠加。</t>
  </si>
  <si>
    <t>魔能弹</t>
  </si>
  <si>
    <t>刃无锋 B</t>
  </si>
  <si>
    <t>战斗在场时才可以使用，令战斗中的一方获得[+5]的胜率补正，同一阵营在同一场战斗中最多可使用三个。</t>
  </si>
  <si>
    <t>给予自身[+20]的[胜率补正]，但是将会令对方获得[+10]的[保底胜率]。</t>
  </si>
  <si>
    <t>使魔</t>
  </si>
  <si>
    <t>豪风魔弹 A</t>
  </si>
  <si>
    <t>己方阵营所执行的[侦查]获得[+10%]成功率。使魔是可以被任意阵营主动破坏的。
在持有使魔的情况下，每回合能不消耗行动阶段与一个阵营进行使魔交流。
但就算持有复数的使魔，也只能最多与一个阵营进行使魔交流。</t>
  </si>
  <si>
    <t>在行动阶段中，自身可以将所持有的[3]个[魔能弹]转化为[1]枚[豪风魔弹]，这个转化将视为[不消耗行动阶段且必定成功的礼装制作]。
[豪风魔弹]能在战斗的任意工序中使用，使用时将给予自身[+20]的[胜率补正]，但一场战斗中最多只能使用[1]个。</t>
  </si>
  <si>
    <t>咒符</t>
  </si>
  <si>
    <t>现代机车 B</t>
  </si>
  <si>
    <t>常驻/行动阶段</t>
  </si>
  <si>
    <t>在己方阵营所释放[负面判定]时，可以消耗该礼装令这一次判定额外获得[+10]的[成功率补正]。
该礼装一次战斗中最多只能使用一次，且同一判定中仅能使用一枚。</t>
  </si>
  <si>
    <t>自身的[敏]属性获得[+10]的[常驻补正]。 
当自身从者[人物卡]上具有空余的[宝具位]时，可以消耗一个回合令其成为从者[宝具]。
——————————————————————————————————————
宝具：（你们自己想）E 类别：常驻宝具 消耗：0
效果：自身的[敏]属性获得[+10]的[常驻补正]，且在进入战斗后，将无条件触发[骑乘]。若该宝具的持有者不具备[骑乘]，则将会赋予[骑乘 D]。</t>
  </si>
  <si>
    <t>强制卷轴</t>
  </si>
  <si>
    <t>可允许一份签订具强制效力的契约。具体效果请参照规则后续[关于双方的强制契约]。</t>
  </si>
  <si>
    <t>九头蛇短刀 B</t>
  </si>
  <si>
    <t>Azoth 剑</t>
  </si>
  <si>
    <t>回合开始/结束时</t>
  </si>
  <si>
    <t>可以在任意的时间点对一名御主进行一次成功率=[50]的投掷判定，在命中的情况下，那一名御主将会直接进入[中毒]状态，反之，如果没有命中，则对方御主将会获得这个礼装。
这个礼装的投掷判定固定为[50]，无法以任何形式改变这个成功率，也无法以任何形式提前知晓这个判定是否成功。</t>
  </si>
  <si>
    <t>对一名同灵脉的御主角色，进行成功率 0%的即死判定。若持有者与目标间有协力者契约，成功率额外+20%。
目标与持有者于同灵脉共渡的每一个回合结算，将使成功率+20%。
若被指定的角色，曾被[Azoth 剑]或同类的判定所指定，该即死判定必定失败。</t>
  </si>
  <si>
    <t>（你们自己想）A</t>
  </si>
  <si>
    <t>当持有者捅自己时，gm 可以选择这项规则——持有者捅自己时，即死基础率20%，并且 Azoth 剑享受增加即死率的效果。</t>
  </si>
  <si>
    <t>一般[无损撤退]礼装分为以下两个效果，车写的时候请选择其一进行车写。
①战败后，破弃该礼装进行一次仅限[己方]的[无损撤退]。
②破弃该礼装，令[己方]在这一场战斗所执行的[无损撤退]时，所需要的令咒数量只需要[1]。</t>
  </si>
  <si>
    <t>可分配资源</t>
  </si>
  <si>
    <t>筋力：</t>
  </si>
  <si>
    <t>耐力：</t>
  </si>
  <si>
    <t>敏捷：</t>
  </si>
  <si>
    <t>魔力：</t>
  </si>
  <si>
    <t>幸运：</t>
  </si>
  <si>
    <t>回路：</t>
  </si>
  <si>
    <t>中立-善</t>
  </si>
  <si>
    <t>混沌-善</t>
  </si>
  <si>
    <t>秩序-中立</t>
  </si>
  <si>
    <t>中立-中庸</t>
  </si>
  <si>
    <t>混沌-中立</t>
  </si>
  <si>
    <t>秩序-邪</t>
  </si>
  <si>
    <t>中立-邪</t>
  </si>
  <si>
    <t>混沌-邪</t>
  </si>
  <si>
    <t>秩序-狂</t>
  </si>
  <si>
    <t>中立-狂</t>
  </si>
  <si>
    <t>混沌-狂</t>
  </si>
  <si>
    <t>空</t>
  </si>
  <si>
    <t>骰值1D8</t>
  </si>
  <si>
    <t>关系</t>
  </si>
  <si>
    <t>(态度)</t>
  </si>
  <si>
    <t>依赖</t>
  </si>
  <si>
    <t>独占欲</t>
  </si>
  <si>
    <t>等级转化资源</t>
  </si>
  <si>
    <t>轻蔑</t>
  </si>
  <si>
    <t>敌视</t>
  </si>
  <si>
    <t>仇恨</t>
  </si>
  <si>
    <t>支配欲</t>
  </si>
  <si>
    <t>(自定义技能名称</t>
  </si>
  <si>
    <t xml:space="preserve">宝菌传承者 </t>
  </si>
  <si>
    <t>炼金基盘</t>
  </si>
  <si>
    <t xml:space="preserve">约束之神秘 </t>
  </si>
  <si>
    <t>建卡时，额外持有一个需要消耗[2]RP扩容的宝具栏。
从从者资源库中[即死][进攻][防御][增益][状态][决战]面向中选择低于此技能等级的宝具获取，占
用此技能带来的宝具栏；通过此技能获取宝具时，视为购入，适用从者的资源购入规则，在解放
时正常计算消耗和回转。以此方式获取的宝具若为[发动时机：常驻]，则需要额外消耗[1]RP</t>
  </si>
  <si>
    <t>射出之信念一箭 C</t>
  </si>
  <si>
    <t>【必中】发动后，对敌方主力位造成【-50%】的胜率惩罚，随后，若目标等级大于自身，则允许额外宣言支付【20】魔力并对目标造成相当于【1*双方等级差%】的胜率惩罚，以此法造成的胜率惩罚最多相当于自身的【1*初始等级】。特别的，若本宝具指定了一个等级低于自身的目标，则使得本宝具造成的惩罚减半并永久失去【必中】</t>
  </si>
  <si>
    <t>对人</t>
  </si>
  <si>
    <t>建卡时，额外持有一个需要消耗[3]RP扩容的技能栏。
从从者资源库中选择低于此技能等级，且非[类型：职阶]的技能获取，占用此技能带来的技能栏
；通过此技能获取技能时，视为购入，适用从者的资源购入规则，在发动时正常计算消耗和回转
。获取C级以上且仅有一个等级的技能时，需要额外消耗[1]RP进行扩容</t>
  </si>
  <si>
    <t>流转之传承</t>
  </si>
  <si>
    <t>天赋</t>
  </si>
  <si>
    <t>予其手以光 B</t>
  </si>
  <si>
    <t>祝福</t>
  </si>
  <si>
    <t>[支援]
此技能仅能在建卡时获取。
指定不为自身的己方[主力位]单位，若[目标等级＜敌方[主力位]等级]，则给予其全属性[+10]常
驻补正。非[御主]单位仅能以此方式获得一次常驻补正。
主要工序开始时，若持有此技能带来的常驻补正的单位处于[主力位]，则己方[战斗属性]每存在
一项[劣势]，都将获得[+10%]胜率补正。
若目标为[御主]单位，则此胜率补正翻倍。</t>
  </si>
  <si>
    <t xml:space="preserve">信任的拍档 </t>
  </si>
  <si>
    <t>技艺</t>
  </si>
  <si>
    <t>建卡时，额外持有一张等级与自身相同、保有[30]属性点、不保有RP点但能使用自身RP点，同
时[回路]属性至多为[自身[回路]属性/2]的御主卡面。
此卡面视为御主单位，拥有独立的行动，并且与自身保有[魔力契约]。
不同卡面之间无法持有相同的技能。</t>
  </si>
  <si>
    <t>基本组件</t>
  </si>
  <si>
    <t>[稳态20/20][规模1/10]
令自阵营在此灵脉上进行的[礼装制作]获得[+25%]的基础成功率补正。</t>
  </si>
  <si>
    <t>[支援]
此技能仅能在建卡时获取。
指定不为自身的己方[主力位]单位，若[目标等级＜敌方[主力位]等级]，则给予其全属性[+10]常
驻补正。非[御主]单位仅能以此方式获得一次常驻补正。
主要工序开始时，若持有此技能带来的常驻补正的单位处于[主力位]，则己方[战斗属性]每存在
一项[劣势]，都将获得[+10%]胜率补正。
若目标为[御主]单位，则此胜率补正翻倍。</t>
  </si>
  <si>
    <t>予其手以光</t>
  </si>
  <si>
    <t>断覆之羽-为你赐福弟弟</t>
  </si>
  <si>
    <t>建卡时，额外持有一个需要消耗[3/2/1/-]RP扩容的技能栏。
从从者资源库中选择低于此技能等级，且非[类型：职阶]的技能获取，占用此技能带来的技能栏
；通过此技能获取技能时，视为购入，适用从者的资源购入规则，在发动时正常计算消耗和回转
。获取C级以上且仅有一个等级的技能时，需要额外消耗[1]RP进行扩容。
此技能等级达到EX时，额外消耗[3]RP扩容，允许自身获取A级的技能，若获取的那个技能仅有A
级，则需要额外消耗[1]RP进行扩容。</t>
  </si>
  <si>
    <t>建卡时，额外持有一个需要消耗[2]RP扩容的技能栏。
从从者资源库中选择低于此技能等级，且非[类型：职阶]的技能获取，占用此技能带来的技能栏
；通过此技能获取技能时，视为购入，适用从者的资源购入规则，在发动时正常计算消耗和回转
。获取C级以上且仅有一个等级的技能时，需要额外消耗[1]RP进行扩容。
此技能等级达到EX时，额外消耗[3]RP扩容，允许自身获取A级的技能，若获取的那个技能仅有A
级，则需要额外消耗[1]RP进行扩容。</t>
  </si>
  <si>
    <t>建卡时，额外持有一个需要消耗[3]RP扩容的技能栏。
从从者资源库中选择低于此技能等级，且非[类型：职阶]的技能获取，占用此技能带来的技能栏
；通过此技能获取技能时，视为购入，适用从者的资源购入规则，在发动时正常计算消耗和回转
。获取C级以上且仅有一个等级的技能时，需要额外消耗[1]RP进行扩容。
此技能等级达到EX时，额外消耗[3]RP扩容，允许自身获取A级的技能，若获取的那个技能仅有A
级，则需要额外消耗[1]RP进行扩容。</t>
  </si>
  <si>
    <t>潜能激发</t>
  </si>
  <si>
    <t>对自身进行一次成功率=[30%]的判定，成功的场合下，令自身一项不为[发动时
机：常驻]的技能立即获得全部回转；失败的场合下，给予自身[晕眩 3]。</t>
  </si>
  <si>
    <t>信任的拍档</t>
  </si>
  <si>
    <t>圣子之心-羽</t>
  </si>
  <si>
    <t>挚爱的弟弟</t>
  </si>
  <si>
    <t>血脉流转</t>
  </si>
  <si>
    <t>断覆之羽-为你赐福</t>
  </si>
  <si>
    <t>建卡时，额外持有一张等级与自身相同、保有[30]属性点、不保有RP点但能使用自身RP点，同
时[回路]属性至多为[自身[回路]属性/2]的御主卡面。
此卡面视为御主单位，拥有独立的行动，并且与自身保有[魔力契约]。
不同卡面之间无法持有相同的技能。</t>
  </si>
  <si>
    <t>这片残缺的羽翼，为避护你而存在 ...弟弟
圣子的身份，我从不在意，我只希望你能够活下去</t>
  </si>
  <si>
    <t>弟弟...你是我的弟弟...
或许你讨厌我，但这依旧不会掩盖着我爱你的心</t>
  </si>
  <si>
    <t>弟弟，以前我们什么也决定不了...但以后我们就是自由的了...
这片断覆的残羽，将为你照耀前行的道路</t>
  </si>
  <si>
    <t>圣子的血脉啊...仪式...</t>
  </si>
  <si>
    <t>残缺之羽，也有一天会飞向天空</t>
  </si>
  <si>
    <t>卡斯托尔</t>
  </si>
  <si>
    <t>圣子</t>
  </si>
  <si>
    <t>？</t>
  </si>
  <si>
    <t>男</t>
  </si>
  <si>
    <t>鸦羽</t>
  </si>
  <si>
    <t>天海</t>
  </si>
  <si>
    <t>被提灯教会收养为圣子，在逃离的过程之中被弟弟所背刺...</t>
  </si>
  <si>
    <t>为了寻找原本的自由</t>
  </si>
  <si>
    <t>弟控x，很纯粹的
老好人，他就是属于狗头型人设</t>
  </si>
  <si>
    <t>会</t>
  </si>
  <si>
    <t>无论怎么样都行...至少我们想活下去</t>
  </si>
  <si>
    <t>会，我们想活上去</t>
  </si>
  <si>
    <t>弟弟，以前我们什么也决定不了...但以后我们就是自由的了...
这片断覆的残羽，将为你照耀前行的道路
在我心中你便是最大的英雄</t>
  </si>
  <si>
    <t>英雄制作</t>
  </si>
  <si>
    <t>除此技能的首次发动外，此技能指定的对象必须为自身外持有[王者]的御主单位。
此技能仅能在满足以下任一条件时立即发动并生效，并在发动后移除对应条件：
1、当前灵脉上任一御主单位作为[主力位/辅助位]参与到战斗中时；
2、当前灵脉上任一御主单位作为[主力位/辅助位]参与到战斗中，且获得战斗胜利时；
3、当前灵脉上任一御主单位在战斗中成为敌方战斗位上任意技能或宝具指定的目标时；
4、当前灵脉上任一御主单位受到来自其同阵营以外单位的负面判定，且那个判定成功时；
5、当前灵脉上任一御主单位以魔力[&lt;-20]进行了至少一次魔力结算时；
6、当前灵脉上任一御主单位持有令咒数为[0]时。
给予目标[王者 1]，这之后，给予目标[+5]的等级补正，除[宝具]外全属性[+10]的常驻补正。
若目标[王者]层数因此变为[4]，允许将自身保有的任一技能以对应等级模板赋予目标，以此方
式获取的技能同样视为保有技能；
若目标[王者]层数因此变为[5]，允许将自身保有的任一宝具以对应等级模板赋予目标，并允许目
标获得与其持有宝具等级对应的[宝具]基础属性；
若目标[王者]层数因此变为[6]，目标在判定上同样视为从者单位（无法在圣杯契约中视为从者且
不会产生等级魔耗）。
此技能至多生效[5/4/3]次，且生效[5/4/3]次后，破弃此技能。
此技能作为额外技能重复获取时，先前发动带来的影响不会重置。</t>
  </si>
</sst>
</file>

<file path=xl/styles.xml><?xml version="1.0" encoding="utf-8"?>
<styleSheet xmlns="http://schemas.openxmlformats.org/spreadsheetml/2006/main">
  <numFmts count="4">
    <numFmt numFmtId="0" formatCode="General"/>
    <numFmt numFmtId="164" formatCode="[&gt;0]\ &quot;+&quot;?;[&lt;0]&quot;-&quot;?;General"/>
    <numFmt numFmtId="49" formatCode="@"/>
    <numFmt numFmtId="165" formatCode="&quot;/&quot;@"/>
  </numFmts>
  <fonts count="39">
    <font>
      <name val="宋体"/>
      <sz val="12"/>
    </font>
    <font>
      <name val="宋体"/>
      <b/>
      <charset val="136"/>
      <sz val="45"/>
      <color rgb="FFFF0000"/>
    </font>
    <font>
      <name val="新細明體"/>
      <charset val="136"/>
      <sz val="11"/>
      <color rgb="FF000000"/>
    </font>
    <font>
      <name val="宋体"/>
      <charset val="136"/>
      <sz val="12"/>
      <color rgb="FF000000"/>
    </font>
    <font>
      <name val="宋体"/>
      <charset val="136"/>
      <sz val="12"/>
    </font>
    <font>
      <name val="宋体"/>
      <b/>
      <charset val="136"/>
      <sz val="12"/>
      <color rgb="FFFF0000"/>
    </font>
    <font>
      <name val="微軟正黑體"/>
      <charset val="136"/>
      <sz val="12"/>
      <color rgb="FF000000"/>
    </font>
    <font>
      <name val="Microsoft JhengHei"/>
      <charset val="136"/>
      <sz val="12"/>
      <color rgb="FF000000"/>
    </font>
    <font>
      <name val="微软雅黑"/>
      <charset val="136"/>
      <sz val="12"/>
      <color rgb="FF000000"/>
    </font>
    <font>
      <name val="微软雅黑"/>
      <charset val="134"/>
      <sz val="11"/>
      <color rgb="FF000000"/>
    </font>
    <font>
      <name val="微軟正黑體"/>
      <charset val="134"/>
      <sz val="11"/>
      <color rgb="FF000000"/>
    </font>
    <font>
      <name val="微軟正黑體"/>
      <charset val="136"/>
      <sz val="11"/>
      <color rgb="FF000000"/>
    </font>
    <font>
      <name val="微軟正黑體"/>
      <charset val="134"/>
      <sz val="11"/>
    </font>
    <font>
      <name val="微軟正黑體"/>
      <charset val="134"/>
      <sz val="11"/>
      <color rgb="FFFFFFFF"/>
    </font>
    <font>
      <name val="微软雅黑"/>
      <charset val="136"/>
      <sz val="12"/>
    </font>
    <font>
      <name val="汉仪青云简"/>
      <charset val="134"/>
      <sz val="18"/>
      <color rgb="FF000000"/>
    </font>
    <font>
      <name val="微軟正黑體"/>
      <b/>
      <charset val="136"/>
      <sz val="11"/>
      <color rgb="FF000000"/>
    </font>
    <font>
      <name val="微軟正黑體"/>
      <charset val="134"/>
      <sz val="12"/>
      <color rgb="FF000000"/>
    </font>
    <font>
      <name val="微軟正黑體"/>
      <b/>
      <charset val="134"/>
      <sz val="11"/>
    </font>
    <font>
      <name val="微軟正黑體"/>
      <b/>
      <charset val="134"/>
      <sz val="11"/>
      <color rgb="FF000000"/>
    </font>
    <font>
      <name val="微软雅黑"/>
      <charset val="134"/>
      <sz val="12"/>
      <color rgb="FF000000"/>
    </font>
    <font>
      <name val="微軟正黑體"/>
      <charset val="134"/>
      <sz val="12"/>
    </font>
    <font>
      <name val="汉仪青云简"/>
      <charset val="134"/>
      <sz val="18"/>
    </font>
    <font>
      <name val="汉仪青云简"/>
      <b/>
      <charset val="134"/>
      <sz val="18"/>
      <color rgb="FF000000"/>
    </font>
    <font>
      <name val="KaiTi"/>
      <charset val="134"/>
      <sz val="11"/>
    </font>
    <font>
      <name val="KaiTi"/>
      <charset val="134"/>
      <sz val="12"/>
    </font>
    <font>
      <name val="宋体"/>
      <charset val="134"/>
      <sz val="12"/>
      <color rgb="FF000000"/>
    </font>
    <font>
      <name val="微軟正黑體"/>
      <charset val="134"/>
      <sz val="11"/>
      <color rgb="FF000000"/>
    </font>
    <font>
      <name val="kaiti"/>
      <charset val="136"/>
      <sz val="12"/>
      <color rgb="FF000000"/>
    </font>
    <font>
      <name val="KaiTi"/>
      <charset val="134"/>
      <sz val="11"/>
      <color rgb="FF000000"/>
    </font>
    <font>
      <name val="宋体"/>
      <charset val="134"/>
      <sz val="12"/>
    </font>
    <font>
      <name val="KaiTi"/>
      <charset val="134"/>
      <sz val="12"/>
      <color rgb="FF000000"/>
    </font>
    <font>
      <name val="微軟正黑體"/>
      <charset val="136"/>
      <sz val="12"/>
    </font>
    <font>
      <name val="宋体"/>
      <charset val="134"/>
      <sz val="12"/>
      <color rgb="FF000000"/>
    </font>
    <font>
      <name val="KaiTi"/>
      <b/>
      <charset val="134"/>
      <sz val="12"/>
      <color rgb="FF000000"/>
    </font>
    <font>
      <name val="宋体"/>
      <b/>
      <charset val="136"/>
      <sz val="11"/>
      <color rgb="FF1F497D"/>
    </font>
    <font>
      <name val="宋体"/>
      <charset val="136"/>
      <sz val="12"/>
      <color rgb="FF3F3F76"/>
    </font>
    <font>
      <name val="宋体"/>
      <charset val="136"/>
      <sz val="11"/>
      <color rgb="FF006100"/>
    </font>
    <font>
      <name val="宋体"/>
      <b/>
      <charset val="136"/>
      <sz val="15"/>
      <color rgb="FF1F497D"/>
    </font>
  </fonts>
  <fills count="29">
    <fill>
      <patternFill patternType="none"/>
    </fill>
    <fill>
      <patternFill patternType="gray125"/>
    </fill>
    <fill>
      <patternFill patternType="solid">
        <fgColor rgb="FFDAEEF3"/>
        <bgColor indexed="64"/>
      </patternFill>
    </fill>
    <fill>
      <patternFill patternType="solid">
        <fgColor rgb="FFE6B8B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C4D79B"/>
        <bgColor indexed="64"/>
      </patternFill>
    </fill>
    <fill>
      <patternFill patternType="solid">
        <fgColor rgb="FFFCD5B4"/>
        <bgColor indexed="64"/>
      </patternFill>
    </fill>
    <fill>
      <patternFill patternType="solid">
        <fgColor rgb="FFB8CCE4"/>
        <bgColor indexed="64"/>
      </patternFill>
    </fill>
    <fill>
      <patternFill patternType="solid">
        <fgColor rgb="FFFDE9D9"/>
        <bgColor indexed="64"/>
      </patternFill>
    </fill>
    <fill>
      <patternFill patternType="solid">
        <fgColor rgb="FFDCE6F1"/>
        <bgColor indexed="64"/>
      </patternFill>
    </fill>
    <fill>
      <patternFill patternType="solid">
        <fgColor rgb="FFCCC0DA"/>
        <bgColor indexed="64"/>
      </patternFill>
    </fill>
    <fill>
      <patternFill patternType="solid">
        <fgColor rgb="FFD9D9D9"/>
        <bgColor indexed="64"/>
      </patternFill>
    </fill>
    <fill>
      <patternFill patternType="solid">
        <fgColor rgb="FFE4DFEC"/>
        <bgColor indexed="64"/>
      </patternFill>
    </fill>
    <fill>
      <patternFill patternType="solid">
        <fgColor rgb="FFD8E4BC"/>
        <bgColor indexed="64"/>
      </patternFill>
    </fill>
    <fill>
      <patternFill patternType="solid">
        <fgColor rgb="FFDA9694"/>
        <bgColor indexed="64"/>
      </patternFill>
    </fill>
    <fill>
      <patternFill patternType="solid">
        <fgColor rgb="FFBFBFBF"/>
        <bgColor indexed="64"/>
      </patternFill>
    </fill>
    <fill>
      <patternFill patternType="solid">
        <fgColor rgb="FFFFC000"/>
        <bgColor indexed="64"/>
      </patternFill>
    </fill>
    <fill>
      <patternFill patternType="solid">
        <fgColor rgb="FFC5D9F1"/>
        <bgColor indexed="64"/>
      </patternFill>
    </fill>
    <fill>
      <patternFill patternType="solid">
        <fgColor rgb="FFE26B0A"/>
        <bgColor indexed="64"/>
      </patternFill>
    </fill>
    <fill>
      <patternFill patternType="solid">
        <fgColor rgb="FFFABF8F"/>
        <bgColor indexed="64"/>
      </patternFill>
    </fill>
    <fill>
      <patternFill patternType="solid">
        <fgColor rgb="FF948A54"/>
        <bgColor indexed="64"/>
      </patternFill>
    </fill>
    <fill>
      <patternFill patternType="solid">
        <fgColor rgb="FFC4BD97"/>
        <bgColor indexed="64"/>
      </patternFill>
    </fill>
    <fill>
      <patternFill patternType="solid">
        <fgColor rgb="FFDDD9C4"/>
        <bgColor indexed="64"/>
      </patternFill>
    </fill>
    <fill>
      <patternFill patternType="solid">
        <fgColor rgb="FF8DB4E2"/>
        <bgColor indexed="64"/>
      </patternFill>
    </fill>
    <fill>
      <patternFill patternType="solid">
        <fgColor rgb="FF92D050"/>
        <bgColor indexed="64"/>
      </patternFill>
    </fill>
    <fill>
      <patternFill patternType="solid">
        <fgColor rgb="FFFFCC99"/>
        <bgColor indexed="64"/>
      </patternFill>
    </fill>
    <fill>
      <patternFill patternType="solid">
        <fgColor rgb="FFC6EFCE"/>
        <bgColor indexed="64"/>
      </patternFill>
    </fill>
  </fills>
  <borders count="84">
    <border>
      <left/>
      <right/>
      <top/>
      <bottom/>
      <diagonal/>
    </border>
    <border>
      <left/>
      <right/>
      <top/>
      <bottom style="medium">
        <color indexed="64"/>
      </bottom>
      <diagonal/>
    </border>
    <border>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rgb="FFBFBFBF"/>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rgb="FF7F7F7F"/>
      </right>
      <top style="thin">
        <color indexed="64"/>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medium">
        <color indexed="64"/>
      </right>
      <top style="thin">
        <color indexed="64"/>
      </top>
      <bottom style="thin">
        <color rgb="FF7F7F7F"/>
      </bottom>
      <diagonal/>
    </border>
    <border>
      <left style="medium">
        <color indexed="64"/>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thin">
        <color rgb="FF7F7F7F"/>
      </top>
      <bottom style="thin">
        <color rgb="FF7F7F7F"/>
      </bottom>
      <diagonal/>
    </border>
    <border>
      <left style="thin">
        <color indexed="64"/>
      </left>
      <right/>
      <top style="thin">
        <color indexed="64"/>
      </top>
      <bottom style="medium">
        <color indexed="64"/>
      </bottom>
      <diagonal/>
    </border>
    <border>
      <left style="medium">
        <color indexed="64"/>
      </left>
      <right style="thin">
        <color rgb="FF7F7F7F"/>
      </right>
      <top style="thin">
        <color rgb="FF7F7F7F"/>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thin">
        <color rgb="FF7F7F7F"/>
      </left>
      <right/>
      <top style="thin">
        <color indexed="64"/>
      </top>
      <bottom style="thin">
        <color rgb="FF7F7F7F"/>
      </bottom>
      <diagonal/>
    </border>
    <border>
      <left style="thin">
        <color rgb="FF7F7F7F"/>
      </left>
      <right/>
      <top style="thin">
        <color rgb="FF7F7F7F"/>
      </top>
      <bottom style="thin">
        <color rgb="FF7F7F7F"/>
      </bottom>
      <diagonal/>
    </border>
    <border>
      <left style="medium">
        <color indexed="64"/>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rgb="FF7F7F7F"/>
      </right>
      <top style="thin">
        <color rgb="FF7F7F7F"/>
      </top>
      <bottom style="thin">
        <color indexed="64"/>
      </bottom>
      <diagonal/>
    </border>
    <border>
      <left style="thin">
        <color rgb="FF7F7F7F"/>
      </left>
      <right style="thin">
        <color rgb="FF7F7F7F"/>
      </right>
      <top style="thin">
        <color rgb="FF7F7F7F"/>
      </top>
      <bottom style="thin">
        <color indexed="64"/>
      </bottom>
      <diagonal/>
    </border>
    <border>
      <left style="thin">
        <color rgb="FF7F7F7F"/>
      </left>
      <right style="medium">
        <color indexed="64"/>
      </right>
      <top style="thin">
        <color rgb="FF7F7F7F"/>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bottom style="medium">
        <color rgb="FF95B3D7"/>
      </bottom>
      <diagonal/>
    </border>
    <border>
      <left/>
      <right/>
      <top/>
      <bottom style="medium">
        <color rgb="FF4F81BD"/>
      </bottom>
      <diagonal/>
    </border>
  </borders>
  <cellStyleXfs count="8">
    <xf numFmtId="0" fontId="0" fillId="0" borderId="0">
      <alignment vertical="center"/>
    </xf>
    <xf numFmtId="0" fontId="33" fillId="0" borderId="0">
      <alignment vertical="bottom"/>
      <protection locked="0" hidden="0"/>
    </xf>
    <xf numFmtId="0" fontId="35" fillId="0" borderId="0">
      <alignment vertical="bottom"/>
      <protection locked="0" hidden="0"/>
    </xf>
    <xf numFmtId="0" fontId="35" fillId="0" borderId="0">
      <alignment vertical="bottom"/>
      <protection locked="0" hidden="0"/>
    </xf>
    <xf numFmtId="0" fontId="36" fillId="27" borderId="58">
      <alignment vertical="bottom"/>
      <protection locked="0" hidden="0"/>
    </xf>
    <xf numFmtId="0" fontId="37" fillId="28" borderId="0">
      <alignment vertical="bottom"/>
      <protection locked="0" hidden="0"/>
    </xf>
    <xf numFmtId="0" fontId="35" fillId="0" borderId="82">
      <alignment vertical="bottom"/>
      <protection locked="0" hidden="0"/>
    </xf>
    <xf numFmtId="0" fontId="38" fillId="0" borderId="83">
      <alignment vertical="bottom"/>
      <protection locked="0" hidden="0"/>
    </xf>
  </cellStyleXfs>
  <cellXfs count="446">
    <xf numFmtId="0" fontId="0" fillId="0" borderId="0" xfId="0">
      <alignment vertical="center"/>
    </xf>
    <xf numFmtId="0" fontId="1" fillId="0" borderId="0" xfId="0" applyFont="1" applyAlignment="1">
      <alignment horizontal="left" vertical="top" wrapText="1"/>
    </xf>
    <xf numFmtId="0" fontId="2" fillId="0" borderId="0" xfId="0" applyFont="1">
      <alignment vertical="center"/>
    </xf>
    <xf numFmtId="0" fontId="3" fillId="0" borderId="0" xfId="0" applyFont="1" applyFill="1">
      <alignment vertical="center"/>
    </xf>
    <xf numFmtId="0" fontId="3" fillId="0" borderId="0" xfId="0" applyFont="1" applyAlignment="1">
      <alignment horizontal="center" vertical="center"/>
    </xf>
    <xf numFmtId="0" fontId="4" fillId="0" borderId="0" xfId="0" applyFont="1">
      <alignment vertical="center"/>
    </xf>
    <xf numFmtId="0" fontId="5" fillId="0" borderId="0" xfId="0" applyFont="1">
      <alignment vertical="center"/>
    </xf>
    <xf numFmtId="0" fontId="3" fillId="0" borderId="0" xfId="0" applyFont="1">
      <alignment vertical="center"/>
    </xf>
    <xf numFmtId="0" fontId="3" fillId="0" borderId="0" xfId="0" applyFont="1" applyAlignment="1">
      <alignment horizontal="center" vertical="center" wrapText="1"/>
    </xf>
    <xf numFmtId="0" fontId="6" fillId="0" borderId="0" xfId="0" applyFont="1">
      <alignment vertical="center"/>
    </xf>
    <xf numFmtId="0" fontId="7" fillId="0" borderId="0" xfId="0" applyFont="1">
      <alignment vertical="center"/>
    </xf>
    <xf numFmtId="0" fontId="2" fillId="0" borderId="0" xfId="0" applyFont="1" applyAlignment="1">
      <alignment horizontal="center" vertical="center"/>
    </xf>
    <xf numFmtId="0" fontId="8" fillId="0" borderId="0" xfId="0" applyFont="1">
      <alignment vertical="center"/>
    </xf>
    <xf numFmtId="0" fontId="8" fillId="0" borderId="1" xfId="0" applyFont="1" applyBorder="1">
      <alignment vertical="center"/>
    </xf>
    <xf numFmtId="0" fontId="8" fillId="0" borderId="1" xfId="0" applyFont="1" applyBorder="1" applyAlignment="1">
      <alignment horizontal="center" vertical="center"/>
    </xf>
    <xf numFmtId="0" fontId="9" fillId="0" borderId="0" xfId="0" applyFont="1" applyFill="1" applyAlignment="1">
      <alignment horizontal="center" vertical="center"/>
    </xf>
    <xf numFmtId="0" fontId="8" fillId="0" borderId="0" xfId="0" applyFont="1" applyFill="1">
      <alignment vertical="center"/>
    </xf>
    <xf numFmtId="0" fontId="8" fillId="0" borderId="2" xfId="0" applyFont="1" applyBorder="1">
      <alignment vertical="center"/>
    </xf>
    <xf numFmtId="0" fontId="10" fillId="2" borderId="3" xfId="1" applyFont="1" applyFill="1" applyBorder="1" applyAlignment="1">
      <alignment horizontal="center" vertical="center"/>
    </xf>
    <xf numFmtId="0" fontId="10" fillId="2" borderId="4" xfId="1" applyFont="1" applyFill="1" applyBorder="1" applyAlignment="1">
      <alignment horizontal="center" vertical="center"/>
    </xf>
    <xf numFmtId="0" fontId="10" fillId="2" borderId="5" xfId="1" applyFont="1" applyFill="1" applyBorder="1" applyAlignment="1">
      <alignment horizontal="center" vertical="center"/>
    </xf>
    <xf numFmtId="0" fontId="10" fillId="2" borderId="6" xfId="1" applyFont="1" applyFill="1" applyBorder="1" applyAlignment="1">
      <alignment horizontal="center" vertical="center"/>
    </xf>
    <xf numFmtId="0" fontId="10" fillId="2" borderId="7" xfId="1" applyFont="1" applyFill="1" applyBorder="1" applyAlignment="1">
      <alignment horizontal="center" vertical="center"/>
    </xf>
    <xf numFmtId="0" fontId="10" fillId="2" borderId="8" xfId="1" applyFont="1" applyFill="1" applyBorder="1" applyAlignment="1">
      <alignment horizontal="center" vertical="center"/>
    </xf>
    <xf numFmtId="0" fontId="10" fillId="2" borderId="9" xfId="1" applyFont="1" applyFill="1" applyBorder="1" applyAlignment="1">
      <alignment horizontal="center" vertical="center"/>
    </xf>
    <xf numFmtId="0" fontId="11" fillId="2" borderId="10" xfId="0" applyFont="1" applyFill="1" applyBorder="1" applyAlignment="1">
      <alignment horizontal="center" vertical="center"/>
    </xf>
    <xf numFmtId="164" fontId="12" fillId="3" borderId="11" xfId="1" applyNumberFormat="1" applyFont="1" applyFill="1" applyBorder="1" applyAlignment="1">
      <alignment horizontal="center" vertical="center"/>
    </xf>
    <xf numFmtId="164" fontId="13" fillId="3" borderId="12" xfId="1" applyNumberFormat="1" applyFont="1" applyFill="1" applyBorder="1" applyAlignment="1">
      <alignment horizontal="center" vertical="center"/>
    </xf>
    <xf numFmtId="164" fontId="13" fillId="3" borderId="13" xfId="1" applyNumberFormat="1" applyFont="1" applyFill="1" applyBorder="1" applyAlignment="1">
      <alignment horizontal="center" vertical="center"/>
    </xf>
    <xf numFmtId="0" fontId="14" fillId="0" borderId="0" xfId="0" applyFont="1">
      <alignment vertical="center"/>
    </xf>
    <xf numFmtId="0" fontId="15" fillId="0" borderId="11" xfId="1" applyFont="1" applyBorder="1" applyAlignment="1">
      <alignment horizontal="center" vertical="center"/>
    </xf>
    <xf numFmtId="0" fontId="15" fillId="0" borderId="12" xfId="1" applyFont="1" applyBorder="1" applyAlignment="1">
      <alignment horizontal="center" vertical="center"/>
    </xf>
    <xf numFmtId="0" fontId="15" fillId="0" borderId="14" xfId="1" applyFont="1" applyBorder="1" applyAlignment="1">
      <alignment horizontal="center" vertical="center"/>
    </xf>
    <xf numFmtId="49" fontId="10" fillId="4" borderId="15" xfId="1" applyNumberFormat="1" applyFont="1" applyFill="1" applyBorder="1" applyAlignment="1">
      <alignment horizontal="center" vertical="center" wrapText="1"/>
      <protection locked="0" hidden="0"/>
    </xf>
    <xf numFmtId="49" fontId="10" fillId="4" borderId="16" xfId="1" applyNumberFormat="1" applyFont="1" applyFill="1" applyBorder="1" applyAlignment="1">
      <alignment horizontal="center" vertical="center" wrapText="1"/>
      <protection locked="0" hidden="0"/>
    </xf>
    <xf numFmtId="49" fontId="10" fillId="4" borderId="17" xfId="1" applyNumberFormat="1" applyFont="1" applyFill="1" applyBorder="1" applyAlignment="1">
      <alignment horizontal="center" vertical="center" wrapText="1"/>
      <protection locked="0" hidden="0"/>
    </xf>
    <xf numFmtId="0" fontId="10" fillId="0" borderId="11" xfId="1" applyFont="1" applyBorder="1" applyAlignment="1">
      <alignment horizontal="center" vertical="center" wrapText="1"/>
      <protection locked="0" hidden="0"/>
    </xf>
    <xf numFmtId="0" fontId="10" fillId="0" borderId="12" xfId="1" applyFont="1" applyBorder="1" applyAlignment="1">
      <alignment horizontal="center" vertical="center" wrapText="1"/>
      <protection locked="0" hidden="0"/>
    </xf>
    <xf numFmtId="0" fontId="10" fillId="0" borderId="13" xfId="1" applyFont="1" applyBorder="1" applyAlignment="1">
      <alignment horizontal="center" vertical="center" wrapText="1"/>
      <protection locked="0" hidden="0"/>
    </xf>
    <xf numFmtId="0" fontId="16" fillId="2" borderId="18" xfId="0" applyFont="1" applyFill="1" applyBorder="1" applyAlignment="1">
      <alignment horizontal="center" vertical="center"/>
    </xf>
    <xf numFmtId="164" fontId="12" fillId="5" borderId="19" xfId="1" applyNumberFormat="1" applyFont="1" applyFill="1" applyBorder="1" applyAlignment="1">
      <alignment horizontal="center" vertical="center"/>
    </xf>
    <xf numFmtId="164" fontId="12" fillId="5" borderId="20" xfId="1" applyNumberFormat="1" applyFont="1" applyFill="1" applyBorder="1" applyAlignment="1">
      <alignment horizontal="center" vertical="center"/>
    </xf>
    <xf numFmtId="164" fontId="12" fillId="6" borderId="20" xfId="1" applyNumberFormat="1" applyFont="1" applyFill="1" applyBorder="1" applyAlignment="1">
      <alignment horizontal="center" vertical="center"/>
    </xf>
    <xf numFmtId="164" fontId="12" fillId="6" borderId="21" xfId="1" applyNumberFormat="1" applyFont="1" applyFill="1" applyBorder="1" applyAlignment="1">
      <alignment horizontal="center" vertical="center"/>
    </xf>
    <xf numFmtId="0" fontId="15" fillId="0" borderId="22" xfId="1" applyFont="1" applyBorder="1" applyAlignment="1">
      <alignment horizontal="center" vertical="center"/>
    </xf>
    <xf numFmtId="0" fontId="15" fillId="0" borderId="23" xfId="1" applyFont="1" applyBorder="1" applyAlignment="1">
      <alignment horizontal="center" vertical="center"/>
    </xf>
    <xf numFmtId="0" fontId="15" fillId="0" borderId="24" xfId="1" applyFont="1" applyBorder="1" applyAlignment="1">
      <alignment horizontal="center" vertical="center"/>
    </xf>
    <xf numFmtId="49" fontId="10" fillId="4" borderId="25" xfId="1" applyNumberFormat="1" applyFont="1" applyFill="1" applyBorder="1" applyAlignment="1">
      <alignment horizontal="center" vertical="center" wrapText="1"/>
      <protection locked="0" hidden="0"/>
    </xf>
    <xf numFmtId="49" fontId="10" fillId="4" borderId="0" xfId="1" applyNumberFormat="1" applyFont="1" applyFill="1" applyAlignment="1">
      <alignment horizontal="center" vertical="center" wrapText="1"/>
      <protection locked="0" hidden="0"/>
    </xf>
    <xf numFmtId="49" fontId="10" fillId="4" borderId="2" xfId="1" applyNumberFormat="1" applyFont="1" applyFill="1" applyBorder="1" applyAlignment="1">
      <alignment horizontal="center" vertical="center" wrapText="1"/>
      <protection locked="0" hidden="0"/>
    </xf>
    <xf numFmtId="0" fontId="10" fillId="0" borderId="19" xfId="1" applyFont="1" applyBorder="1" applyAlignment="1">
      <alignment horizontal="center" vertical="center" wrapText="1"/>
      <protection locked="0" hidden="0"/>
    </xf>
    <xf numFmtId="0" fontId="10" fillId="0" borderId="20" xfId="1" applyFont="1" applyBorder="1" applyAlignment="1">
      <alignment horizontal="center" vertical="center" wrapText="1"/>
      <protection locked="0" hidden="0"/>
    </xf>
    <xf numFmtId="0" fontId="10" fillId="0" borderId="21" xfId="1" applyFont="1" applyBorder="1" applyAlignment="1">
      <alignment horizontal="center" vertical="center" wrapText="1"/>
      <protection locked="0" hidden="0"/>
    </xf>
    <xf numFmtId="0" fontId="16" fillId="0" borderId="0" xfId="0" applyFont="1" applyFill="1" applyAlignment="1">
      <alignment horizontal="center" vertical="center"/>
    </xf>
    <xf numFmtId="0" fontId="10" fillId="5" borderId="19" xfId="1" applyFont="1" applyFill="1" applyBorder="1" applyAlignment="1">
      <alignment horizontal="center" vertical="center"/>
    </xf>
    <xf numFmtId="0" fontId="10" fillId="5" borderId="20" xfId="1" applyFont="1" applyFill="1" applyBorder="1" applyAlignment="1">
      <alignment horizontal="center" vertical="center"/>
    </xf>
    <xf numFmtId="0" fontId="10" fillId="6" borderId="20" xfId="1" applyFont="1" applyFill="1" applyBorder="1" applyAlignment="1">
      <alignment horizontal="center" vertical="center"/>
    </xf>
    <xf numFmtId="0" fontId="10" fillId="6" borderId="21" xfId="1" applyFont="1" applyFill="1" applyBorder="1" applyAlignment="1">
      <alignment horizontal="center" vertical="center"/>
    </xf>
    <xf numFmtId="0" fontId="10" fillId="2" borderId="26" xfId="1" applyFont="1" applyFill="1" applyBorder="1" applyAlignment="1">
      <alignment horizontal="center" vertical="center"/>
    </xf>
    <xf numFmtId="0" fontId="10" fillId="2" borderId="27" xfId="1" applyFont="1" applyFill="1" applyBorder="1" applyAlignment="1">
      <alignment horizontal="center" vertical="center"/>
    </xf>
    <xf numFmtId="0" fontId="10" fillId="2" borderId="28" xfId="1" applyFont="1" applyFill="1" applyBorder="1" applyAlignment="1">
      <alignment horizontal="center" vertical="center"/>
    </xf>
    <xf numFmtId="0" fontId="10" fillId="0" borderId="15" xfId="1" applyFont="1" applyBorder="1" applyAlignment="1">
      <alignment horizontal="center" vertical="center"/>
      <protection locked="0" hidden="0"/>
    </xf>
    <xf numFmtId="0" fontId="10" fillId="0" borderId="16" xfId="1" applyFont="1" applyBorder="1" applyAlignment="1">
      <alignment horizontal="center" vertical="center"/>
      <protection locked="0" hidden="0"/>
    </xf>
    <xf numFmtId="0" fontId="10" fillId="0" borderId="25" xfId="1" applyFont="1" applyBorder="1" applyAlignment="1">
      <alignment horizontal="center" vertical="center"/>
      <protection locked="0" hidden="0"/>
    </xf>
    <xf numFmtId="0" fontId="10" fillId="0" borderId="0" xfId="1" applyFont="1" applyAlignment="1">
      <alignment horizontal="center" vertical="center"/>
      <protection locked="0" hidden="0"/>
    </xf>
    <xf numFmtId="0" fontId="10" fillId="0" borderId="0" xfId="1" applyFont="1" applyBorder="1" applyAlignment="1">
      <alignment horizontal="center" vertical="center"/>
      <protection locked="0" hidden="0"/>
    </xf>
    <xf numFmtId="164" fontId="10" fillId="4" borderId="0" xfId="0" applyNumberFormat="1" applyFont="1" applyFill="1" applyAlignment="1">
      <alignment horizontal="center" vertical="center"/>
    </xf>
    <xf numFmtId="49" fontId="10" fillId="4" borderId="29" xfId="1" applyNumberFormat="1" applyFont="1" applyFill="1" applyBorder="1" applyAlignment="1">
      <alignment horizontal="center" vertical="center" wrapText="1"/>
      <protection locked="0" hidden="0"/>
    </xf>
    <xf numFmtId="49" fontId="10" fillId="4" borderId="1" xfId="1" applyNumberFormat="1" applyFont="1" applyFill="1" applyBorder="1" applyAlignment="1">
      <alignment horizontal="center" vertical="center" wrapText="1"/>
      <protection locked="0" hidden="0"/>
    </xf>
    <xf numFmtId="49" fontId="10" fillId="4" borderId="30" xfId="1" applyNumberFormat="1" applyFont="1" applyFill="1" applyBorder="1" applyAlignment="1">
      <alignment horizontal="center" vertical="center" wrapText="1"/>
      <protection locked="0" hidden="0"/>
    </xf>
    <xf numFmtId="0" fontId="10" fillId="2" borderId="11" xfId="0" applyFont="1" applyFill="1" applyBorder="1" applyAlignment="1">
      <alignment horizontal="center" vertical="center"/>
    </xf>
    <xf numFmtId="0" fontId="10" fillId="4" borderId="12" xfId="0" applyFont="1" applyFill="1" applyBorder="1" applyAlignment="1">
      <alignment horizontal="center" vertical="center"/>
      <protection locked="0" hidden="0"/>
    </xf>
    <xf numFmtId="0" fontId="10" fillId="4" borderId="13" xfId="0" applyFont="1" applyFill="1" applyBorder="1" applyAlignment="1">
      <alignment horizontal="center" vertical="center"/>
      <protection locked="0" hidden="0"/>
    </xf>
    <xf numFmtId="0" fontId="10" fillId="0" borderId="31" xfId="1" applyFont="1" applyBorder="1" applyAlignment="1">
      <alignment horizontal="center" vertical="center" wrapText="1"/>
      <protection locked="0" hidden="0"/>
    </xf>
    <xf numFmtId="164" fontId="12" fillId="5" borderId="32" xfId="1" applyNumberFormat="1" applyFont="1" applyFill="1" applyBorder="1" applyAlignment="1">
      <alignment horizontal="center" vertical="center"/>
    </xf>
    <xf numFmtId="164" fontId="12" fillId="5" borderId="33" xfId="1" applyNumberFormat="1" applyFont="1" applyFill="1" applyBorder="1" applyAlignment="1">
      <alignment horizontal="center" vertical="center"/>
    </xf>
    <xf numFmtId="164" fontId="12" fillId="6" borderId="33" xfId="1" applyNumberFormat="1" applyFont="1" applyFill="1" applyBorder="1" applyAlignment="1">
      <alignment horizontal="center" vertical="center"/>
    </xf>
    <xf numFmtId="164" fontId="12" fillId="6" borderId="34" xfId="1" applyNumberFormat="1" applyFont="1" applyFill="1" applyBorder="1" applyAlignment="1">
      <alignment horizontal="center" vertical="center"/>
    </xf>
    <xf numFmtId="0" fontId="10" fillId="2" borderId="19" xfId="0" applyFont="1" applyFill="1" applyBorder="1" applyAlignment="1">
      <alignment horizontal="center" vertical="center"/>
    </xf>
    <xf numFmtId="0" fontId="10" fillId="4" borderId="20" xfId="0" applyFont="1" applyFill="1" applyBorder="1" applyAlignment="1">
      <alignment horizontal="center" vertical="center"/>
      <protection locked="0" hidden="0"/>
    </xf>
    <xf numFmtId="0" fontId="10" fillId="4" borderId="21" xfId="0" applyFont="1" applyFill="1" applyBorder="1" applyAlignment="1">
      <alignment horizontal="center" vertical="center"/>
      <protection locked="0" hidden="0"/>
    </xf>
    <xf numFmtId="0" fontId="17" fillId="3" borderId="25" xfId="1" applyFont="1" applyFill="1" applyBorder="1" applyAlignment="1">
      <alignment horizontal="center" vertical="center"/>
    </xf>
    <xf numFmtId="0" fontId="17" fillId="3" borderId="0" xfId="1" applyFont="1" applyFill="1" applyBorder="1" applyAlignment="1">
      <alignment horizontal="center" vertical="center"/>
    </xf>
    <xf numFmtId="0" fontId="17" fillId="3" borderId="2" xfId="1" applyFont="1" applyFill="1" applyBorder="1" applyAlignment="1">
      <alignment horizontal="center" vertical="center"/>
    </xf>
    <xf numFmtId="0" fontId="10" fillId="2" borderId="22" xfId="1" applyFont="1" applyFill="1" applyBorder="1" applyAlignment="1">
      <alignment horizontal="center" vertical="center"/>
    </xf>
    <xf numFmtId="0" fontId="10" fillId="4" borderId="20" xfId="1" applyFont="1" applyFill="1" applyBorder="1" applyAlignment="1">
      <alignment horizontal="center" vertical="center"/>
      <protection locked="0" hidden="0"/>
    </xf>
    <xf numFmtId="0" fontId="10" fillId="4" borderId="21" xfId="1" applyFont="1" applyFill="1" applyBorder="1" applyAlignment="1">
      <alignment horizontal="center" vertical="center"/>
      <protection locked="0" hidden="0"/>
    </xf>
    <xf numFmtId="0" fontId="11" fillId="2" borderId="35" xfId="0" applyFont="1" applyFill="1" applyBorder="1" applyAlignment="1">
      <alignment horizontal="center" vertical="center"/>
    </xf>
    <xf numFmtId="0" fontId="12" fillId="5" borderId="19" xfId="2" applyNumberFormat="1" applyFont="1" applyFill="1" applyBorder="1" applyAlignment="1">
      <alignment horizontal="center" vertical="center"/>
    </xf>
    <xf numFmtId="164" fontId="12" fillId="5" borderId="20" xfId="2" applyNumberFormat="1" applyFont="1" applyFill="1" applyBorder="1" applyAlignment="1">
      <alignment horizontal="center" vertical="center"/>
    </xf>
    <xf numFmtId="0" fontId="12" fillId="5" borderId="20" xfId="2" applyNumberFormat="1" applyFont="1" applyFill="1" applyBorder="1" applyAlignment="1">
      <alignment horizontal="center" vertical="center"/>
    </xf>
    <xf numFmtId="0" fontId="12" fillId="5" borderId="21" xfId="2" applyNumberFormat="1" applyFont="1" applyFill="1" applyBorder="1" applyAlignment="1">
      <alignment horizontal="center" vertical="center"/>
    </xf>
    <xf numFmtId="0" fontId="10" fillId="2" borderId="36" xfId="1" applyFont="1" applyFill="1" applyBorder="1" applyAlignment="1">
      <alignment horizontal="center" vertical="center"/>
    </xf>
    <xf numFmtId="0" fontId="16" fillId="2" borderId="37" xfId="0" applyFont="1" applyFill="1" applyBorder="1" applyAlignment="1">
      <alignment horizontal="center" vertical="center"/>
    </xf>
    <xf numFmtId="0" fontId="12" fillId="5" borderId="32" xfId="2" applyNumberFormat="1" applyFont="1" applyFill="1" applyBorder="1" applyAlignment="1">
      <alignment horizontal="center" vertical="center"/>
    </xf>
    <xf numFmtId="164" fontId="12" fillId="5" borderId="33" xfId="2" applyNumberFormat="1" applyFont="1" applyFill="1" applyBorder="1" applyAlignment="1">
      <alignment horizontal="center" vertical="center"/>
    </xf>
    <xf numFmtId="0" fontId="12" fillId="5" borderId="33" xfId="2" applyNumberFormat="1" applyFont="1" applyFill="1" applyBorder="1" applyAlignment="1">
      <alignment horizontal="center" vertical="center"/>
    </xf>
    <xf numFmtId="0" fontId="12" fillId="5" borderId="34" xfId="2" applyNumberFormat="1" applyFont="1" applyFill="1" applyBorder="1" applyAlignment="1">
      <alignment horizontal="center" vertical="center"/>
    </xf>
    <xf numFmtId="0" fontId="10" fillId="2" borderId="19" xfId="1" applyFont="1" applyFill="1" applyBorder="1" applyAlignment="1">
      <alignment horizontal="center" vertical="center"/>
    </xf>
    <xf numFmtId="164" fontId="12" fillId="4" borderId="20" xfId="1" applyNumberFormat="1" applyFont="1" applyFill="1" applyBorder="1" applyAlignment="1">
      <alignment horizontal="center" vertical="center"/>
      <protection locked="0" hidden="0"/>
    </xf>
    <xf numFmtId="164" fontId="12" fillId="4" borderId="21" xfId="1" applyNumberFormat="1" applyFont="1" applyFill="1" applyBorder="1" applyAlignment="1">
      <alignment horizontal="center" vertical="center"/>
      <protection locked="0" hidden="0"/>
    </xf>
    <xf numFmtId="164" fontId="10" fillId="4" borderId="0" xfId="0" applyNumberFormat="1" applyFont="1" applyFill="1" applyAlignment="1">
      <alignment horizontal="center" vertical="center"/>
      <protection locked="0" hidden="0"/>
    </xf>
    <xf numFmtId="0" fontId="18" fillId="7" borderId="6" xfId="2" applyFont="1" applyFill="1" applyBorder="1" applyAlignment="1">
      <alignment horizontal="center" vertical="center"/>
    </xf>
    <xf numFmtId="0" fontId="18" fillId="7" borderId="7" xfId="2" applyNumberFormat="1" applyFont="1" applyFill="1" applyBorder="1" applyAlignment="1">
      <alignment horizontal="center" vertical="center"/>
    </xf>
    <xf numFmtId="0" fontId="18" fillId="7" borderId="7" xfId="2" applyFont="1" applyFill="1" applyBorder="1" applyAlignment="1">
      <alignment horizontal="center" vertical="center"/>
    </xf>
    <xf numFmtId="0" fontId="18" fillId="7" borderId="8" xfId="2" applyNumberFormat="1" applyFont="1" applyFill="1" applyBorder="1" applyAlignment="1">
      <alignment horizontal="center" vertical="center"/>
    </xf>
    <xf numFmtId="0" fontId="10" fillId="0" borderId="29" xfId="1" applyFont="1" applyBorder="1" applyAlignment="1">
      <alignment horizontal="center" vertical="center"/>
      <protection locked="0" hidden="0"/>
    </xf>
    <xf numFmtId="0" fontId="10" fillId="0" borderId="1" xfId="1" applyFont="1" applyBorder="1" applyAlignment="1">
      <alignment horizontal="center" vertical="center"/>
      <protection locked="0" hidden="0"/>
    </xf>
    <xf numFmtId="0" fontId="10" fillId="2" borderId="32" xfId="1" applyFont="1" applyFill="1" applyBorder="1" applyAlignment="1">
      <alignment horizontal="center" vertical="center"/>
    </xf>
    <xf numFmtId="0" fontId="8" fillId="0" borderId="33" xfId="0" applyFont="1" applyBorder="1">
      <alignment vertical="center"/>
    </xf>
    <xf numFmtId="0" fontId="8" fillId="0" borderId="34" xfId="0" applyFont="1" applyBorder="1">
      <alignment vertical="center"/>
    </xf>
    <xf numFmtId="0" fontId="10" fillId="0" borderId="38" xfId="1" applyFont="1" applyBorder="1" applyAlignment="1">
      <alignment horizontal="center" vertical="center" wrapText="1"/>
      <protection locked="0" hidden="0"/>
    </xf>
    <xf numFmtId="0" fontId="10" fillId="0" borderId="33" xfId="1" applyFont="1" applyBorder="1" applyAlignment="1">
      <alignment horizontal="center" vertical="center" wrapText="1"/>
      <protection locked="0" hidden="0"/>
    </xf>
    <xf numFmtId="0" fontId="10" fillId="0" borderId="34" xfId="1" applyFont="1" applyBorder="1" applyAlignment="1">
      <alignment horizontal="center" vertical="center" wrapText="1"/>
      <protection locked="0" hidden="0"/>
    </xf>
    <xf numFmtId="0" fontId="10" fillId="0" borderId="0" xfId="1" applyFont="1" applyFill="1" applyAlignment="1">
      <alignment horizontal="center" vertical="center"/>
    </xf>
    <xf numFmtId="0" fontId="10" fillId="7" borderId="11" xfId="2" applyFont="1" applyFill="1" applyBorder="1" applyAlignment="1">
      <alignment horizontal="center" vertical="center" wrapText="1"/>
    </xf>
    <xf numFmtId="0" fontId="10" fillId="7" borderId="12" xfId="2" applyFont="1" applyFill="1" applyBorder="1" applyAlignment="1">
      <alignment horizontal="center" vertical="center" wrapText="1"/>
    </xf>
    <xf numFmtId="0" fontId="10" fillId="2" borderId="39" xfId="0" applyFont="1" applyFill="1" applyBorder="1" applyAlignment="1">
      <alignment horizontal="center" vertical="center"/>
    </xf>
    <xf numFmtId="0" fontId="10" fillId="2" borderId="40" xfId="3" applyFont="1" applyFill="1" applyBorder="1" applyAlignment="1">
      <alignment horizontal="center" vertical="center"/>
    </xf>
    <xf numFmtId="0" fontId="10" fillId="2" borderId="41" xfId="0" applyFont="1" applyFill="1" applyBorder="1" applyAlignment="1">
      <alignment horizontal="center" vertical="center"/>
    </xf>
    <xf numFmtId="0" fontId="10" fillId="0" borderId="25" xfId="1" applyFont="1" applyFill="1" applyBorder="1" applyAlignment="1">
      <alignment horizontal="center" vertical="center"/>
      <protection locked="0" hidden="0"/>
    </xf>
    <xf numFmtId="0" fontId="10" fillId="7" borderId="19" xfId="2" applyFont="1" applyFill="1" applyBorder="1" applyAlignment="1">
      <alignment horizontal="center" vertical="center" wrapText="1"/>
    </xf>
    <xf numFmtId="0" fontId="10" fillId="7" borderId="20" xfId="2" applyFont="1" applyFill="1" applyBorder="1" applyAlignment="1">
      <alignment horizontal="center" vertical="center" wrapText="1"/>
    </xf>
    <xf numFmtId="0" fontId="10" fillId="2" borderId="31" xfId="0" applyFont="1" applyFill="1" applyBorder="1" applyAlignment="1">
      <alignment horizontal="center" vertical="center" wrapText="1"/>
    </xf>
    <xf numFmtId="0" fontId="19" fillId="2" borderId="20" xfId="0" applyNumberFormat="1" applyFont="1" applyFill="1" applyBorder="1" applyAlignment="1">
      <alignment horizontal="center" vertical="center"/>
    </xf>
    <xf numFmtId="49" fontId="19" fillId="2" borderId="20" xfId="0" applyNumberFormat="1" applyFont="1" applyFill="1" applyBorder="1" applyAlignment="1">
      <alignment horizontal="center" vertical="center"/>
    </xf>
    <xf numFmtId="0" fontId="19" fillId="2" borderId="42" xfId="0" applyFont="1" applyFill="1" applyBorder="1" applyAlignment="1">
      <alignment horizontal="center" vertical="center"/>
    </xf>
    <xf numFmtId="0" fontId="10" fillId="4" borderId="25" xfId="3" applyFont="1" applyFill="1" applyBorder="1" applyAlignment="1">
      <alignment horizontal="center" vertical="bottom" wrapText="1"/>
      <protection locked="0" hidden="0"/>
    </xf>
    <xf numFmtId="0" fontId="10" fillId="2" borderId="31" xfId="1" applyFont="1" applyFill="1" applyBorder="1" applyAlignment="1">
      <alignment horizontal="center" vertical="center" wrapText="1"/>
    </xf>
    <xf numFmtId="164" fontId="10" fillId="2" borderId="20" xfId="1" applyNumberFormat="1" applyFont="1" applyFill="1" applyBorder="1" applyAlignment="1">
      <alignment horizontal="center" vertical="center"/>
      <protection locked="0" hidden="0"/>
    </xf>
    <xf numFmtId="0" fontId="10" fillId="2" borderId="20" xfId="3" applyFont="1" applyFill="1" applyBorder="1" applyAlignment="1">
      <alignment horizontal="center" vertical="center"/>
    </xf>
    <xf numFmtId="0" fontId="10" fillId="2" borderId="20" xfId="0" applyNumberFormat="1" applyFont="1" applyFill="1" applyBorder="1" applyAlignment="1">
      <alignment horizontal="center" vertical="center"/>
    </xf>
    <xf numFmtId="0" fontId="10" fillId="2" borderId="20" xfId="0" applyFont="1" applyFill="1" applyBorder="1" applyAlignment="1">
      <alignment horizontal="center" vertical="center"/>
    </xf>
    <xf numFmtId="0" fontId="19" fillId="2" borderId="42" xfId="1" applyFont="1" applyFill="1" applyBorder="1" applyAlignment="1">
      <alignment horizontal="center" vertical="center"/>
    </xf>
    <xf numFmtId="0" fontId="6" fillId="0" borderId="25" xfId="0" applyFont="1" applyBorder="1">
      <alignment vertical="center"/>
    </xf>
    <xf numFmtId="0" fontId="10" fillId="4" borderId="20" xfId="3" applyFont="1" applyFill="1" applyBorder="1" applyAlignment="1">
      <alignment horizontal="center" vertical="center"/>
      <protection locked="0" hidden="0"/>
    </xf>
    <xf numFmtId="0" fontId="10" fillId="4" borderId="20" xfId="0" applyNumberFormat="1" applyFont="1" applyFill="1" applyBorder="1" applyAlignment="1">
      <alignment horizontal="center" vertical="center"/>
      <protection locked="0" hidden="0"/>
    </xf>
    <xf numFmtId="0" fontId="10" fillId="0" borderId="20" xfId="1" applyFont="1" applyBorder="1" applyAlignment="1">
      <alignment horizontal="center" vertical="center"/>
      <protection locked="0" hidden="0"/>
    </xf>
    <xf numFmtId="0" fontId="10" fillId="2" borderId="42" xfId="1" applyFont="1" applyFill="1" applyBorder="1" applyAlignment="1">
      <alignment horizontal="center" vertical="center"/>
    </xf>
    <xf numFmtId="0" fontId="10" fillId="2" borderId="43" xfId="0" applyFont="1" applyFill="1" applyBorder="1" applyAlignment="1">
      <alignment horizontal="center" vertical="center" wrapText="1"/>
    </xf>
    <xf numFmtId="0" fontId="10" fillId="4" borderId="23" xfId="0" applyFont="1" applyFill="1" applyBorder="1" applyAlignment="1">
      <alignment horizontal="center" vertical="center"/>
      <protection locked="0" hidden="0"/>
    </xf>
    <xf numFmtId="164" fontId="10" fillId="4" borderId="23" xfId="3" applyNumberFormat="1" applyFont="1" applyFill="1" applyBorder="1" applyAlignment="1">
      <alignment horizontal="center" vertical="center"/>
      <protection locked="0" hidden="0"/>
    </xf>
    <xf numFmtId="164" fontId="10" fillId="4" borderId="23" xfId="0" applyNumberFormat="1" applyFont="1" applyFill="1" applyBorder="1" applyAlignment="1">
      <alignment horizontal="center" vertical="center"/>
      <protection locked="0" hidden="0"/>
    </xf>
    <xf numFmtId="0" fontId="19" fillId="2" borderId="24" xfId="0" applyNumberFormat="1" applyFont="1" applyFill="1" applyBorder="1" applyAlignment="1">
      <alignment horizontal="center" vertical="center"/>
    </xf>
    <xf numFmtId="0" fontId="8" fillId="0" borderId="25" xfId="0" applyFont="1" applyBorder="1">
      <alignment vertical="center"/>
    </xf>
    <xf numFmtId="0" fontId="10" fillId="7" borderId="32" xfId="2" applyFont="1" applyFill="1" applyBorder="1" applyAlignment="1">
      <alignment horizontal="center" vertical="center" wrapText="1"/>
    </xf>
    <xf numFmtId="0" fontId="18" fillId="8" borderId="26" xfId="2" applyFont="1" applyFill="1" applyBorder="1" applyAlignment="1">
      <alignment horizontal="center" vertical="center"/>
    </xf>
    <xf numFmtId="0" fontId="18" fillId="8" borderId="27" xfId="2" applyNumberFormat="1" applyFont="1" applyFill="1" applyBorder="1" applyAlignment="1">
      <alignment horizontal="center" vertical="center"/>
    </xf>
    <xf numFmtId="0" fontId="18" fillId="8" borderId="27" xfId="2" applyFont="1" applyFill="1" applyBorder="1" applyAlignment="1">
      <alignment horizontal="center" vertical="center"/>
    </xf>
    <xf numFmtId="0" fontId="18" fillId="8" borderId="44" xfId="2" applyNumberFormat="1" applyFont="1" applyFill="1" applyBorder="1" applyAlignment="1">
      <alignment horizontal="center" vertical="center"/>
    </xf>
    <xf numFmtId="0" fontId="18" fillId="9" borderId="45" xfId="3" applyFont="1" applyFill="1" applyBorder="1" applyAlignment="1">
      <alignment horizontal="center" vertical="center"/>
    </xf>
    <xf numFmtId="0" fontId="18" fillId="9" borderId="46" xfId="3" applyFont="1" applyFill="1" applyBorder="1" applyAlignment="1">
      <alignment horizontal="center" vertical="center"/>
    </xf>
    <xf numFmtId="0" fontId="18" fillId="9" borderId="46" xfId="3" applyNumberFormat="1" applyFont="1" applyFill="1" applyBorder="1" applyAlignment="1">
      <alignment horizontal="center" vertical="center"/>
    </xf>
    <xf numFmtId="0" fontId="18" fillId="9" borderId="47" xfId="3" applyNumberFormat="1" applyFont="1" applyFill="1" applyBorder="1" applyAlignment="1">
      <alignment horizontal="center" vertical="center"/>
    </xf>
    <xf numFmtId="0" fontId="10" fillId="10" borderId="36" xfId="2" applyFont="1" applyFill="1" applyBorder="1" applyAlignment="1">
      <alignment horizontal="center" vertical="center" wrapText="1"/>
    </xf>
    <xf numFmtId="0" fontId="10" fillId="0" borderId="40" xfId="1" applyFont="1" applyBorder="1" applyAlignment="1">
      <alignment horizontal="center" vertical="center" wrapText="1"/>
      <protection locked="0" hidden="0"/>
    </xf>
    <xf numFmtId="0" fontId="10" fillId="10" borderId="40" xfId="2" applyFont="1" applyFill="1" applyBorder="1" applyAlignment="1">
      <alignment horizontal="center" vertical="center" wrapText="1"/>
    </xf>
    <xf numFmtId="0" fontId="10" fillId="4" borderId="40" xfId="2" applyFont="1" applyFill="1" applyBorder="1" applyAlignment="1">
      <alignment horizontal="center" vertical="center" wrapText="1"/>
      <protection locked="0" hidden="0"/>
    </xf>
    <xf numFmtId="0" fontId="10" fillId="10" borderId="40" xfId="2" applyFont="1" applyFill="1" applyBorder="1" applyAlignment="1">
      <alignment horizontal="center" vertical="center"/>
    </xf>
    <xf numFmtId="0" fontId="10" fillId="0" borderId="40" xfId="1" applyFont="1" applyFill="1" applyBorder="1" applyAlignment="1">
      <alignment horizontal="center" vertical="center" wrapText="1"/>
      <protection locked="0" hidden="0"/>
    </xf>
    <xf numFmtId="0" fontId="10" fillId="4" borderId="48" xfId="2" applyFont="1" applyFill="1" applyBorder="1" applyAlignment="1">
      <alignment horizontal="center" vertical="center" wrapText="1"/>
    </xf>
    <xf numFmtId="0" fontId="10" fillId="11" borderId="36" xfId="2" applyFont="1" applyFill="1" applyBorder="1" applyAlignment="1">
      <alignment horizontal="center" vertical="center" wrapText="1"/>
    </xf>
    <xf numFmtId="0" fontId="10" fillId="11" borderId="40" xfId="2" applyFont="1" applyFill="1" applyBorder="1" applyAlignment="1">
      <alignment horizontal="center" vertical="center" wrapText="1"/>
    </xf>
    <xf numFmtId="0" fontId="10" fillId="11" borderId="40" xfId="2" applyFont="1" applyFill="1" applyBorder="1" applyAlignment="1">
      <alignment horizontal="center" vertical="center"/>
    </xf>
    <xf numFmtId="0" fontId="10" fillId="10" borderId="19" xfId="2" applyFont="1" applyFill="1" applyBorder="1" applyAlignment="1">
      <alignment horizontal="center" vertical="center" wrapText="1"/>
    </xf>
    <xf numFmtId="0" fontId="8" fillId="0" borderId="0" xfId="0" applyFont="1" applyAlignment="1">
      <alignment horizontal="center" vertical="center"/>
    </xf>
    <xf numFmtId="0" fontId="10" fillId="10" borderId="4" xfId="2" applyFont="1" applyFill="1" applyBorder="1" applyAlignment="1">
      <alignment horizontal="center" vertical="center" wrapText="1"/>
    </xf>
    <xf numFmtId="0" fontId="10" fillId="4" borderId="4" xfId="2" applyFont="1" applyFill="1" applyBorder="1" applyAlignment="1">
      <alignment horizontal="center" vertical="center" wrapText="1"/>
      <protection locked="0" hidden="0"/>
    </xf>
    <xf numFmtId="0" fontId="10" fillId="10" borderId="4" xfId="2" applyFont="1" applyFill="1" applyBorder="1" applyAlignment="1">
      <alignment horizontal="center" vertical="center"/>
    </xf>
    <xf numFmtId="0" fontId="10" fillId="0" borderId="4" xfId="1" applyFont="1" applyFill="1" applyBorder="1" applyAlignment="1">
      <alignment horizontal="center" vertical="center" wrapText="1"/>
      <protection locked="0" hidden="0"/>
    </xf>
    <xf numFmtId="0" fontId="10" fillId="4" borderId="49" xfId="2" applyFont="1" applyFill="1" applyBorder="1" applyAlignment="1">
      <alignment horizontal="center" vertical="center" wrapText="1"/>
    </xf>
    <xf numFmtId="0" fontId="10" fillId="11" borderId="19" xfId="2" applyFont="1" applyFill="1" applyBorder="1" applyAlignment="1">
      <alignment horizontal="center" vertical="center" wrapText="1"/>
    </xf>
    <xf numFmtId="0" fontId="10" fillId="0" borderId="24" xfId="1" applyFont="1" applyBorder="1" applyAlignment="1">
      <alignment horizontal="center" vertical="center" wrapText="1"/>
      <protection locked="0" hidden="0"/>
    </xf>
    <xf numFmtId="0" fontId="10" fillId="0" borderId="43" xfId="1" applyFont="1" applyBorder="1" applyAlignment="1">
      <alignment horizontal="center" vertical="center" wrapText="1"/>
      <protection locked="0" hidden="0"/>
    </xf>
    <xf numFmtId="0" fontId="10" fillId="11" borderId="20" xfId="2" applyFont="1" applyFill="1" applyBorder="1" applyAlignment="1">
      <alignment horizontal="center" vertical="center" wrapText="1"/>
    </xf>
    <xf numFmtId="0" fontId="10" fillId="11" borderId="20" xfId="2" applyFont="1" applyFill="1" applyBorder="1" applyAlignment="1">
      <alignment horizontal="center" vertical="center"/>
    </xf>
    <xf numFmtId="0" fontId="10" fillId="0" borderId="42" xfId="1" applyFont="1" applyFill="1" applyBorder="1" applyAlignment="1">
      <alignment horizontal="right" vertical="center" wrapText="1"/>
      <protection locked="0" hidden="0"/>
    </xf>
    <xf numFmtId="165" fontId="10" fillId="0" borderId="50" xfId="1" applyNumberFormat="1" applyFont="1" applyBorder="1" applyAlignment="1">
      <alignment horizontal="left" vertical="center" wrapText="1"/>
      <protection locked="0" hidden="0"/>
    </xf>
    <xf numFmtId="0" fontId="10" fillId="0" borderId="41" xfId="1" applyFont="1" applyBorder="1" applyAlignment="1">
      <alignment horizontal="center" vertical="center" wrapText="1"/>
      <protection locked="0" hidden="0"/>
    </xf>
    <xf numFmtId="0" fontId="10" fillId="0" borderId="39" xfId="1" applyFont="1" applyBorder="1" applyAlignment="1">
      <alignment horizontal="center" vertical="center" wrapText="1"/>
      <protection locked="0" hidden="0"/>
    </xf>
    <xf numFmtId="0" fontId="10" fillId="0" borderId="50" xfId="1" applyFont="1" applyBorder="1" applyAlignment="1">
      <alignment horizontal="left" vertical="center" wrapText="1"/>
      <protection locked="0" hidden="0"/>
    </xf>
    <xf numFmtId="0" fontId="10" fillId="4" borderId="20" xfId="2" applyFont="1" applyFill="1" applyBorder="1" applyAlignment="1">
      <alignment horizontal="center" vertical="center" wrapText="1"/>
      <protection locked="0" hidden="0"/>
    </xf>
    <xf numFmtId="0" fontId="10" fillId="0" borderId="20" xfId="1" applyFont="1" applyFill="1" applyBorder="1" applyAlignment="1">
      <alignment horizontal="center" vertical="center" wrapText="1"/>
      <protection locked="0" hidden="0"/>
    </xf>
    <xf numFmtId="0" fontId="10" fillId="11" borderId="22" xfId="2" applyFont="1" applyFill="1" applyBorder="1" applyAlignment="1">
      <alignment horizontal="center" vertical="center" wrapText="1"/>
    </xf>
    <xf numFmtId="0" fontId="10" fillId="0" borderId="23" xfId="1" applyFont="1" applyBorder="1" applyAlignment="1">
      <alignment horizontal="center" vertical="center" wrapText="1"/>
      <protection locked="0" hidden="0"/>
    </xf>
    <xf numFmtId="0" fontId="10" fillId="0" borderId="51" xfId="1" applyFont="1" applyBorder="1" applyAlignment="1">
      <alignment horizontal="center" vertical="center" wrapText="1"/>
      <protection locked="0" hidden="0"/>
    </xf>
    <xf numFmtId="0" fontId="18" fillId="12" borderId="26" xfId="2" applyFont="1" applyFill="1" applyBorder="1" applyAlignment="1">
      <alignment horizontal="center" vertical="center"/>
    </xf>
    <xf numFmtId="0" fontId="18" fillId="12" borderId="27" xfId="2" applyFont="1" applyFill="1" applyBorder="1" applyAlignment="1">
      <alignment horizontal="center" vertical="center"/>
    </xf>
    <xf numFmtId="0" fontId="18" fillId="12" borderId="27" xfId="2" applyNumberFormat="1" applyFont="1" applyFill="1" applyBorder="1" applyAlignment="1">
      <alignment horizontal="center" vertical="center"/>
    </xf>
    <xf numFmtId="0" fontId="18" fillId="12" borderId="44" xfId="2" applyNumberFormat="1" applyFont="1" applyFill="1" applyBorder="1" applyAlignment="1">
      <alignment horizontal="center" vertical="center"/>
    </xf>
    <xf numFmtId="0" fontId="18" fillId="13" borderId="26" xfId="3" applyFont="1" applyFill="1" applyBorder="1" applyAlignment="1">
      <alignment horizontal="center" vertical="center"/>
    </xf>
    <xf numFmtId="0" fontId="18" fillId="13" borderId="27" xfId="3" applyFont="1" applyFill="1" applyBorder="1" applyAlignment="1">
      <alignment horizontal="center" vertical="center"/>
    </xf>
    <xf numFmtId="0" fontId="18" fillId="13" borderId="27" xfId="3" applyNumberFormat="1" applyFont="1" applyFill="1" applyBorder="1" applyAlignment="1">
      <alignment horizontal="center" vertical="center"/>
    </xf>
    <xf numFmtId="0" fontId="18" fillId="13" borderId="44" xfId="3" applyNumberFormat="1" applyFont="1" applyFill="1" applyBorder="1" applyAlignment="1">
      <alignment horizontal="center" vertical="center"/>
    </xf>
    <xf numFmtId="0" fontId="10" fillId="14" borderId="19" xfId="2" applyFont="1" applyFill="1" applyBorder="1" applyAlignment="1">
      <alignment horizontal="center" vertical="center" wrapText="1"/>
    </xf>
    <xf numFmtId="0" fontId="10" fillId="14" borderId="20" xfId="2" applyFont="1" applyFill="1" applyBorder="1" applyAlignment="1">
      <alignment horizontal="center" vertical="center" wrapText="1"/>
    </xf>
    <xf numFmtId="0" fontId="10" fillId="14" borderId="20" xfId="2" applyFont="1" applyFill="1" applyBorder="1" applyAlignment="1">
      <alignment horizontal="center" vertical="center"/>
    </xf>
    <xf numFmtId="0" fontId="10" fillId="6" borderId="19" xfId="2" applyFont="1" applyFill="1" applyBorder="1" applyAlignment="1">
      <alignment horizontal="center" vertical="center" wrapText="1"/>
    </xf>
    <xf numFmtId="0" fontId="10" fillId="6" borderId="20" xfId="2" applyFont="1" applyFill="1" applyBorder="1" applyAlignment="1">
      <alignment horizontal="center" vertical="center" wrapText="1"/>
    </xf>
    <xf numFmtId="0" fontId="10" fillId="6" borderId="20" xfId="2" applyFont="1" applyFill="1" applyBorder="1" applyAlignment="1">
      <alignment horizontal="center" vertical="center"/>
    </xf>
    <xf numFmtId="0" fontId="10" fillId="14" borderId="32" xfId="2" applyFont="1" applyFill="1" applyBorder="1" applyAlignment="1">
      <alignment horizontal="center" vertical="center" wrapText="1"/>
    </xf>
    <xf numFmtId="0" fontId="10" fillId="6" borderId="32" xfId="2" applyFont="1" applyFill="1" applyBorder="1" applyAlignment="1">
      <alignment horizontal="center" vertical="center" wrapText="1"/>
    </xf>
    <xf numFmtId="0" fontId="20" fillId="0" borderId="0" xfId="1" applyFont="1" applyFill="1">
      <alignment vertical="center"/>
    </xf>
    <xf numFmtId="0" fontId="12" fillId="15" borderId="11" xfId="3" applyFont="1" applyFill="1" applyBorder="1" applyAlignment="1">
      <alignment horizontal="center" vertical="center"/>
    </xf>
    <xf numFmtId="0" fontId="12" fillId="15" borderId="12" xfId="3" applyFont="1" applyFill="1" applyBorder="1" applyAlignment="1">
      <alignment horizontal="center" vertical="center"/>
    </xf>
    <xf numFmtId="0" fontId="12" fillId="15" borderId="14" xfId="3" applyFont="1" applyFill="1" applyBorder="1" applyAlignment="1">
      <alignment horizontal="center" vertical="center"/>
    </xf>
    <xf numFmtId="0" fontId="3" fillId="0" borderId="52" xfId="0" applyFont="1" applyFill="1" applyBorder="1">
      <alignment vertical="center"/>
    </xf>
    <xf numFmtId="0" fontId="21" fillId="14" borderId="15" xfId="3" applyFont="1" applyFill="1" applyBorder="1" applyAlignment="1">
      <alignment horizontal="center" vertical="center" wrapText="1"/>
    </xf>
    <xf numFmtId="0" fontId="21" fillId="14" borderId="16" xfId="3" applyFont="1" applyFill="1" applyBorder="1" applyAlignment="1">
      <alignment horizontal="center" vertical="center" wrapText="1"/>
    </xf>
    <xf numFmtId="0" fontId="21" fillId="14" borderId="17" xfId="3" applyFont="1" applyFill="1" applyBorder="1" applyAlignment="1">
      <alignment horizontal="center" vertical="center" wrapText="1"/>
    </xf>
    <xf numFmtId="0" fontId="22" fillId="0" borderId="19" xfId="4" applyFont="1" applyFill="1" applyBorder="1" applyAlignment="1">
      <alignment horizontal="center" vertical="center" wrapText="1"/>
      <protection locked="0" hidden="0"/>
    </xf>
    <xf numFmtId="0" fontId="22" fillId="0" borderId="20" xfId="4" applyFont="1" applyFill="1" applyBorder="1" applyAlignment="1">
      <alignment horizontal="center" vertical="center" wrapText="1"/>
      <protection locked="0" hidden="0"/>
    </xf>
    <xf numFmtId="0" fontId="22" fillId="0" borderId="42" xfId="4" applyFont="1" applyFill="1" applyBorder="1" applyAlignment="1">
      <alignment horizontal="center" vertical="center" wrapText="1"/>
      <protection locked="0" hidden="0"/>
    </xf>
    <xf numFmtId="0" fontId="3" fillId="0" borderId="53" xfId="0" applyFont="1" applyFill="1" applyBorder="1">
      <alignment vertical="center"/>
    </xf>
    <xf numFmtId="0" fontId="21" fillId="0" borderId="54" xfId="4" applyFont="1" applyFill="1" applyBorder="1" applyAlignment="1">
      <alignment horizontal="center" vertical="center" wrapText="1"/>
      <protection locked="0" hidden="0"/>
    </xf>
    <xf numFmtId="0" fontId="21" fillId="0" borderId="55" xfId="4" applyFont="1" applyFill="1" applyBorder="1" applyAlignment="1">
      <alignment horizontal="center" vertical="center" wrapText="1"/>
      <protection locked="0" hidden="0"/>
    </xf>
    <xf numFmtId="0" fontId="21" fillId="0" borderId="56" xfId="4" applyFont="1" applyFill="1" applyBorder="1" applyAlignment="1">
      <alignment horizontal="center" vertical="center" wrapText="1"/>
      <protection locked="0" hidden="0"/>
    </xf>
    <xf numFmtId="0" fontId="21" fillId="0" borderId="57" xfId="4" applyFont="1" applyFill="1" applyBorder="1" applyAlignment="1">
      <alignment horizontal="center" vertical="center" wrapText="1"/>
      <protection locked="0" hidden="0"/>
    </xf>
    <xf numFmtId="0" fontId="21" fillId="0" borderId="58" xfId="4" applyFont="1" applyFill="1" applyAlignment="1">
      <alignment horizontal="center" vertical="center" wrapText="1"/>
      <protection locked="0" hidden="0"/>
    </xf>
    <xf numFmtId="0" fontId="21" fillId="0" borderId="59" xfId="4" applyFont="1" applyFill="1" applyBorder="1" applyAlignment="1">
      <alignment horizontal="center" vertical="center" wrapText="1"/>
      <protection locked="0" hidden="0"/>
    </xf>
    <xf numFmtId="0" fontId="22" fillId="0" borderId="32" xfId="4" applyFont="1" applyFill="1" applyBorder="1" applyAlignment="1">
      <alignment horizontal="center" vertical="center" wrapText="1"/>
      <protection locked="0" hidden="0"/>
    </xf>
    <xf numFmtId="0" fontId="22" fillId="0" borderId="33" xfId="4" applyFont="1" applyFill="1" applyBorder="1" applyAlignment="1">
      <alignment horizontal="center" vertical="center" wrapText="1"/>
      <protection locked="0" hidden="0"/>
    </xf>
    <xf numFmtId="0" fontId="22" fillId="0" borderId="60" xfId="4" applyFont="1" applyFill="1" applyBorder="1" applyAlignment="1">
      <alignment horizontal="center" vertical="center" wrapText="1"/>
      <protection locked="0" hidden="0"/>
    </xf>
    <xf numFmtId="0" fontId="17" fillId="14" borderId="36" xfId="0" applyFont="1" applyFill="1" applyBorder="1" applyAlignment="1">
      <alignment horizontal="center" vertical="center"/>
      <protection locked="0" hidden="0"/>
    </xf>
    <xf numFmtId="0" fontId="17" fillId="14" borderId="40" xfId="0" applyFont="1" applyFill="1" applyBorder="1" applyAlignment="1">
      <alignment horizontal="center" vertical="center"/>
      <protection locked="0" hidden="0"/>
    </xf>
    <xf numFmtId="0" fontId="17" fillId="0" borderId="40" xfId="0" applyFont="1" applyBorder="1" applyAlignment="1">
      <alignment horizontal="center" vertical="center"/>
      <protection locked="0" hidden="0"/>
    </xf>
    <xf numFmtId="0" fontId="17" fillId="0" borderId="40" xfId="0" applyFont="1" applyFill="1" applyBorder="1" applyAlignment="1">
      <alignment horizontal="center" vertical="center"/>
      <protection locked="0" hidden="0"/>
    </xf>
    <xf numFmtId="0" fontId="21" fillId="10" borderId="40" xfId="0" applyFont="1" applyFill="1" applyBorder="1">
      <alignment vertical="center"/>
    </xf>
    <xf numFmtId="0" fontId="21" fillId="0" borderId="40" xfId="0" applyFont="1" applyFill="1" applyBorder="1" applyAlignment="1">
      <alignment horizontal="center" vertical="center"/>
      <protection locked="0" hidden="0"/>
    </xf>
    <xf numFmtId="0" fontId="21" fillId="0" borderId="41" xfId="0" applyFont="1" applyFill="1" applyBorder="1" applyAlignment="1">
      <alignment horizontal="center" vertical="center"/>
      <protection locked="0" hidden="0"/>
    </xf>
    <xf numFmtId="0" fontId="21" fillId="0" borderId="61" xfId="4" applyFont="1" applyFill="1" applyBorder="1" applyAlignment="1">
      <alignment horizontal="center" vertical="center" wrapText="1"/>
      <protection locked="0" hidden="0"/>
    </xf>
    <xf numFmtId="0" fontId="21" fillId="0" borderId="62" xfId="4" applyFont="1" applyFill="1" applyBorder="1" applyAlignment="1">
      <alignment horizontal="center" vertical="center" wrapText="1"/>
      <protection locked="0" hidden="0"/>
    </xf>
    <xf numFmtId="0" fontId="21" fillId="0" borderId="63" xfId="4" applyFont="1" applyFill="1" applyBorder="1" applyAlignment="1">
      <alignment horizontal="center" vertical="center" wrapText="1"/>
      <protection locked="0" hidden="0"/>
    </xf>
    <xf numFmtId="0" fontId="17" fillId="14" borderId="19" xfId="0" applyFont="1" applyFill="1" applyBorder="1" applyAlignment="1">
      <alignment horizontal="center" vertical="center"/>
    </xf>
    <xf numFmtId="0" fontId="17" fillId="14" borderId="20" xfId="0" applyFont="1" applyFill="1" applyBorder="1" applyAlignment="1">
      <alignment horizontal="center" vertical="center"/>
    </xf>
    <xf numFmtId="0" fontId="17" fillId="0" borderId="20" xfId="0" applyFont="1" applyBorder="1" applyAlignment="1">
      <alignment horizontal="center" vertical="center"/>
      <protection locked="0" hidden="0"/>
    </xf>
    <xf numFmtId="0" fontId="17" fillId="0" borderId="20" xfId="0" applyFont="1" applyFill="1" applyBorder="1" applyAlignment="1">
      <alignment horizontal="center" vertical="center"/>
      <protection locked="0" hidden="0"/>
    </xf>
    <xf numFmtId="0" fontId="21" fillId="10" borderId="20" xfId="0" applyFont="1" applyFill="1" applyBorder="1">
      <alignment vertical="center"/>
    </xf>
    <xf numFmtId="0" fontId="17" fillId="0" borderId="42" xfId="0" applyFont="1" applyFill="1" applyBorder="1" applyAlignment="1">
      <alignment horizontal="center" vertical="center"/>
      <protection locked="0" hidden="0"/>
    </xf>
    <xf numFmtId="0" fontId="12" fillId="14" borderId="11" xfId="3" applyFont="1" applyFill="1" applyBorder="1" applyAlignment="1">
      <alignment horizontal="center" vertical="center"/>
    </xf>
    <xf numFmtId="0" fontId="12" fillId="14" borderId="12" xfId="3" applyFont="1" applyFill="1" applyBorder="1" applyAlignment="1">
      <alignment horizontal="center" vertical="center"/>
    </xf>
    <xf numFmtId="0" fontId="12" fillId="14" borderId="13" xfId="3" applyFont="1" applyFill="1" applyBorder="1" applyAlignment="1">
      <alignment horizontal="center" vertical="center"/>
    </xf>
    <xf numFmtId="164" fontId="21" fillId="4" borderId="20" xfId="0" applyNumberFormat="1" applyFont="1" applyFill="1" applyBorder="1" applyAlignment="1">
      <alignment horizontal="center" vertical="center"/>
      <protection locked="0" hidden="0"/>
    </xf>
    <xf numFmtId="164" fontId="21" fillId="4" borderId="42" xfId="0" applyNumberFormat="1" applyFont="1" applyFill="1" applyBorder="1" applyAlignment="1">
      <alignment horizontal="center" vertical="center"/>
      <protection locked="0" hidden="0"/>
    </xf>
    <xf numFmtId="0" fontId="21" fillId="0" borderId="25" xfId="5" applyFont="1" applyFill="1" applyBorder="1" applyAlignment="1">
      <alignment horizontal="center" vertical="center" wrapText="1"/>
      <protection locked="0" hidden="0"/>
    </xf>
    <xf numFmtId="0" fontId="21" fillId="0" borderId="0" xfId="5" applyFont="1" applyFill="1" applyAlignment="1">
      <alignment horizontal="center" vertical="center" wrapText="1"/>
      <protection locked="0" hidden="0"/>
    </xf>
    <xf numFmtId="0" fontId="21" fillId="0" borderId="2" xfId="5" applyFont="1" applyFill="1" applyBorder="1" applyAlignment="1">
      <alignment horizontal="center" vertical="center" wrapText="1"/>
      <protection locked="0" hidden="0"/>
    </xf>
    <xf numFmtId="0" fontId="21" fillId="0" borderId="19" xfId="5" applyFont="1" applyFill="1" applyBorder="1" applyAlignment="1">
      <alignment horizontal="center" vertical="center" wrapText="1"/>
      <protection locked="0" hidden="0"/>
    </xf>
    <xf numFmtId="0" fontId="21" fillId="0" borderId="20" xfId="5" applyFont="1" applyFill="1" applyBorder="1" applyAlignment="1">
      <alignment horizontal="center" vertical="center" wrapText="1"/>
      <protection locked="0" hidden="0"/>
    </xf>
    <xf numFmtId="0" fontId="21" fillId="0" borderId="21" xfId="5" applyFont="1" applyFill="1" applyBorder="1" applyAlignment="1">
      <alignment horizontal="center" vertical="center" wrapText="1"/>
      <protection locked="0" hidden="0"/>
    </xf>
    <xf numFmtId="0" fontId="17" fillId="0" borderId="20" xfId="0" applyFont="1" applyFill="1" applyBorder="1" applyAlignment="1">
      <alignment horizontal="center" vertical="center"/>
    </xf>
    <xf numFmtId="0" fontId="20" fillId="0" borderId="0" xfId="0" applyFont="1" applyFill="1">
      <alignment vertical="center"/>
    </xf>
    <xf numFmtId="0" fontId="10" fillId="14" borderId="20" xfId="0" applyFont="1" applyFill="1" applyBorder="1" applyAlignment="1">
      <alignment horizontal="center" vertical="center"/>
      <protection locked="0" hidden="0"/>
    </xf>
    <xf numFmtId="0" fontId="6" fillId="0" borderId="20" xfId="0" applyFont="1" applyFill="1" applyBorder="1" applyAlignment="1">
      <alignment horizontal="center" vertical="center"/>
    </xf>
    <xf numFmtId="0" fontId="10" fillId="14" borderId="20" xfId="6" applyFont="1" applyFill="1" applyBorder="1" applyAlignment="1">
      <alignment horizontal="center" vertical="center"/>
    </xf>
    <xf numFmtId="0" fontId="23" fillId="0" borderId="20" xfId="0" applyFont="1" applyBorder="1" applyAlignment="1">
      <alignment horizontal="center" vertical="center"/>
      <protection locked="0" hidden="0"/>
    </xf>
    <xf numFmtId="0" fontId="17" fillId="14" borderId="19" xfId="0" applyFont="1" applyFill="1" applyBorder="1" applyAlignment="1">
      <alignment horizontal="center" vertical="center"/>
      <protection locked="0" hidden="0"/>
    </xf>
    <xf numFmtId="0" fontId="17" fillId="14" borderId="20" xfId="0" applyFont="1" applyFill="1" applyBorder="1" applyAlignment="1">
      <alignment horizontal="center" vertical="center"/>
      <protection locked="0" hidden="0"/>
    </xf>
    <xf numFmtId="0" fontId="23" fillId="0" borderId="20" xfId="0" applyFont="1" applyFill="1" applyBorder="1" applyAlignment="1">
      <alignment horizontal="center" vertical="center"/>
      <protection locked="0" hidden="0"/>
    </xf>
    <xf numFmtId="164" fontId="21" fillId="0" borderId="55" xfId="4" applyNumberFormat="1" applyFont="1" applyFill="1" applyBorder="1" applyAlignment="1">
      <alignment horizontal="center" vertical="center" wrapText="1"/>
      <protection locked="0" hidden="0"/>
    </xf>
    <xf numFmtId="164" fontId="21" fillId="0" borderId="64" xfId="4" applyNumberFormat="1" applyFont="1" applyFill="1" applyBorder="1" applyAlignment="1">
      <alignment horizontal="center" vertical="center" wrapText="1"/>
      <protection locked="0" hidden="0"/>
    </xf>
    <xf numFmtId="164" fontId="21" fillId="0" borderId="58" xfId="4" applyNumberFormat="1" applyFont="1" applyFill="1" applyAlignment="1">
      <alignment horizontal="center" vertical="center" wrapText="1"/>
      <protection locked="0" hidden="0"/>
    </xf>
    <xf numFmtId="164" fontId="21" fillId="0" borderId="65" xfId="4" applyNumberFormat="1" applyFont="1" applyFill="1" applyBorder="1" applyAlignment="1">
      <alignment horizontal="center" vertical="center" wrapText="1"/>
      <protection locked="0" hidden="0"/>
    </xf>
    <xf numFmtId="0" fontId="21" fillId="0" borderId="65" xfId="4" applyFont="1" applyFill="1" applyBorder="1" applyAlignment="1">
      <alignment horizontal="center" vertical="center" wrapText="1"/>
      <protection locked="0" hidden="0"/>
    </xf>
    <xf numFmtId="0" fontId="21" fillId="0" borderId="66" xfId="4" applyFont="1" applyFill="1" applyBorder="1" applyAlignment="1">
      <alignment horizontal="center" vertical="center" wrapText="1"/>
      <protection locked="0" hidden="0"/>
    </xf>
    <xf numFmtId="0" fontId="21" fillId="0" borderId="67" xfId="4" applyFont="1" applyFill="1" applyBorder="1" applyAlignment="1">
      <alignment horizontal="center" vertical="center" wrapText="1"/>
      <protection locked="0" hidden="0"/>
    </xf>
    <xf numFmtId="0" fontId="21" fillId="0" borderId="68" xfId="4" applyFont="1" applyFill="1" applyBorder="1" applyAlignment="1">
      <alignment horizontal="center" vertical="center" wrapText="1"/>
      <protection locked="0" hidden="0"/>
    </xf>
    <xf numFmtId="0" fontId="19" fillId="16" borderId="11" xfId="3" applyFont="1" applyFill="1" applyBorder="1" applyAlignment="1">
      <alignment horizontal="center" vertical="center" wrapText="1"/>
    </xf>
    <xf numFmtId="0" fontId="19" fillId="16" borderId="12" xfId="3" applyFont="1" applyFill="1" applyBorder="1" applyAlignment="1">
      <alignment horizontal="center" vertical="center" wrapText="1"/>
    </xf>
    <xf numFmtId="0" fontId="19" fillId="16" borderId="14" xfId="3" applyFont="1" applyFill="1" applyBorder="1" applyAlignment="1">
      <alignment horizontal="center" vertical="center" wrapText="1"/>
    </xf>
    <xf numFmtId="0" fontId="12" fillId="14" borderId="19" xfId="3" applyFont="1" applyFill="1" applyBorder="1" applyAlignment="1">
      <alignment horizontal="center" vertical="center"/>
    </xf>
    <xf numFmtId="0" fontId="12" fillId="14" borderId="20" xfId="3" applyFont="1" applyFill="1" applyBorder="1" applyAlignment="1">
      <alignment horizontal="center" vertical="center"/>
    </xf>
    <xf numFmtId="0" fontId="12" fillId="14" borderId="21" xfId="3" applyFont="1" applyFill="1" applyBorder="1" applyAlignment="1">
      <alignment horizontal="center" vertical="center"/>
    </xf>
    <xf numFmtId="0" fontId="10" fillId="3" borderId="19" xfId="3" applyFont="1" applyFill="1" applyBorder="1" applyAlignment="1">
      <alignment horizontal="center" vertical="center" wrapText="1"/>
    </xf>
    <xf numFmtId="0" fontId="10" fillId="0" borderId="42" xfId="0" applyFont="1" applyFill="1" applyBorder="1" applyAlignment="1">
      <alignment horizontal="center" vertical="center" wrapText="1"/>
      <protection locked="0" hidden="0"/>
    </xf>
    <xf numFmtId="0" fontId="10" fillId="0" borderId="31" xfId="0" applyFont="1" applyFill="1" applyBorder="1" applyAlignment="1">
      <alignment horizontal="center" vertical="center" wrapText="1"/>
      <protection locked="0" hidden="0"/>
    </xf>
    <xf numFmtId="0" fontId="10" fillId="3" borderId="20" xfId="3" applyFont="1" applyFill="1" applyBorder="1" applyAlignment="1">
      <alignment horizontal="center" vertical="center" wrapText="1"/>
    </xf>
    <xf numFmtId="0" fontId="10" fillId="0" borderId="20" xfId="3" applyFont="1" applyFill="1" applyBorder="1" applyAlignment="1">
      <alignment horizontal="center" vertical="center" wrapText="1"/>
    </xf>
    <xf numFmtId="0" fontId="10" fillId="0" borderId="42" xfId="3" applyFont="1" applyFill="1" applyBorder="1" applyAlignment="1">
      <alignment horizontal="center" vertical="center" wrapText="1"/>
    </xf>
    <xf numFmtId="0" fontId="10" fillId="3" borderId="20" xfId="3" applyFont="1" applyFill="1" applyBorder="1" applyAlignment="1">
      <alignment horizontal="center" vertical="center"/>
    </xf>
    <xf numFmtId="0" fontId="10" fillId="0" borderId="69" xfId="0" applyFont="1" applyFill="1" applyBorder="1" applyAlignment="1">
      <alignment horizontal="center" vertical="center" wrapText="1"/>
      <protection locked="0" hidden="0"/>
    </xf>
    <xf numFmtId="0" fontId="21" fillId="0" borderId="54" xfId="4" applyFont="1" applyFill="1" applyBorder="1" applyAlignment="1">
      <alignment horizontal="center" vertical="center"/>
      <protection locked="0" hidden="0"/>
    </xf>
    <xf numFmtId="0" fontId="21" fillId="0" borderId="55" xfId="4" applyFont="1" applyFill="1" applyBorder="1" applyAlignment="1">
      <alignment horizontal="center" vertical="center"/>
      <protection locked="0" hidden="0"/>
    </xf>
    <xf numFmtId="0" fontId="21" fillId="0" borderId="56" xfId="4" applyFont="1" applyFill="1" applyBorder="1" applyAlignment="1">
      <alignment horizontal="center" vertical="center"/>
      <protection locked="0" hidden="0"/>
    </xf>
    <xf numFmtId="0" fontId="10" fillId="0" borderId="24" xfId="0" applyFont="1" applyFill="1" applyBorder="1" applyAlignment="1">
      <alignment horizontal="center" vertical="center" wrapText="1"/>
      <protection locked="0" hidden="0"/>
    </xf>
    <xf numFmtId="0" fontId="10" fillId="0" borderId="70" xfId="0" applyFont="1" applyFill="1" applyBorder="1" applyAlignment="1">
      <alignment horizontal="center" vertical="center" wrapText="1"/>
      <protection locked="0" hidden="0"/>
    </xf>
    <xf numFmtId="0" fontId="21" fillId="0" borderId="57" xfId="4" applyFont="1" applyFill="1" applyBorder="1" applyAlignment="1">
      <alignment horizontal="center" vertical="center"/>
      <protection locked="0" hidden="0"/>
    </xf>
    <xf numFmtId="0" fontId="21" fillId="0" borderId="58" xfId="4" applyFont="1" applyFill="1" applyAlignment="1">
      <alignment horizontal="center" vertical="center"/>
      <protection locked="0" hidden="0"/>
    </xf>
    <xf numFmtId="0" fontId="21" fillId="0" borderId="59" xfId="4" applyFont="1" applyFill="1" applyBorder="1" applyAlignment="1">
      <alignment horizontal="center" vertical="center"/>
      <protection locked="0" hidden="0"/>
    </xf>
    <xf numFmtId="0" fontId="10" fillId="0" borderId="41" xfId="0" applyFont="1" applyFill="1" applyBorder="1" applyAlignment="1">
      <alignment horizontal="center" vertical="center" wrapText="1"/>
      <protection locked="0" hidden="0"/>
    </xf>
    <xf numFmtId="0" fontId="10" fillId="0" borderId="71" xfId="0" applyFont="1" applyFill="1" applyBorder="1" applyAlignment="1">
      <alignment horizontal="center" vertical="center" wrapText="1"/>
      <protection locked="0" hidden="0"/>
    </xf>
    <xf numFmtId="0" fontId="21" fillId="0" borderId="72" xfId="4" applyFont="1" applyFill="1" applyBorder="1" applyAlignment="1">
      <alignment horizontal="center" vertical="center"/>
      <protection locked="0" hidden="0"/>
    </xf>
    <xf numFmtId="0" fontId="21" fillId="0" borderId="73" xfId="4" applyFont="1" applyFill="1" applyBorder="1" applyAlignment="1">
      <alignment horizontal="center" vertical="center"/>
      <protection locked="0" hidden="0"/>
    </xf>
    <xf numFmtId="0" fontId="21" fillId="0" borderId="74" xfId="4" applyFont="1" applyFill="1" applyBorder="1" applyAlignment="1">
      <alignment horizontal="center" vertical="center"/>
      <protection locked="0" hidden="0"/>
    </xf>
    <xf numFmtId="0" fontId="10" fillId="0" borderId="5" xfId="0" applyFont="1" applyFill="1" applyBorder="1" applyAlignment="1">
      <alignment horizontal="center" vertical="center" wrapText="1"/>
      <protection locked="0" hidden="0"/>
    </xf>
    <xf numFmtId="0" fontId="10" fillId="0" borderId="0" xfId="0" applyFont="1" applyFill="1" applyAlignment="1">
      <alignment horizontal="center" vertical="center" wrapText="1"/>
      <protection locked="0" hidden="0"/>
    </xf>
    <xf numFmtId="0" fontId="21" fillId="0" borderId="72" xfId="4" applyFont="1" applyFill="1" applyBorder="1" applyAlignment="1">
      <alignment horizontal="center" vertical="center" wrapText="1"/>
      <protection locked="0" hidden="0"/>
    </xf>
    <xf numFmtId="0" fontId="21" fillId="0" borderId="73" xfId="4" applyFont="1" applyFill="1" applyBorder="1" applyAlignment="1">
      <alignment horizontal="center" vertical="center" wrapText="1"/>
      <protection locked="0" hidden="0"/>
    </xf>
    <xf numFmtId="0" fontId="21" fillId="0" borderId="74" xfId="4" applyFont="1" applyFill="1" applyBorder="1" applyAlignment="1">
      <alignment horizontal="center" vertical="center" wrapText="1"/>
      <protection locked="0" hidden="0"/>
    </xf>
    <xf numFmtId="0" fontId="21" fillId="0" borderId="61" xfId="4" applyFont="1" applyFill="1" applyBorder="1" applyAlignment="1">
      <alignment horizontal="center" vertical="center"/>
      <protection locked="0" hidden="0"/>
    </xf>
    <xf numFmtId="0" fontId="21" fillId="0" borderId="62" xfId="4" applyFont="1" applyFill="1" applyBorder="1" applyAlignment="1">
      <alignment horizontal="center" vertical="center"/>
      <protection locked="0" hidden="0"/>
    </xf>
    <xf numFmtId="0" fontId="21" fillId="0" borderId="63" xfId="4" applyFont="1" applyFill="1" applyBorder="1" applyAlignment="1">
      <alignment horizontal="center" vertical="center"/>
      <protection locked="0" hidden="0"/>
    </xf>
    <xf numFmtId="0" fontId="12" fillId="17" borderId="75" xfId="3" applyFont="1" applyFill="1" applyBorder="1" applyAlignment="1">
      <alignment horizontal="center" vertical="center"/>
    </xf>
    <xf numFmtId="0" fontId="12" fillId="17" borderId="71" xfId="3" applyFont="1" applyFill="1" applyBorder="1" applyAlignment="1">
      <alignment horizontal="center" vertical="center"/>
    </xf>
    <xf numFmtId="0" fontId="12" fillId="17" borderId="76" xfId="3" applyFont="1" applyFill="1" applyBorder="1" applyAlignment="1">
      <alignment horizontal="center" vertical="center"/>
    </xf>
    <xf numFmtId="0" fontId="21" fillId="0" borderId="77" xfId="5" applyFont="1" applyFill="1" applyBorder="1" applyAlignment="1">
      <alignment horizontal="center" vertical="center"/>
      <protection locked="0" hidden="0"/>
    </xf>
    <xf numFmtId="0" fontId="21" fillId="0" borderId="70" xfId="5" applyFont="1" applyFill="1" applyBorder="1" applyAlignment="1">
      <alignment horizontal="center" vertical="center"/>
      <protection locked="0" hidden="0"/>
    </xf>
    <xf numFmtId="0" fontId="21" fillId="0" borderId="78" xfId="5" applyFont="1" applyFill="1" applyBorder="1" applyAlignment="1">
      <alignment horizontal="center" vertical="center"/>
      <protection locked="0" hidden="0"/>
    </xf>
    <xf numFmtId="0" fontId="21" fillId="0" borderId="25" xfId="5" applyFont="1" applyFill="1" applyBorder="1" applyAlignment="1">
      <alignment horizontal="center" vertical="center"/>
      <protection locked="0" hidden="0"/>
    </xf>
    <xf numFmtId="0" fontId="21" fillId="0" borderId="0" xfId="5" applyFont="1" applyFill="1" applyAlignment="1">
      <alignment horizontal="center" vertical="center"/>
      <protection locked="0" hidden="0"/>
    </xf>
    <xf numFmtId="0" fontId="21" fillId="0" borderId="2" xfId="5" applyFont="1" applyFill="1" applyBorder="1" applyAlignment="1">
      <alignment horizontal="center" vertical="center"/>
      <protection locked="0" hidden="0"/>
    </xf>
    <xf numFmtId="0" fontId="10" fillId="3" borderId="32" xfId="3" applyFont="1" applyFill="1" applyBorder="1" applyAlignment="1">
      <alignment horizontal="center" vertical="center" wrapText="1"/>
    </xf>
    <xf numFmtId="0" fontId="10" fillId="0" borderId="79" xfId="0" applyFont="1" applyFill="1" applyBorder="1" applyAlignment="1">
      <alignment horizontal="center" vertical="center" wrapText="1"/>
      <protection locked="0" hidden="0"/>
    </xf>
    <xf numFmtId="0" fontId="10" fillId="0" borderId="1" xfId="0" applyFont="1" applyFill="1" applyBorder="1" applyAlignment="1">
      <alignment horizontal="center" vertical="center" wrapText="1"/>
      <protection locked="0" hidden="0"/>
    </xf>
    <xf numFmtId="0" fontId="10" fillId="18" borderId="11" xfId="7" applyFont="1" applyFill="1" applyBorder="1" applyAlignment="1">
      <alignment horizontal="center" vertical="center"/>
    </xf>
    <xf numFmtId="0" fontId="10" fillId="0" borderId="12" xfId="3" applyFont="1" applyFill="1" applyBorder="1" applyAlignment="1">
      <alignment horizontal="center" vertical="center"/>
      <protection locked="0" hidden="0"/>
    </xf>
    <xf numFmtId="0" fontId="10" fillId="0" borderId="14" xfId="3" applyFont="1" applyFill="1" applyBorder="1" applyAlignment="1">
      <alignment horizontal="center" vertical="center"/>
      <protection locked="0" hidden="0"/>
    </xf>
    <xf numFmtId="0" fontId="10" fillId="18" borderId="19" xfId="3" applyFont="1" applyFill="1" applyBorder="1" applyAlignment="1">
      <alignment horizontal="center" vertical="center" wrapText="1"/>
    </xf>
    <xf numFmtId="0" fontId="10" fillId="18" borderId="19" xfId="3" applyFont="1" applyFill="1" applyBorder="1" applyAlignment="1">
      <alignment horizontal="center" vertical="center"/>
    </xf>
    <xf numFmtId="0" fontId="10" fillId="18" borderId="32" xfId="3" applyFont="1" applyFill="1" applyBorder="1" applyAlignment="1">
      <alignment horizontal="center" vertical="center"/>
    </xf>
    <xf numFmtId="0" fontId="3" fillId="0" borderId="80" xfId="0" applyFont="1" applyFill="1" applyBorder="1">
      <alignment vertical="center"/>
    </xf>
    <xf numFmtId="0" fontId="21" fillId="0" borderId="29" xfId="5" applyFont="1" applyFill="1" applyBorder="1" applyAlignment="1">
      <alignment horizontal="center" vertical="center"/>
      <protection locked="0" hidden="0"/>
    </xf>
    <xf numFmtId="0" fontId="21" fillId="0" borderId="1" xfId="5" applyFont="1" applyFill="1" applyBorder="1" applyAlignment="1">
      <alignment horizontal="center" vertical="center"/>
      <protection locked="0" hidden="0"/>
    </xf>
    <xf numFmtId="0" fontId="21" fillId="0" borderId="30" xfId="5" applyFont="1" applyFill="1" applyBorder="1" applyAlignment="1">
      <alignment horizontal="center" vertical="center"/>
      <protection locked="0" hidden="0"/>
    </xf>
    <xf numFmtId="0" fontId="24" fillId="0" borderId="20" xfId="3" applyFont="1" applyBorder="1">
      <alignment vertical="center"/>
    </xf>
    <xf numFmtId="0" fontId="25" fillId="14" borderId="20" xfId="4" applyFont="1" applyFill="1" applyBorder="1">
      <alignment vertical="center"/>
      <protection locked="0" hidden="0"/>
    </xf>
    <xf numFmtId="0" fontId="25" fillId="14" borderId="20" xfId="4" applyFont="1" applyFill="1" applyBorder="1" applyAlignment="1">
      <alignment vertical="center" wrapText="1"/>
      <protection locked="0" hidden="0"/>
    </xf>
    <xf numFmtId="0" fontId="26" fillId="19" borderId="20" xfId="0" applyFont="1" applyFill="1" applyBorder="1" applyAlignment="1">
      <alignment horizontal="center" vertical="center"/>
    </xf>
    <xf numFmtId="0" fontId="27" fillId="19" borderId="20" xfId="3" applyFont="1" applyFill="1" applyBorder="1" applyAlignment="1">
      <alignment horizontal="center" vertical="center"/>
    </xf>
    <xf numFmtId="0" fontId="26" fillId="19" borderId="20" xfId="0" applyFont="1" applyFill="1" applyBorder="1">
      <alignment vertical="center"/>
    </xf>
    <xf numFmtId="0" fontId="27" fillId="19" borderId="20" xfId="0" applyNumberFormat="1" applyFont="1" applyFill="1" applyBorder="1" applyAlignment="1">
      <alignment horizontal="center" vertical="center"/>
    </xf>
    <xf numFmtId="49" fontId="27" fillId="19" borderId="20" xfId="0" applyNumberFormat="1" applyFont="1" applyFill="1" applyBorder="1" applyAlignment="1">
      <alignment horizontal="center" vertical="center"/>
    </xf>
    <xf numFmtId="0" fontId="27" fillId="19" borderId="20" xfId="1" applyFont="1" applyFill="1" applyBorder="1" applyAlignment="1">
      <alignment horizontal="center" vertical="center"/>
    </xf>
    <xf numFmtId="0" fontId="27" fillId="19" borderId="20" xfId="0" applyFont="1" applyFill="1" applyBorder="1" applyAlignment="1">
      <alignment horizontal="center" vertical="center"/>
    </xf>
    <xf numFmtId="49" fontId="27" fillId="19" borderId="20" xfId="3" applyNumberFormat="1" applyFont="1" applyFill="1" applyBorder="1" applyAlignment="1">
      <alignment horizontal="center" vertical="center"/>
    </xf>
    <xf numFmtId="0" fontId="28" fillId="0" borderId="0" xfId="0" applyFont="1">
      <alignment vertical="center"/>
    </xf>
    <xf numFmtId="0" fontId="28" fillId="2" borderId="81" xfId="0" applyFont="1" applyFill="1" applyBorder="1">
      <alignment vertical="center"/>
    </xf>
    <xf numFmtId="0" fontId="28" fillId="2" borderId="10" xfId="0" applyFont="1" applyFill="1" applyBorder="1">
      <alignment vertical="center"/>
    </xf>
    <xf numFmtId="0" fontId="28" fillId="2" borderId="14" xfId="0" applyFont="1" applyFill="1" applyBorder="1">
      <alignment vertical="center"/>
    </xf>
    <xf numFmtId="0" fontId="28" fillId="2" borderId="35" xfId="0" applyFont="1" applyFill="1" applyBorder="1">
      <alignment vertical="center"/>
    </xf>
    <xf numFmtId="0" fontId="28" fillId="0" borderId="75" xfId="0" applyFont="1" applyBorder="1">
      <alignment vertical="center"/>
    </xf>
    <xf numFmtId="0" fontId="28" fillId="0" borderId="71" xfId="0" applyFont="1" applyBorder="1">
      <alignment vertical="center"/>
    </xf>
    <xf numFmtId="0" fontId="28" fillId="0" borderId="5" xfId="0" applyFont="1" applyBorder="1">
      <alignment vertical="center"/>
    </xf>
    <xf numFmtId="0" fontId="28" fillId="0" borderId="2" xfId="0" applyFont="1" applyBorder="1">
      <alignment vertical="center"/>
    </xf>
    <xf numFmtId="0" fontId="28" fillId="0" borderId="25" xfId="0" applyFont="1" applyBorder="1">
      <alignment vertical="center"/>
    </xf>
    <xf numFmtId="0" fontId="28" fillId="0" borderId="42" xfId="0" applyFont="1" applyBorder="1">
      <alignment vertical="center"/>
    </xf>
    <xf numFmtId="0" fontId="28" fillId="0" borderId="24" xfId="0" applyFont="1" applyBorder="1">
      <alignment vertical="center"/>
    </xf>
    <xf numFmtId="0" fontId="28" fillId="0" borderId="70" xfId="0" applyFont="1" applyBorder="1">
      <alignment vertical="center"/>
    </xf>
    <xf numFmtId="0" fontId="28" fillId="0" borderId="78" xfId="0" applyFont="1" applyBorder="1">
      <alignment vertical="center"/>
    </xf>
    <xf numFmtId="0" fontId="28" fillId="0" borderId="41" xfId="0" applyFont="1" applyBorder="1">
      <alignment vertical="center"/>
    </xf>
    <xf numFmtId="0" fontId="28" fillId="0" borderId="76" xfId="0" applyFont="1" applyBorder="1">
      <alignment vertical="center"/>
    </xf>
    <xf numFmtId="0" fontId="28" fillId="0" borderId="77" xfId="0" applyFont="1" applyBorder="1">
      <alignment vertical="center"/>
    </xf>
    <xf numFmtId="0" fontId="28" fillId="0" borderId="29" xfId="0" applyFont="1" applyBorder="1">
      <alignment vertical="center"/>
    </xf>
    <xf numFmtId="0" fontId="28" fillId="0" borderId="79" xfId="0" applyFont="1" applyBorder="1">
      <alignment vertical="center"/>
    </xf>
    <xf numFmtId="0" fontId="28" fillId="0" borderId="1" xfId="0" applyFont="1" applyBorder="1">
      <alignment vertical="center"/>
    </xf>
    <xf numFmtId="0" fontId="28" fillId="0" borderId="30" xfId="0" applyFont="1" applyBorder="1">
      <alignment vertical="center"/>
    </xf>
    <xf numFmtId="0" fontId="28" fillId="20" borderId="11" xfId="0" applyFont="1" applyFill="1" applyBorder="1" applyAlignment="1">
      <alignment horizontal="center" vertical="center"/>
    </xf>
    <xf numFmtId="0" fontId="28" fillId="20" borderId="12" xfId="0" applyFont="1" applyFill="1" applyBorder="1" applyAlignment="1">
      <alignment horizontal="center" vertical="center"/>
    </xf>
    <xf numFmtId="0" fontId="28" fillId="20" borderId="13" xfId="0" applyFont="1" applyFill="1" applyBorder="1" applyAlignment="1">
      <alignment horizontal="center" vertical="center"/>
    </xf>
    <xf numFmtId="0" fontId="28" fillId="21" borderId="19" xfId="0" applyFont="1" applyFill="1" applyBorder="1" applyAlignment="1">
      <alignment horizontal="center" vertical="center"/>
    </xf>
    <xf numFmtId="0" fontId="28" fillId="21" borderId="20" xfId="0" applyFont="1" applyFill="1" applyBorder="1" applyAlignment="1">
      <alignment horizontal="center" vertical="center"/>
    </xf>
    <xf numFmtId="0" fontId="28" fillId="21" borderId="21" xfId="0" applyFont="1" applyFill="1" applyBorder="1" applyAlignment="1">
      <alignment horizontal="center" vertical="center"/>
    </xf>
    <xf numFmtId="0" fontId="28" fillId="8" borderId="19" xfId="0" applyFont="1" applyFill="1" applyBorder="1" applyAlignment="1">
      <alignment horizontal="center" vertical="center"/>
    </xf>
    <xf numFmtId="0" fontId="28" fillId="8" borderId="20" xfId="0" applyFont="1" applyFill="1" applyBorder="1" applyAlignment="1">
      <alignment horizontal="center" vertical="center"/>
    </xf>
    <xf numFmtId="0" fontId="28" fillId="8" borderId="21" xfId="0" applyFont="1" applyFill="1" applyBorder="1" applyAlignment="1">
      <alignment horizontal="center" vertical="center"/>
    </xf>
    <xf numFmtId="0" fontId="29" fillId="10" borderId="19" xfId="3" applyFont="1" applyFill="1" applyBorder="1" applyAlignment="1">
      <alignment horizontal="center" vertical="center" wrapText="1"/>
    </xf>
    <xf numFmtId="0" fontId="29" fillId="0" borderId="20" xfId="0" applyFont="1" applyBorder="1" applyAlignment="1">
      <alignment horizontal="center" vertical="center" wrapText="1"/>
      <protection locked="0" hidden="0"/>
    </xf>
    <xf numFmtId="0" fontId="29" fillId="10" borderId="20" xfId="3" applyFont="1" applyFill="1" applyBorder="1" applyAlignment="1">
      <alignment horizontal="center" vertical="center" wrapText="1"/>
    </xf>
    <xf numFmtId="0" fontId="29" fillId="10" borderId="20" xfId="3" applyFont="1" applyFill="1" applyBorder="1" applyAlignment="1">
      <alignment horizontal="center" vertical="center"/>
    </xf>
    <xf numFmtId="0" fontId="28" fillId="0" borderId="20" xfId="0" applyFont="1" applyBorder="1" applyAlignment="1">
      <alignment horizontal="center" vertical="center"/>
    </xf>
    <xf numFmtId="0" fontId="28" fillId="0" borderId="21" xfId="0" applyFont="1" applyBorder="1" applyAlignment="1">
      <alignment horizontal="center" vertical="center"/>
    </xf>
    <xf numFmtId="0" fontId="28" fillId="0" borderId="20" xfId="0" applyFont="1" applyBorder="1" applyAlignment="1">
      <alignment horizontal="center" vertical="center" wrapText="1"/>
    </xf>
    <xf numFmtId="0" fontId="28" fillId="0" borderId="21" xfId="0" applyFont="1" applyBorder="1" applyAlignment="1">
      <alignment horizontal="center" vertical="center" wrapText="1"/>
    </xf>
    <xf numFmtId="0" fontId="29" fillId="10" borderId="32" xfId="3" applyFont="1" applyFill="1" applyBorder="1" applyAlignment="1">
      <alignment horizontal="center" vertical="center" wrapText="1"/>
    </xf>
    <xf numFmtId="0" fontId="28" fillId="0" borderId="33" xfId="0" applyFont="1" applyBorder="1" applyAlignment="1">
      <alignment horizontal="center" vertical="center"/>
    </xf>
    <xf numFmtId="0" fontId="29" fillId="10" borderId="33" xfId="3"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22" borderId="6" xfId="0" applyFont="1" applyFill="1" applyBorder="1" applyAlignment="1">
      <alignment horizontal="center" vertical="center"/>
    </xf>
    <xf numFmtId="0" fontId="28" fillId="22" borderId="7" xfId="0" applyFont="1" applyFill="1" applyBorder="1" applyAlignment="1">
      <alignment horizontal="center" vertical="center"/>
    </xf>
    <xf numFmtId="0" fontId="28" fillId="22" borderId="8" xfId="0" applyFont="1" applyFill="1" applyBorder="1" applyAlignment="1">
      <alignment horizontal="center" vertical="center"/>
    </xf>
    <xf numFmtId="0" fontId="28" fillId="23" borderId="19" xfId="0" applyFont="1" applyFill="1" applyBorder="1" applyAlignment="1">
      <alignment horizontal="center" vertical="center"/>
    </xf>
    <xf numFmtId="0" fontId="28" fillId="23" borderId="20" xfId="0" applyFont="1" applyFill="1" applyBorder="1" applyAlignment="1">
      <alignment horizontal="center" vertical="center"/>
    </xf>
    <xf numFmtId="0" fontId="28" fillId="23" borderId="31" xfId="0" applyFont="1" applyFill="1" applyBorder="1" applyAlignment="1">
      <alignment horizontal="center" vertical="center"/>
    </xf>
    <xf numFmtId="0" fontId="28" fillId="23" borderId="21" xfId="0" applyFont="1" applyFill="1" applyBorder="1" applyAlignment="1">
      <alignment horizontal="center" vertical="center"/>
    </xf>
    <xf numFmtId="0" fontId="29" fillId="24" borderId="19" xfId="3" applyFont="1" applyFill="1" applyBorder="1" applyAlignment="1">
      <alignment horizontal="center" vertical="center" wrapText="1"/>
    </xf>
    <xf numFmtId="0" fontId="29" fillId="24" borderId="20" xfId="3" applyFont="1" applyFill="1" applyBorder="1" applyAlignment="1">
      <alignment horizontal="center" vertical="center" wrapText="1"/>
    </xf>
    <xf numFmtId="0" fontId="29" fillId="24" borderId="20" xfId="3" applyFont="1" applyFill="1" applyBorder="1" applyAlignment="1">
      <alignment horizontal="center" vertical="center"/>
    </xf>
    <xf numFmtId="0" fontId="29" fillId="24" borderId="31" xfId="3" applyFont="1" applyFill="1" applyBorder="1" applyAlignment="1">
      <alignment horizontal="center" vertical="center" wrapText="1"/>
    </xf>
    <xf numFmtId="0" fontId="29" fillId="0" borderId="21" xfId="0" applyFont="1" applyBorder="1" applyAlignment="1">
      <alignment horizontal="center" vertical="center" wrapText="1"/>
      <protection locked="0" hidden="0"/>
    </xf>
    <xf numFmtId="0" fontId="29" fillId="0" borderId="24" xfId="0" applyFont="1" applyBorder="1" applyAlignment="1">
      <alignment horizontal="center" vertical="center" wrapText="1"/>
      <protection locked="0" hidden="0"/>
    </xf>
    <xf numFmtId="0" fontId="29" fillId="0" borderId="70" xfId="0" applyFont="1" applyBorder="1" applyAlignment="1">
      <alignment horizontal="center" vertical="center" wrapText="1"/>
      <protection locked="0" hidden="0"/>
    </xf>
    <xf numFmtId="0" fontId="29" fillId="0" borderId="43" xfId="0" applyFont="1" applyBorder="1" applyAlignment="1">
      <alignment horizontal="center" vertical="center" wrapText="1"/>
      <protection locked="0" hidden="0"/>
    </xf>
    <xf numFmtId="0" fontId="29" fillId="0" borderId="78" xfId="0" applyFont="1" applyBorder="1" applyAlignment="1">
      <alignment horizontal="center" vertical="center" wrapText="1"/>
      <protection locked="0" hidden="0"/>
    </xf>
    <xf numFmtId="0" fontId="29" fillId="0" borderId="5" xfId="0" applyFont="1" applyBorder="1" applyAlignment="1">
      <alignment horizontal="center" vertical="center" wrapText="1"/>
      <protection locked="0" hidden="0"/>
    </xf>
    <xf numFmtId="0" fontId="29" fillId="0" borderId="0" xfId="0" applyFont="1" applyAlignment="1">
      <alignment horizontal="center" vertical="center" wrapText="1"/>
      <protection locked="0" hidden="0"/>
    </xf>
    <xf numFmtId="0" fontId="29" fillId="0" borderId="3" xfId="0" applyFont="1" applyBorder="1" applyAlignment="1">
      <alignment horizontal="center" vertical="center" wrapText="1"/>
      <protection locked="0" hidden="0"/>
    </xf>
    <xf numFmtId="0" fontId="29" fillId="0" borderId="2" xfId="0" applyFont="1" applyBorder="1" applyAlignment="1">
      <alignment horizontal="center" vertical="center" wrapText="1"/>
      <protection locked="0" hidden="0"/>
    </xf>
    <xf numFmtId="0" fontId="29" fillId="0" borderId="41" xfId="0" applyFont="1" applyBorder="1" applyAlignment="1">
      <alignment horizontal="center" vertical="center" wrapText="1"/>
      <protection locked="0" hidden="0"/>
    </xf>
    <xf numFmtId="0" fontId="29" fillId="0" borderId="71" xfId="0" applyFont="1" applyBorder="1" applyAlignment="1">
      <alignment horizontal="center" vertical="center" wrapText="1"/>
      <protection locked="0" hidden="0"/>
    </xf>
    <xf numFmtId="0" fontId="29" fillId="0" borderId="39" xfId="0" applyFont="1" applyBorder="1" applyAlignment="1">
      <alignment horizontal="center" vertical="center" wrapText="1"/>
      <protection locked="0" hidden="0"/>
    </xf>
    <xf numFmtId="0" fontId="29" fillId="0" borderId="76" xfId="0" applyFont="1" applyBorder="1" applyAlignment="1">
      <alignment horizontal="center" vertical="center" wrapText="1"/>
      <protection locked="0" hidden="0"/>
    </xf>
    <xf numFmtId="0" fontId="29" fillId="24" borderId="32" xfId="3" applyFont="1" applyFill="1" applyBorder="1" applyAlignment="1">
      <alignment horizontal="center" vertical="center" wrapText="1"/>
    </xf>
    <xf numFmtId="0" fontId="29" fillId="0" borderId="33" xfId="0" applyFont="1" applyBorder="1" applyAlignment="1">
      <alignment horizontal="center" vertical="center" wrapText="1"/>
      <protection locked="0" hidden="0"/>
    </xf>
    <xf numFmtId="0" fontId="29" fillId="0" borderId="34" xfId="0" applyFont="1" applyBorder="1" applyAlignment="1">
      <alignment horizontal="center" vertical="center" wrapText="1"/>
      <protection locked="0" hidden="0"/>
    </xf>
    <xf numFmtId="0" fontId="30" fillId="0" borderId="15" xfId="0" applyFont="1" applyFill="1" applyBorder="1">
      <alignment vertical="center"/>
    </xf>
    <xf numFmtId="0" fontId="3" fillId="0" borderId="17" xfId="0" applyFont="1" applyFill="1" applyBorder="1">
      <alignment vertical="center"/>
    </xf>
    <xf numFmtId="0" fontId="31" fillId="0" borderId="0" xfId="0" applyFont="1">
      <alignment vertical="center"/>
    </xf>
    <xf numFmtId="0" fontId="3" fillId="0" borderId="15" xfId="0" applyFont="1" applyBorder="1" applyAlignment="1">
      <alignment horizontal="center" vertical="center"/>
    </xf>
    <xf numFmtId="0" fontId="3" fillId="0" borderId="17" xfId="0" applyFont="1" applyBorder="1" applyAlignment="1">
      <alignment horizontal="center" vertical="center"/>
    </xf>
    <xf numFmtId="0" fontId="3" fillId="25" borderId="15" xfId="0" applyFont="1" applyFill="1" applyBorder="1">
      <alignment vertical="center"/>
    </xf>
    <xf numFmtId="0" fontId="9" fillId="25" borderId="14" xfId="3" applyFont="1" applyFill="1" applyBorder="1">
      <alignment vertical="center"/>
      <protection locked="0" hidden="0"/>
    </xf>
    <xf numFmtId="0" fontId="9" fillId="25" borderId="14" xfId="3" applyFont="1" applyFill="1" applyBorder="1">
      <alignment vertical="center"/>
    </xf>
    <xf numFmtId="0" fontId="3" fillId="0" borderId="25" xfId="0" applyFont="1" applyFill="1" applyBorder="1">
      <alignment vertical="center"/>
    </xf>
    <xf numFmtId="0" fontId="30" fillId="0" borderId="2" xfId="0" applyFont="1" applyFill="1" applyBorder="1">
      <alignment vertical="center"/>
    </xf>
    <xf numFmtId="0" fontId="32" fillId="0" borderId="25" xfId="0" applyFont="1" applyFill="1" applyBorder="1">
      <alignment vertical="center"/>
      <protection locked="0" hidden="0"/>
    </xf>
    <xf numFmtId="0" fontId="32" fillId="0" borderId="2" xfId="0" applyFont="1" applyFill="1" applyBorder="1">
      <alignment vertical="center"/>
      <protection locked="0" hidden="0"/>
    </xf>
    <xf numFmtId="0" fontId="3" fillId="0" borderId="25" xfId="0" applyFont="1" applyBorder="1">
      <alignment vertical="center"/>
    </xf>
    <xf numFmtId="0" fontId="3" fillId="0" borderId="2" xfId="0" applyFont="1" applyBorder="1">
      <alignment vertical="center"/>
    </xf>
    <xf numFmtId="0" fontId="6" fillId="0" borderId="25" xfId="0" applyFont="1" applyBorder="1">
      <alignment vertical="center"/>
      <protection locked="0" hidden="0"/>
    </xf>
    <xf numFmtId="0" fontId="3" fillId="0" borderId="0" xfId="0" applyFont="1">
      <alignment vertical="center"/>
      <protection locked="0" hidden="0"/>
    </xf>
    <xf numFmtId="0" fontId="33" fillId="0" borderId="25" xfId="0" applyFont="1" applyBorder="1">
      <alignment vertical="center"/>
      <protection locked="0" hidden="0"/>
    </xf>
    <xf numFmtId="0" fontId="30" fillId="0" borderId="25" xfId="0" applyFont="1" applyBorder="1">
      <alignment vertical="center"/>
      <protection locked="0" hidden="0"/>
    </xf>
    <xf numFmtId="0" fontId="31" fillId="0" borderId="25" xfId="0" applyFont="1" applyBorder="1">
      <alignment vertical="center"/>
    </xf>
    <xf numFmtId="0" fontId="31" fillId="0" borderId="2" xfId="0" applyFont="1" applyBorder="1">
      <alignment vertical="center"/>
    </xf>
    <xf numFmtId="0" fontId="31" fillId="0" borderId="25" xfId="0" applyFont="1" applyBorder="1">
      <alignment vertical="center"/>
      <protection locked="0" hidden="0"/>
    </xf>
    <xf numFmtId="0" fontId="31" fillId="0" borderId="2" xfId="0" applyFont="1" applyBorder="1">
      <alignment vertical="center"/>
      <protection locked="0" hidden="0"/>
    </xf>
    <xf numFmtId="0" fontId="31" fillId="0" borderId="29" xfId="0" applyFont="1" applyBorder="1">
      <alignment vertical="center"/>
      <protection locked="0" hidden="0"/>
    </xf>
    <xf numFmtId="0" fontId="31" fillId="0" borderId="30" xfId="0" applyFont="1" applyBorder="1">
      <alignment vertical="center"/>
      <protection locked="0" hidden="0"/>
    </xf>
    <xf numFmtId="0" fontId="30" fillId="0" borderId="25" xfId="0" applyFont="1" applyFill="1" applyBorder="1">
      <alignment vertical="center"/>
      <protection locked="0" hidden="0"/>
    </xf>
    <xf numFmtId="0" fontId="30" fillId="0" borderId="2" xfId="0" applyFont="1" applyFill="1" applyBorder="1">
      <alignment vertical="center"/>
      <protection locked="0" hidden="0"/>
    </xf>
    <xf numFmtId="0" fontId="3" fillId="0" borderId="25" xfId="0" applyFont="1" applyBorder="1">
      <alignment vertical="center"/>
      <protection locked="0" hidden="0"/>
    </xf>
    <xf numFmtId="0" fontId="31" fillId="0" borderId="15" xfId="0" applyFont="1" applyBorder="1" applyAlignment="1">
      <alignment horizontal="center" vertical="center"/>
    </xf>
    <xf numFmtId="0" fontId="31" fillId="0" borderId="16" xfId="0" applyFont="1" applyBorder="1" applyAlignment="1">
      <alignment horizontal="center" vertical="center"/>
    </xf>
    <xf numFmtId="0" fontId="31" fillId="0" borderId="0" xfId="0" applyFont="1" applyAlignment="1">
      <alignment horizontal="center" vertical="center"/>
    </xf>
    <xf numFmtId="0" fontId="31" fillId="0" borderId="25" xfId="0" applyFont="1" applyBorder="1" applyAlignment="1">
      <alignment horizontal="center" vertical="center"/>
    </xf>
    <xf numFmtId="0" fontId="31" fillId="26" borderId="0" xfId="0" applyFont="1" applyFill="1" applyAlignment="1">
      <alignment horizontal="center" vertical="center"/>
    </xf>
    <xf numFmtId="0" fontId="3" fillId="0" borderId="29" xfId="0" applyFont="1" applyBorder="1">
      <alignment vertical="center"/>
      <protection locked="0" hidden="0"/>
    </xf>
    <xf numFmtId="0" fontId="3" fillId="0" borderId="1" xfId="0" applyFont="1" applyBorder="1">
      <alignment vertical="center"/>
      <protection locked="0" hidden="0"/>
    </xf>
    <xf numFmtId="0" fontId="31" fillId="0" borderId="29" xfId="0" applyFont="1" applyBorder="1" applyAlignment="1">
      <alignment horizontal="center" vertical="center"/>
    </xf>
    <xf numFmtId="0" fontId="31" fillId="0" borderId="1" xfId="0" applyFont="1" applyBorder="1" applyAlignment="1">
      <alignment horizontal="center" vertical="center"/>
    </xf>
    <xf numFmtId="0" fontId="3" fillId="0" borderId="25" xfId="0" applyFont="1" applyFill="1" applyBorder="1">
      <alignment vertical="center"/>
      <protection locked="0" hidden="0"/>
    </xf>
    <xf numFmtId="0" fontId="3" fillId="0" borderId="2" xfId="0" applyFont="1" applyFill="1" applyBorder="1">
      <alignment vertical="center"/>
      <protection locked="0" hidden="0"/>
    </xf>
    <xf numFmtId="0" fontId="34" fillId="0" borderId="0" xfId="0" applyFont="1" applyFill="1">
      <alignment vertical="center"/>
    </xf>
    <xf numFmtId="0" fontId="3" fillId="0" borderId="29" xfId="0" applyFont="1" applyFill="1" applyBorder="1">
      <alignment vertical="center"/>
      <protection locked="0" hidden="0"/>
    </xf>
    <xf numFmtId="0" fontId="3" fillId="0" borderId="30" xfId="0" applyFont="1" applyFill="1" applyBorder="1">
      <alignment vertical="center"/>
      <protection locked="0" hidden="0"/>
    </xf>
  </cellXfs>
  <cellStyles count="8">
    <cellStyle name="常规" xfId="0" builtinId="0"/>
    <cellStyle name="一般 2" xfId="1"/>
    <cellStyle name="標題 4 2" xfId="2"/>
    <cellStyle name="标题 4" xfId="3"/>
    <cellStyle name="输入" xfId="4"/>
    <cellStyle name="好" xfId="5"/>
    <cellStyle name="标题 3" xfId="6"/>
    <cellStyle name="标题 1" xfId="7"/>
  </cellStyles>
  <dxfs count="27">
    <dxf>
      <font>
        <color rgb="FFFFFFFF"/>
      </font>
    </dxf>
    <dxf>
      <font>
        <color rgb="FFFFFFFF"/>
      </font>
    </dxf>
    <dxf>
      <font>
        <color rgb="FFFFFFFF"/>
      </font>
    </dxf>
    <dxf>
      <font>
        <color rgb="FFFFFFFF"/>
      </font>
    </dxf>
    <dxf>
      <fill>
        <patternFill patternType="solid">
          <bgColor rgb="FFC5D9F1"/>
        </patternFill>
      </fill>
    </dxf>
    <dxf>
      <font>
        <color rgb="FFFFFFFF"/>
      </font>
    </dxf>
    <dxf>
      <font>
        <color rgb="FFFFFFFF"/>
      </font>
    </dxf>
    <dxf>
      <font>
        <color rgb="FFF2F2F2"/>
      </font>
    </dxf>
    <dxf>
      <fill>
        <patternFill patternType="solid">
          <bgColor rgb="FFDCE6F1"/>
        </patternFill>
      </fill>
    </dxf>
    <dxf>
      <font>
        <color rgb="FFFFFFFF"/>
      </font>
    </dxf>
    <dxf>
      <font>
        <color rgb="FFFFFFFF"/>
      </font>
    </dxf>
    <dxf>
      <font>
        <color rgb="FFFFFFFF"/>
      </font>
    </dxf>
    <dxf>
      <font>
        <color rgb="FFFFFFFF"/>
      </font>
    </dxf>
    <dxf>
      <font>
        <color rgb="FFFFFFFF"/>
      </font>
    </dxf>
    <dxf>
      <fill>
        <patternFill patternType="solid">
          <bgColor rgb="FFDCE6F1"/>
        </patternFill>
      </fill>
    </dxf>
    <dxf>
      <font>
        <i val="0"/>
        <b/>
      </font>
      <fill>
        <patternFill patternType="solid">
          <bgColor rgb="FFC5D9F1"/>
        </patternFill>
      </fill>
    </dxf>
    <dxf>
      <font>
        <i val="0"/>
        <b/>
      </font>
      <fill>
        <patternFill patternType="solid">
          <bgColor rgb="FFC5D9F1"/>
        </patternFill>
      </fill>
    </dxf>
    <dxf>
      <font>
        <b/>
        <color rgb="FF000000"/>
      </font>
      <fill>
        <patternFill patternType="solid">
          <fgColor rgb="FFDCE6F1"/>
          <bgColor rgb="FFDCE6F1"/>
        </patternFill>
      </fill>
      <border>
        <left/>
        <right/>
        <top/>
        <bottom style="thin">
          <color rgb="FF95B3D7"/>
        </bottom>
        <diagonal/>
      </border>
    </dxf>
    <dxf>
      <font>
        <b/>
        <color rgb="FF000000"/>
      </font>
      <fill>
        <patternFill patternType="solid">
          <fgColor rgb="FFDCE6F1"/>
          <bgColor rgb="FFDCE6F1"/>
        </patternFill>
      </fill>
      <border>
        <left/>
        <right/>
        <top style="thin">
          <color rgb="FF95B3D7"/>
        </top>
        <bottom style="thin">
          <color rgb="FF95B3D7"/>
        </bottom>
        <diagonal/>
      </border>
    </dxf>
    <dxf>
      <fill>
        <patternFill patternType="solid">
          <fgColor rgb="FFDCE6F1"/>
          <bgColor rgb="FFDCE6F1"/>
        </patternFill>
      </fill>
    </dxf>
    <dxf>
      <fill>
        <patternFill patternType="solid">
          <fgColor rgb="FFDCE6F1"/>
          <bgColor rgb="FFDCE6F1"/>
        </patternFill>
      </fill>
    </dxf>
    <dxf>
      <font>
        <b/>
        <color rgb="FF000000"/>
      </font>
      <border>
        <left/>
        <right/>
        <top style="thin">
          <color rgb="FF4F81BD"/>
        </top>
        <bottom style="thin">
          <color rgb="FF4F81BD"/>
        </bottom>
        <diagonal/>
      </border>
    </dxf>
    <dxf>
      <font>
        <b/>
        <color rgb="FF000000"/>
      </font>
    </dxf>
    <dxf>
      <font>
        <color rgb="FF000000"/>
      </font>
      <border>
        <left/>
        <right/>
        <top/>
        <bottom style="thin">
          <color rgb="FF95B3D7"/>
        </bottom>
        <diagonal/>
      </border>
    </dxf>
    <dxf>
      <font>
        <color rgb="FF000000"/>
      </font>
    </dxf>
    <dxf>
      <font>
        <b/>
      </font>
      <fill>
        <patternFill patternType="solid">
          <fgColor rgb="FFDCE6F1"/>
          <bgColor rgb="FFDCE6F1"/>
        </patternFill>
      </fill>
      <border>
        <left/>
        <right/>
        <top/>
        <bottom style="thin">
          <color rgb="FF95B3D7"/>
        </bottom>
        <diagonal/>
      </border>
    </dxf>
    <dxf>
      <fill>
        <patternFill patternType="solid">
          <fgColor rgb="FFDCE6F1"/>
          <bgColor rgb="FFDCE6F1"/>
        </patternFill>
      </fill>
      <border>
        <left/>
        <right/>
        <top/>
        <bottom style="thin">
          <color rgb="FF95B3D7"/>
        </bottom>
        <diagonal/>
      </border>
    </dxf>
  </dxfs>
  <tableStyles defaultTableStyle="TableStyleMedium2" defaultPivotStyle="PivotStylePreset2_Accent1 1" count="1">
    <tableStyle name="PivotStylePreset2_Accent1 1" table="0" count="10">
      <tableStyleElement type="headerRow" dxfId="17"/>
      <tableStyleElement type="totalRow" dxfId="18"/>
      <tableStyleElement type="firstRowStripe" dxfId="19"/>
      <tableStyleElement type="firstColumnStripe" dxfId="20"/>
      <tableStyleElement type="firstSubtotalRow" dxfId="21"/>
      <tableStyleElement type="secondSubtotalRow" dxfId="22"/>
      <tableStyleElement type="firstRowSubheading" dxfId="23"/>
      <tableStyleElement type="secondRowSubheading" dxfId="24"/>
      <tableStyleElement type="pageFieldLabels" dxfId="25"/>
      <tableStyleElement type="pageFieldValues" dxfId="26"/>
    </tableStyle>
  </table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www.wps.cn/officeDocument/2020/cellImage" Target="cellimages.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37</xdr:row>
      <xdr:rowOff>0</xdr:rowOff>
    </xdr:from>
    <xdr:to>
      <xdr:col>12</xdr:col>
      <xdr:colOff>310138</xdr:colOff>
      <xdr:row>45</xdr:row>
      <xdr:rowOff>0</xdr:rowOff>
    </xdr:to>
    <xdr:pic>
      <xdr:nvPicPr>
        <xdr:cNvPr id="2" name="图片 2" descr=" "/>
        <xdr:cNvPicPr/>
      </xdr:nvPicPr>
      <xdr:blipFill>
        <a:blip xmlns:r="http://schemas.openxmlformats.org/officeDocument/2006/relationships" r:embed="rId1"/>
        <a:srcRect/>
        <a:stretch>
          <a:fillRect/>
        </a:stretch>
      </xdr:blipFill>
      <xdr:spPr>
        <a:xfrm>
          <a:off x="0" y="7344410"/>
          <a:ext cx="8666480" cy="1572895"/>
        </a:xfrm>
        <a:prstGeom prst="rect">
          <a:avLst/>
        </a:prstGeom>
        <a:noFill/>
        <a:ln w="9525" cap="flat" cmpd="sng">
          <a:noFill/>
          <a:prstDash val="solid"/>
          <a:miter/>
        </a:ln>
        <a:effectLst/>
      </xdr:spPr>
    </xdr:pic>
    <xdr:clientData/>
  </xdr:twoCellAnchor>
  <xdr:twoCellAnchor>
    <xdr:from>
      <xdr:col>0</xdr:col>
      <xdr:colOff>10809</xdr:colOff>
      <xdr:row>35</xdr:row>
      <xdr:rowOff>0</xdr:rowOff>
    </xdr:from>
    <xdr:to>
      <xdr:col>1</xdr:col>
      <xdr:colOff>496507</xdr:colOff>
      <xdr:row>37</xdr:row>
      <xdr:rowOff>0</xdr:rowOff>
    </xdr:to>
    <xdr:pic>
      <xdr:nvPicPr>
        <xdr:cNvPr id="3" name="图片 3" descr=" "/>
        <xdr:cNvPicPr/>
      </xdr:nvPicPr>
      <xdr:blipFill>
        <a:blip xmlns:r="http://schemas.openxmlformats.org/officeDocument/2006/relationships" r:embed="rId2"/>
        <a:srcRect/>
        <a:stretch>
          <a:fillRect/>
        </a:stretch>
      </xdr:blipFill>
      <xdr:spPr>
        <a:xfrm>
          <a:off x="28575" y="6936105"/>
          <a:ext cx="1161415" cy="471170"/>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dimension ref="A1:AI74"/>
  <sheetViews>
    <sheetView workbookViewId="0">
      <selection activeCell="O24" sqref="O24"/>
    </sheetView>
  </sheetViews>
  <sheetFormatPr defaultRowHeight="15.6" defaultColWidth="9"/>
  <cols>
    <col min="2" max="2" customWidth="1" width="10.5" style="0"/>
  </cols>
  <sheetData>
    <row r="1" spans="8:8">
      <c r="A1" s="1" t="s">
        <v>0</v>
      </c>
      <c r="B1" s="1"/>
      <c r="C1" s="1"/>
      <c r="D1" s="1"/>
      <c r="E1" s="1"/>
      <c r="F1" s="1"/>
      <c r="G1" s="1"/>
      <c r="H1" s="1"/>
      <c r="I1" s="1"/>
      <c r="J1" s="1"/>
      <c r="K1" s="1"/>
    </row>
    <row r="2" spans="8:8">
      <c r="A2" s="1"/>
      <c r="B2" s="1"/>
      <c r="C2" s="1"/>
      <c r="D2" s="1"/>
      <c r="E2" s="1"/>
      <c r="F2" s="1"/>
      <c r="G2" s="1"/>
      <c r="H2" s="1"/>
      <c r="I2" s="1"/>
      <c r="J2" s="1"/>
      <c r="K2" s="1"/>
    </row>
    <row r="3" spans="8:8">
      <c r="A3" s="1"/>
      <c r="B3" s="1"/>
      <c r="C3" s="1"/>
      <c r="D3" s="1"/>
      <c r="E3" s="1"/>
      <c r="F3" s="1"/>
      <c r="G3" s="1"/>
      <c r="H3" s="1"/>
      <c r="I3" s="1"/>
      <c r="J3" s="1"/>
      <c r="K3" s="1"/>
    </row>
    <row r="4" spans="8:8">
      <c r="A4" s="1"/>
      <c r="B4" s="1"/>
      <c r="C4" s="1"/>
      <c r="D4" s="1"/>
      <c r="E4" s="1"/>
      <c r="F4" s="1"/>
      <c r="G4" s="1"/>
      <c r="H4" s="1"/>
      <c r="I4" s="1"/>
      <c r="J4" s="1"/>
      <c r="K4" s="1"/>
    </row>
    <row r="5" spans="8:8">
      <c r="A5" s="1"/>
      <c r="B5" s="1"/>
      <c r="C5" s="1"/>
      <c r="D5" s="1"/>
      <c r="E5" s="1"/>
      <c r="F5" s="1"/>
      <c r="G5" s="1"/>
      <c r="H5" s="1"/>
      <c r="I5" s="1"/>
      <c r="J5" s="1"/>
      <c r="K5" s="1"/>
    </row>
    <row r="7" spans="8:8" ht="15.75" customHeight="1">
      <c r="A7" s="2" t="s">
        <v>1</v>
      </c>
    </row>
    <row r="8" spans="8:8">
      <c r="A8">
        <v>5.0</v>
      </c>
      <c r="B8" t="s">
        <v>2</v>
      </c>
    </row>
    <row r="9" spans="8:8">
      <c r="B9" t="s">
        <v>3</v>
      </c>
    </row>
    <row r="10" spans="8:8">
      <c r="B10" t="s">
        <v>4</v>
      </c>
    </row>
    <row r="11" spans="8:8">
      <c r="A11" s="3">
        <v>5.1</v>
      </c>
      <c r="B11" s="3" t="s">
        <v>5</v>
      </c>
    </row>
    <row r="12" spans="8:8">
      <c r="A12" s="4">
        <v>5.2</v>
      </c>
      <c r="B12" t="s">
        <v>6</v>
      </c>
    </row>
    <row r="13" spans="8:8">
      <c r="A13" s="4"/>
      <c r="B13" t="s">
        <v>7</v>
      </c>
    </row>
    <row r="14" spans="8:8">
      <c r="A14" s="4">
        <v>5.3</v>
      </c>
      <c r="B14" s="5" t="s">
        <v>8</v>
      </c>
    </row>
    <row r="15" spans="8:8">
      <c r="A15" s="4"/>
      <c r="B15" t="s">
        <v>9</v>
      </c>
    </row>
    <row r="16" spans="8:8">
      <c r="A16" s="4">
        <v>5.31</v>
      </c>
      <c r="B16" t="s">
        <v>10</v>
      </c>
    </row>
    <row r="17" spans="8:8">
      <c r="A17" s="4"/>
      <c r="B17" t="s">
        <v>11</v>
      </c>
    </row>
    <row r="18" spans="8:8">
      <c r="A18">
        <v>5.4</v>
      </c>
      <c r="B18" s="6" t="s">
        <v>12</v>
      </c>
    </row>
    <row r="19" spans="8:8">
      <c r="B19" t="s">
        <v>13</v>
      </c>
    </row>
    <row r="20" spans="8:8">
      <c r="A20">
        <v>5.5</v>
      </c>
      <c r="B20" t="s">
        <v>14</v>
      </c>
    </row>
    <row r="21" spans="8:8">
      <c r="B21" t="s">
        <v>15</v>
      </c>
    </row>
    <row r="22" spans="8:8">
      <c r="B22" t="s">
        <v>16</v>
      </c>
    </row>
    <row r="23" spans="8:8">
      <c r="A23">
        <v>5.51</v>
      </c>
      <c r="B23" s="7" t="s">
        <v>17</v>
      </c>
    </row>
    <row r="24" spans="8:8">
      <c r="B24" s="7" t="s">
        <v>18</v>
      </c>
    </row>
    <row r="25" spans="8:8">
      <c r="A25" s="8">
        <v>6.0</v>
      </c>
      <c r="B25" s="9" t="s">
        <v>19</v>
      </c>
    </row>
    <row r="26" spans="8:8">
      <c r="A26" s="8"/>
      <c r="B26" s="9" t="s">
        <v>20</v>
      </c>
    </row>
    <row r="27" spans="8:8">
      <c r="A27" s="7"/>
      <c r="B27" s="9" t="s">
        <v>21</v>
      </c>
    </row>
    <row r="28" spans="8:8">
      <c r="A28" s="7"/>
      <c r="B28" s="9" t="s">
        <v>22</v>
      </c>
    </row>
    <row r="29" spans="8:8">
      <c r="A29" s="7"/>
      <c r="B29" s="9" t="s">
        <v>23</v>
      </c>
    </row>
    <row r="30" spans="8:8">
      <c r="A30" s="7"/>
      <c r="B30" s="9" t="s">
        <v>24</v>
      </c>
    </row>
    <row r="31" spans="8:8">
      <c r="A31" s="7">
        <v>6.01</v>
      </c>
      <c r="B31" s="10" t="s">
        <v>25</v>
      </c>
    </row>
    <row r="32" spans="8:8">
      <c r="B32" t="s">
        <v>26</v>
      </c>
    </row>
    <row r="34" spans="8:8">
      <c r="A34" s="11" t="s">
        <v>27</v>
      </c>
      <c r="B34" s="11"/>
      <c r="C34" s="11"/>
      <c r="D34" s="11"/>
      <c r="E34" s="11"/>
      <c r="F34" s="11"/>
      <c r="G34" s="11"/>
    </row>
    <row r="35" spans="8:8">
      <c r="A35" s="11"/>
      <c r="B35" s="11"/>
      <c r="C35" s="11"/>
      <c r="D35" s="11"/>
      <c r="E35" s="11"/>
      <c r="F35" s="11"/>
      <c r="G35" s="11"/>
    </row>
    <row r="39" spans="8:8">
      <c r="A39" t="s">
        <v>28</v>
      </c>
    </row>
    <row r="40" spans="8:8">
      <c r="A40" s="2"/>
      <c r="B40" s="2"/>
    </row>
    <row r="41" spans="8:8">
      <c r="A41" s="2"/>
      <c r="B41" s="2"/>
    </row>
    <row r="42" spans="8:8">
      <c r="A42" s="2"/>
      <c r="B42" s="2"/>
    </row>
    <row r="43" spans="8:8">
      <c r="A43" s="2"/>
      <c r="B43" s="2"/>
    </row>
    <row r="62" spans="8:8">
      <c r="A62" s="2" t="s">
        <v>29</v>
      </c>
    </row>
    <row r="63" spans="8:8">
      <c r="A63" s="2" t="s">
        <v>30</v>
      </c>
    </row>
    <row r="64" spans="8:8">
      <c r="A64" s="2"/>
    </row>
    <row r="65" spans="8:8">
      <c r="A65" s="2" t="s">
        <v>31</v>
      </c>
    </row>
    <row r="66" spans="8:8">
      <c r="A66" s="9" t="s">
        <v>32</v>
      </c>
      <c r="B66">
        <v>3.10690935E8</v>
      </c>
    </row>
    <row r="71" spans="8:8">
      <c r="C71" s="2"/>
      <c r="D71" s="2"/>
    </row>
    <row r="72" spans="8:8">
      <c r="C72" s="2"/>
      <c r="D72" s="2"/>
    </row>
    <row r="73" spans="8:8">
      <c r="C73" s="2"/>
      <c r="D73" s="2"/>
    </row>
    <row r="74" spans="8:8">
      <c r="C74" s="2"/>
      <c r="D74" s="2"/>
    </row>
  </sheetData>
  <mergeCells count="5">
    <mergeCell ref="A12:A13"/>
    <mergeCell ref="A16:A17"/>
    <mergeCell ref="A25:A26"/>
    <mergeCell ref="A34:G35"/>
    <mergeCell ref="A1:K5"/>
  </mergeCells>
  <pageMargins left="0.75" right="0.75" top="1.0" bottom="1.0" header="0.511805555555556" footer="0.511805555555556"/>
  <drawing r:id="rId1"/>
</worksheet>
</file>

<file path=xl/worksheets/sheet2.xml><?xml version="1.0" encoding="utf-8"?>
<worksheet xmlns:r="http://schemas.openxmlformats.org/officeDocument/2006/relationships" xmlns="http://schemas.openxmlformats.org/spreadsheetml/2006/main">
  <dimension ref="A1:BD122"/>
  <sheetViews>
    <sheetView tabSelected="1" workbookViewId="0" topLeftCell="B22" showGridLines="0" zoomScale="45">
      <selection activeCell="M24" sqref="M24:T26"/>
    </sheetView>
  </sheetViews>
  <sheetFormatPr defaultRowHeight="17.4" defaultColWidth="9"/>
  <cols>
    <col min="1" max="1" customWidth="1" width="5.5390625" style="12"/>
    <col min="2" max="21" customWidth="1" width="9.0" style="12"/>
    <col min="22" max="16384" customWidth="0" width="9.0" style="12"/>
  </cols>
  <sheetData>
    <row r="1" spans="8:8" ht="15.6" customHeight="1">
      <c r="B1" s="13"/>
      <c r="C1" s="13"/>
      <c r="D1" s="14"/>
      <c r="P1" s="15"/>
      <c r="Q1" s="16"/>
      <c r="R1" s="16"/>
      <c r="S1" s="16"/>
      <c r="T1" s="16"/>
    </row>
    <row r="2" spans="8:8" ht="15.6" customHeight="1">
      <c r="A2" s="17"/>
      <c r="B2" s="18" t="s">
        <v>33</v>
      </c>
      <c r="C2" s="19"/>
      <c r="D2" s="20"/>
      <c r="E2" s="21" t="s">
        <v>34</v>
      </c>
      <c r="F2" s="22"/>
      <c r="G2" s="23"/>
      <c r="H2" s="24" t="s">
        <v>35</v>
      </c>
      <c r="I2" s="22"/>
      <c r="J2" s="23"/>
      <c r="K2" s="25" t="s">
        <v>36</v>
      </c>
      <c r="L2" s="26" t="s">
        <v>37</v>
      </c>
      <c r="M2" s="27"/>
      <c r="N2" s="27"/>
      <c r="O2" s="28"/>
      <c r="P2" s="16"/>
      <c r="Q2" s="16"/>
      <c r="R2" s="16"/>
      <c r="S2" s="16"/>
      <c r="T2" s="16"/>
      <c r="V2" s="29"/>
    </row>
    <row r="3" spans="8:8" ht="15.6" customHeight="1">
      <c r="B3" s="30" t="str">
        <f>角色經歷!E15</f>
        <v>秩序-善</v>
      </c>
      <c r="C3" s="31"/>
      <c r="D3" s="32"/>
      <c r="E3" s="33"/>
      <c r="F3" s="34"/>
      <c r="G3" s="35"/>
      <c r="H3" s="36"/>
      <c r="I3" s="37"/>
      <c r="J3" s="38"/>
      <c r="K3" s="39">
        <f>12+VLOOKUP(C18,'（调卡用表）'!P3:Q7,2,0)</f>
        <v>24.0</v>
      </c>
      <c r="L3" s="40" t="s">
        <v>38</v>
      </c>
      <c r="M3" s="41"/>
      <c r="N3" s="42" t="str">
        <f>F9</f>
        <v>异能者</v>
      </c>
      <c r="O3" s="43"/>
      <c r="P3" s="16"/>
      <c r="Q3" s="16"/>
      <c r="R3" s="16"/>
      <c r="S3" s="16"/>
      <c r="T3" s="16"/>
    </row>
    <row r="4" spans="8:8" ht="15.6" customHeight="1">
      <c r="B4" s="44"/>
      <c r="C4" s="45"/>
      <c r="D4" s="46"/>
      <c r="E4" s="47"/>
      <c r="F4" s="48"/>
      <c r="G4" s="49"/>
      <c r="H4" s="50"/>
      <c r="I4" s="51"/>
      <c r="J4" s="52"/>
      <c r="K4" s="53"/>
      <c r="L4" s="54" t="s">
        <v>39</v>
      </c>
      <c r="M4" s="55"/>
      <c r="N4" s="56" t="str">
        <f>F10</f>
        <v>宝菌传承者 </v>
      </c>
      <c r="O4" s="57"/>
      <c r="P4" s="16"/>
      <c r="Q4" s="16"/>
      <c r="R4" s="16"/>
      <c r="S4" s="16"/>
      <c r="T4" s="16"/>
    </row>
    <row r="5" spans="8:8" ht="15.6" customHeight="1">
      <c r="B5" s="58" t="s">
        <v>40</v>
      </c>
      <c r="C5" s="59"/>
      <c r="D5" s="60"/>
      <c r="E5" s="47"/>
      <c r="F5" s="48"/>
      <c r="G5" s="49"/>
      <c r="H5" s="50"/>
      <c r="I5" s="51"/>
      <c r="J5" s="52"/>
      <c r="K5" s="25" t="s">
        <v>41</v>
      </c>
      <c r="L5" s="40" t="s">
        <v>33</v>
      </c>
      <c r="M5" s="41"/>
      <c r="N5" s="42" t="str">
        <f>角色經歷!E15</f>
        <v>秩序-善</v>
      </c>
      <c r="O5" s="43"/>
      <c r="P5" s="16"/>
      <c r="Q5" s="16"/>
      <c r="R5" s="16"/>
      <c r="S5" s="16"/>
      <c r="T5" s="16"/>
    </row>
    <row r="6" spans="8:8" ht="15.6" customHeight="1">
      <c r="B6" s="61"/>
      <c r="C6" s="62"/>
      <c r="D6" s="62"/>
      <c r="E6" s="47"/>
      <c r="F6" s="48"/>
      <c r="G6" s="49"/>
      <c r="H6" s="50"/>
      <c r="I6" s="51"/>
      <c r="J6" s="52"/>
      <c r="K6" s="39">
        <f>K3-IF(J19&gt;0,K9,K9-J19/20)</f>
        <v>5.0</v>
      </c>
      <c r="L6" s="54" t="s">
        <v>42</v>
      </c>
      <c r="M6" s="55"/>
      <c r="N6" s="56" t="str">
        <f>F11</f>
        <v>人型</v>
      </c>
      <c r="O6" s="57">
        <f>G11</f>
        <v>0.0</v>
      </c>
      <c r="P6" s="16"/>
      <c r="Q6" s="16"/>
    </row>
    <row r="7" spans="8:8" ht="15.6" customHeight="1">
      <c r="B7" s="63"/>
      <c r="C7" s="64"/>
      <c r="D7" s="65"/>
      <c r="E7" s="47"/>
      <c r="F7" s="48"/>
      <c r="G7" s="49"/>
      <c r="H7" s="50"/>
      <c r="I7" s="51"/>
      <c r="J7" s="52"/>
      <c r="K7" s="66"/>
      <c r="L7" s="54"/>
      <c r="M7" s="55"/>
      <c r="N7" s="56">
        <f>F12</f>
        <v>0.0</v>
      </c>
      <c r="O7" s="57">
        <f>G12</f>
        <v>0.0</v>
      </c>
      <c r="P7" s="16"/>
      <c r="Q7" s="16"/>
    </row>
    <row r="8" spans="8:8" ht="15.6" customHeight="1">
      <c r="B8" s="63"/>
      <c r="C8" s="64"/>
      <c r="D8" s="65"/>
      <c r="E8" s="67"/>
      <c r="F8" s="68"/>
      <c r="G8" s="69"/>
      <c r="H8" s="50"/>
      <c r="I8" s="51"/>
      <c r="J8" s="52"/>
      <c r="K8" s="25" t="s">
        <v>43</v>
      </c>
      <c r="L8" s="40" t="s">
        <v>44</v>
      </c>
      <c r="M8" s="41"/>
      <c r="N8" s="42" t="str">
        <f>角色經歷!C12</f>
        <v>男</v>
      </c>
      <c r="O8" s="43"/>
      <c r="P8" s="16"/>
      <c r="Q8" s="16"/>
    </row>
    <row r="9" spans="8:8" ht="15.6" customHeight="1">
      <c r="B9" s="63"/>
      <c r="C9" s="64"/>
      <c r="D9" s="65"/>
      <c r="E9" s="70" t="s">
        <v>45</v>
      </c>
      <c r="F9" s="71" t="s">
        <v>165</v>
      </c>
      <c r="G9" s="72"/>
      <c r="H9" s="73"/>
      <c r="I9" s="51"/>
      <c r="J9" s="52"/>
      <c r="K9" s="39">
        <f>J21+AE30+AE37+J49+J58+J67+T21+T30+T39+T49+T58+T67+K12</f>
        <v>19.0</v>
      </c>
      <c r="L9" s="74" t="s">
        <v>47</v>
      </c>
      <c r="M9" s="75"/>
      <c r="N9" s="76" t="str">
        <f>F13</f>
        <v>通常</v>
      </c>
      <c r="O9" s="77"/>
      <c r="P9" s="16"/>
      <c r="Q9" s="16"/>
    </row>
    <row r="10" spans="8:8" ht="15.6" customHeight="1">
      <c r="B10" s="63"/>
      <c r="C10" s="64"/>
      <c r="D10" s="65"/>
      <c r="E10" s="78" t="s">
        <v>48</v>
      </c>
      <c r="F10" s="79" t="s">
        <v>353</v>
      </c>
      <c r="G10" s="80"/>
      <c r="H10" s="73"/>
      <c r="I10" s="51"/>
      <c r="J10" s="52"/>
      <c r="K10" s="66"/>
      <c r="L10" s="81" t="s">
        <v>49</v>
      </c>
      <c r="M10" s="82"/>
      <c r="N10" s="82"/>
      <c r="O10" s="83"/>
      <c r="P10" s="16"/>
      <c r="Q10" s="16"/>
    </row>
    <row r="11" spans="8:8" ht="15.6" customHeight="1">
      <c r="B11" s="63"/>
      <c r="C11" s="64"/>
      <c r="D11" s="65"/>
      <c r="E11" s="84" t="s">
        <v>42</v>
      </c>
      <c r="F11" s="85" t="s">
        <v>50</v>
      </c>
      <c r="G11" s="86"/>
      <c r="H11" s="73"/>
      <c r="I11" s="51"/>
      <c r="J11" s="52"/>
      <c r="K11" s="87" t="s">
        <v>51</v>
      </c>
      <c r="L11" s="88" t="s">
        <v>52</v>
      </c>
      <c r="M11" s="89"/>
      <c r="N11" s="90"/>
      <c r="O11" s="91"/>
      <c r="P11" s="16"/>
      <c r="Q11" s="16"/>
      <c r="R11" s="16"/>
      <c r="S11" s="16"/>
      <c r="T11" s="16"/>
    </row>
    <row r="12" spans="8:8" ht="15.6" customHeight="1">
      <c r="B12" s="63"/>
      <c r="C12" s="64"/>
      <c r="D12" s="65"/>
      <c r="E12" s="92"/>
      <c r="F12" s="85"/>
      <c r="G12" s="86"/>
      <c r="H12" s="73"/>
      <c r="I12" s="51"/>
      <c r="J12" s="52"/>
      <c r="K12" s="93">
        <f>H21+AC30+AC37+H49+H58+H67+R21+R30+R39+R49+R58+R67</f>
        <v>4.0</v>
      </c>
      <c r="L12" s="94"/>
      <c r="M12" s="95"/>
      <c r="N12" s="96"/>
      <c r="O12" s="97"/>
      <c r="P12" s="16"/>
      <c r="Q12" s="16"/>
      <c r="R12" s="16"/>
      <c r="S12" s="16"/>
      <c r="T12" s="16"/>
    </row>
    <row r="13" spans="8:8" ht="15.6" customHeight="1">
      <c r="B13" s="63"/>
      <c r="C13" s="64"/>
      <c r="D13" s="65"/>
      <c r="E13" s="98" t="s">
        <v>47</v>
      </c>
      <c r="F13" s="99" t="s">
        <v>53</v>
      </c>
      <c r="G13" s="100"/>
      <c r="H13" s="73"/>
      <c r="I13" s="51"/>
      <c r="J13" s="52"/>
      <c r="K13" s="101"/>
      <c r="L13" s="102" t="s">
        <v>54</v>
      </c>
      <c r="M13" s="103"/>
      <c r="N13" s="103"/>
      <c r="O13" s="103"/>
      <c r="P13" s="104"/>
      <c r="Q13" s="103"/>
      <c r="R13" s="103"/>
      <c r="S13" s="103"/>
      <c r="T13" s="105"/>
    </row>
    <row r="14" spans="8:8" ht="15.6" customHeight="1">
      <c r="B14" s="106"/>
      <c r="C14" s="107"/>
      <c r="D14" s="107"/>
      <c r="E14" s="108" t="s">
        <v>55</v>
      </c>
      <c r="F14" s="109"/>
      <c r="G14" s="110"/>
      <c r="H14" s="111"/>
      <c r="I14" s="112"/>
      <c r="J14" s="113"/>
      <c r="K14" s="114"/>
      <c r="L14" s="115" t="s">
        <v>56</v>
      </c>
      <c r="M14" s="37"/>
      <c r="N14" s="37"/>
      <c r="O14" s="116" t="s">
        <v>57</v>
      </c>
      <c r="P14" s="37"/>
      <c r="Q14" s="37"/>
      <c r="R14" s="37"/>
      <c r="S14" s="37"/>
      <c r="T14" s="38"/>
    </row>
    <row r="15" spans="8:8" ht="15.6" customHeight="1">
      <c r="A15" s="17"/>
      <c r="B15" s="117" t="s">
        <v>58</v>
      </c>
      <c r="C15" s="118" t="s">
        <v>59</v>
      </c>
      <c r="D15" s="118" t="s">
        <v>60</v>
      </c>
      <c r="E15" s="118" t="s">
        <v>61</v>
      </c>
      <c r="F15" s="118" t="s">
        <v>62</v>
      </c>
      <c r="G15" s="118" t="s">
        <v>63</v>
      </c>
      <c r="H15" s="118" t="s">
        <v>64</v>
      </c>
      <c r="I15" s="118" t="s">
        <v>65</v>
      </c>
      <c r="J15" s="119" t="s">
        <v>66</v>
      </c>
      <c r="K15" s="120"/>
      <c r="L15" s="121"/>
      <c r="M15" s="51"/>
      <c r="N15" s="51"/>
      <c r="O15" s="122"/>
      <c r="P15" s="51"/>
      <c r="Q15" s="51"/>
      <c r="R15" s="51"/>
      <c r="S15" s="51"/>
      <c r="T15" s="52"/>
    </row>
    <row r="16" spans="8:8" ht="15.6" customHeight="1">
      <c r="A16" s="17"/>
      <c r="B16" s="123" t="s">
        <v>67</v>
      </c>
      <c r="C16" s="124">
        <f t="shared" si="0" ref="C16:I16">C17+C18+C19</f>
        <v>50.0</v>
      </c>
      <c r="D16" s="124">
        <f t="shared" si="0"/>
        <v>5.0</v>
      </c>
      <c r="E16" s="124">
        <f t="shared" si="0"/>
        <v>10.0</v>
      </c>
      <c r="F16" s="124">
        <f t="shared" si="0"/>
        <v>5.0</v>
      </c>
      <c r="G16" s="124">
        <f t="shared" si="0"/>
        <v>10.0</v>
      </c>
      <c r="H16" s="124">
        <f t="shared" si="0"/>
        <v>40.0</v>
      </c>
      <c r="I16" s="125">
        <f t="shared" si="0"/>
        <v>80.0</v>
      </c>
      <c r="J16" s="126">
        <v>80.0</v>
      </c>
      <c r="K16" s="127"/>
      <c r="L16" s="121" t="s">
        <v>68</v>
      </c>
      <c r="M16" s="51" t="s">
        <v>69</v>
      </c>
      <c r="N16" s="51"/>
      <c r="O16" s="51"/>
      <c r="P16" s="51"/>
      <c r="Q16" s="51"/>
      <c r="R16" s="51"/>
      <c r="S16" s="51"/>
      <c r="T16" s="52"/>
    </row>
    <row r="17" spans="8:8" ht="15.6" customHeight="1">
      <c r="A17" s="17"/>
      <c r="B17" s="128" t="s">
        <v>38</v>
      </c>
      <c r="C17" s="129"/>
      <c r="D17" s="130">
        <f>VLOOKUP(F9,'（调卡用表）'!B3:H13,2,0)</f>
        <v>0.0</v>
      </c>
      <c r="E17" s="131">
        <f>VLOOKUP(F9,'（调卡用表）'!B3:H13,3,0)</f>
        <v>0.0</v>
      </c>
      <c r="F17" s="131">
        <f>VLOOKUP(F9,'（调卡用表）'!B3:H13,4,0)</f>
        <v>0.0</v>
      </c>
      <c r="G17" s="131">
        <f>VLOOKUP(F9,'（调卡用表）'!B3:H13,5,0)</f>
        <v>10.0</v>
      </c>
      <c r="H17" s="132">
        <f>VLOOKUP(F9,'（调卡用表）'!B3:H13,6,0)</f>
        <v>30.0</v>
      </c>
      <c r="I17" s="132" t="str">
        <f>VLOOKUP(F9,'（调卡用表）'!B3:I13,7,0)</f>
        <v>10</v>
      </c>
      <c r="J17" s="133">
        <f>D17+E17+F17+G17+H17+I17</f>
        <v>50.0</v>
      </c>
      <c r="K17" s="134"/>
      <c r="L17" s="121"/>
      <c r="M17" s="51"/>
      <c r="N17" s="51"/>
      <c r="O17" s="51"/>
      <c r="P17" s="51"/>
      <c r="Q17" s="51"/>
      <c r="R17" s="51"/>
      <c r="S17" s="51"/>
      <c r="T17" s="52"/>
    </row>
    <row r="18" spans="8:8" ht="15.6" customHeight="1">
      <c r="A18" s="17"/>
      <c r="B18" s="123" t="s">
        <v>70</v>
      </c>
      <c r="C18" s="79">
        <v>40.0</v>
      </c>
      <c r="D18" s="135">
        <v>5.0</v>
      </c>
      <c r="E18" s="136">
        <v>10.0</v>
      </c>
      <c r="F18" s="136">
        <v>5.0</v>
      </c>
      <c r="G18" s="137"/>
      <c r="H18" s="79">
        <v>10.0</v>
      </c>
      <c r="I18" s="79">
        <v>50.0</v>
      </c>
      <c r="J18" s="138" t="s">
        <v>71</v>
      </c>
      <c r="K18" s="134"/>
      <c r="L18" s="121"/>
      <c r="M18" s="51"/>
      <c r="N18" s="51"/>
      <c r="O18" s="51"/>
      <c r="P18" s="51"/>
      <c r="Q18" s="51"/>
      <c r="R18" s="51"/>
      <c r="S18" s="51"/>
      <c r="T18" s="52"/>
    </row>
    <row r="19" spans="8:8" ht="15.6" customHeight="1">
      <c r="A19" s="17"/>
      <c r="B19" s="139" t="s">
        <v>72</v>
      </c>
      <c r="C19" s="140">
        <v>10.0</v>
      </c>
      <c r="D19" s="141"/>
      <c r="E19" s="142"/>
      <c r="F19" s="142"/>
      <c r="G19" s="142"/>
      <c r="H19" s="142"/>
      <c r="I19" s="142">
        <v>20.0</v>
      </c>
      <c r="J19" s="143">
        <f>J16-SUM(D18:I18)</f>
        <v>0.0</v>
      </c>
      <c r="K19" s="144"/>
      <c r="L19" s="145"/>
      <c r="M19" s="112"/>
      <c r="N19" s="112"/>
      <c r="O19" s="112"/>
      <c r="P19" s="112"/>
      <c r="Q19" s="112"/>
      <c r="R19" s="112"/>
      <c r="S19" s="112"/>
      <c r="T19" s="113"/>
    </row>
    <row r="20" spans="8:8" ht="15.6" customHeight="1">
      <c r="B20" s="146" t="s">
        <v>73</v>
      </c>
      <c r="C20" s="147"/>
      <c r="D20" s="147"/>
      <c r="E20" s="147"/>
      <c r="F20" s="148"/>
      <c r="G20" s="147"/>
      <c r="H20" s="147"/>
      <c r="I20" s="147"/>
      <c r="J20" s="149"/>
      <c r="L20" s="150" t="s">
        <v>74</v>
      </c>
      <c r="M20" s="151"/>
      <c r="N20" s="152"/>
      <c r="O20" s="152"/>
      <c r="P20" s="152"/>
      <c r="Q20" s="152"/>
      <c r="R20" s="152"/>
      <c r="S20" s="152"/>
      <c r="T20" s="153"/>
    </row>
    <row r="21" spans="8:8" ht="15.6" customHeight="1">
      <c r="B21" s="154" t="s">
        <v>75</v>
      </c>
      <c r="C21" s="155" t="s">
        <v>354</v>
      </c>
      <c r="D21" s="155"/>
      <c r="E21" s="156" t="s">
        <v>76</v>
      </c>
      <c r="F21" s="157" t="s">
        <v>369</v>
      </c>
      <c r="G21" s="158" t="s">
        <v>51</v>
      </c>
      <c r="H21" s="159"/>
      <c r="I21" s="158" t="s">
        <v>77</v>
      </c>
      <c r="J21" s="160"/>
      <c r="L21" s="161" t="s">
        <v>75</v>
      </c>
      <c r="M21" s="155" t="s">
        <v>403</v>
      </c>
      <c r="N21" s="155"/>
      <c r="O21" s="162" t="s">
        <v>59</v>
      </c>
      <c r="P21" s="157" t="s">
        <v>169</v>
      </c>
      <c r="Q21" s="163" t="s">
        <v>51</v>
      </c>
      <c r="R21" s="159"/>
      <c r="S21" s="163" t="s">
        <v>77</v>
      </c>
      <c r="T21" s="160">
        <f>_xlfn.IFNA(VLOOKUP(P21,'（调卡用表）'!$J$3:$K$33,2,0),0)</f>
        <v>4.0</v>
      </c>
    </row>
    <row r="22" spans="8:8" ht="15.6" customHeight="1">
      <c r="B22" s="164" t="s">
        <v>56</v>
      </c>
      <c r="C22" s="165"/>
      <c r="D22" s="165"/>
      <c r="E22" s="166" t="s">
        <v>78</v>
      </c>
      <c r="F22" s="167"/>
      <c r="G22" s="168" t="s">
        <v>79</v>
      </c>
      <c r="H22" s="169"/>
      <c r="I22" s="168" t="s">
        <v>80</v>
      </c>
      <c r="J22" s="170"/>
      <c r="L22" s="171" t="s">
        <v>56</v>
      </c>
      <c r="M22" s="172" t="s">
        <v>383</v>
      </c>
      <c r="N22" s="173"/>
      <c r="O22" s="174" t="s">
        <v>81</v>
      </c>
      <c r="P22" s="51" t="s">
        <v>364</v>
      </c>
      <c r="Q22" s="51"/>
      <c r="R22" s="175" t="s">
        <v>82</v>
      </c>
      <c r="S22" s="176">
        <v>3.0</v>
      </c>
      <c r="T22" s="177"/>
    </row>
    <row r="23" spans="8:8" ht="15.6" customHeight="1">
      <c r="B23" s="164"/>
      <c r="C23" s="165"/>
      <c r="D23" s="165"/>
      <c r="E23" s="156"/>
      <c r="F23" s="157"/>
      <c r="G23" s="158"/>
      <c r="H23" s="159"/>
      <c r="I23" s="158"/>
      <c r="J23" s="160"/>
      <c r="L23" s="171"/>
      <c r="M23" s="178"/>
      <c r="N23" s="179"/>
      <c r="O23" s="175" t="s">
        <v>83</v>
      </c>
      <c r="P23" s="51" t="s">
        <v>285</v>
      </c>
      <c r="Q23" s="51"/>
      <c r="R23" s="175" t="s">
        <v>78</v>
      </c>
      <c r="S23" s="176">
        <v>0.0</v>
      </c>
      <c r="T23" s="180" t="str">
        <f>IF(P23="常驻","每日","每次")</f>
        <v>每次</v>
      </c>
    </row>
    <row r="24" spans="8:8" ht="15.6" customHeight="1">
      <c r="B24" s="164" t="s">
        <v>68</v>
      </c>
      <c r="C24" s="51" t="s">
        <v>370</v>
      </c>
      <c r="D24" s="51"/>
      <c r="E24" s="51"/>
      <c r="F24" s="51"/>
      <c r="G24" s="51"/>
      <c r="H24" s="51"/>
      <c r="I24" s="51"/>
      <c r="J24" s="52"/>
      <c r="L24" s="171" t="s">
        <v>68</v>
      </c>
      <c r="M24" s="51" t="s">
        <v>404</v>
      </c>
      <c r="N24" s="51"/>
      <c r="O24" s="51"/>
      <c r="P24" s="51"/>
      <c r="Q24" s="51"/>
      <c r="R24" s="51"/>
      <c r="S24" s="51"/>
      <c r="T24" s="52"/>
    </row>
    <row r="25" spans="8:8" ht="15.6" customHeight="1">
      <c r="B25" s="164"/>
      <c r="C25" s="51"/>
      <c r="D25" s="51"/>
      <c r="E25" s="51"/>
      <c r="F25" s="51"/>
      <c r="G25" s="51"/>
      <c r="H25" s="51"/>
      <c r="I25" s="51"/>
      <c r="J25" s="52"/>
      <c r="L25" s="171"/>
      <c r="M25" s="51"/>
      <c r="N25" s="51"/>
      <c r="O25" s="51"/>
      <c r="P25" s="51"/>
      <c r="Q25" s="51"/>
      <c r="R25" s="51"/>
      <c r="S25" s="51"/>
      <c r="T25" s="52"/>
    </row>
    <row r="26" spans="8:8" ht="15.6" customHeight="1">
      <c r="B26" s="164"/>
      <c r="C26" s="51"/>
      <c r="D26" s="51"/>
      <c r="E26" s="51"/>
      <c r="F26" s="51"/>
      <c r="G26" s="51"/>
      <c r="H26" s="51"/>
      <c r="I26" s="51"/>
      <c r="J26" s="52"/>
      <c r="L26" s="171"/>
      <c r="M26" s="51"/>
      <c r="N26" s="51"/>
      <c r="O26" s="51"/>
      <c r="P26" s="51"/>
      <c r="Q26" s="51"/>
      <c r="R26" s="51"/>
      <c r="S26" s="51"/>
      <c r="T26" s="52"/>
      <c r="V26"/>
      <c r="W26"/>
      <c r="X26"/>
      <c r="Y26"/>
      <c r="Z26"/>
      <c r="AA26"/>
      <c r="AB26"/>
      <c r="AC26"/>
      <c r="AD26"/>
      <c r="AE26"/>
      <c r="AF26"/>
    </row>
    <row r="27" spans="8:8" ht="15.6" customHeight="1">
      <c r="B27" s="164" t="s">
        <v>86</v>
      </c>
      <c r="C27" s="51"/>
      <c r="D27" s="51"/>
      <c r="E27" s="51"/>
      <c r="F27" s="51"/>
      <c r="G27" s="51"/>
      <c r="H27" s="51"/>
      <c r="I27" s="51"/>
      <c r="J27" s="52"/>
      <c r="L27" s="171" t="s">
        <v>86</v>
      </c>
      <c r="M27" s="51" t="s">
        <v>402</v>
      </c>
      <c r="N27" s="51"/>
      <c r="O27" s="51"/>
      <c r="P27" s="51"/>
      <c r="Q27" s="51"/>
      <c r="R27" s="51"/>
      <c r="S27" s="51"/>
      <c r="T27" s="52"/>
      <c r="V27"/>
      <c r="W27"/>
      <c r="X27"/>
      <c r="Y27"/>
      <c r="Z27"/>
      <c r="AA27"/>
      <c r="AB27"/>
      <c r="AC27"/>
      <c r="AD27"/>
      <c r="AE27"/>
      <c r="AF27"/>
    </row>
    <row r="28" spans="8:8" ht="15.6" customHeight="1">
      <c r="B28" s="164"/>
      <c r="C28" s="51"/>
      <c r="D28" s="51"/>
      <c r="E28" s="51"/>
      <c r="F28" s="51"/>
      <c r="G28" s="51"/>
      <c r="H28" s="51"/>
      <c r="I28" s="51"/>
      <c r="J28" s="52"/>
      <c r="L28" s="171"/>
      <c r="M28" s="51"/>
      <c r="N28" s="51"/>
      <c r="O28" s="51"/>
      <c r="P28" s="51"/>
      <c r="Q28" s="51"/>
      <c r="R28" s="51"/>
      <c r="S28" s="51"/>
      <c r="T28" s="52"/>
      <c r="V28"/>
      <c r="W28"/>
      <c r="X28"/>
      <c r="Y28"/>
      <c r="Z28"/>
      <c r="AA28"/>
      <c r="AB28"/>
      <c r="AC28"/>
      <c r="AD28"/>
      <c r="AE28"/>
      <c r="AF28"/>
    </row>
    <row r="29" spans="8:8" ht="15.6" customHeight="1">
      <c r="B29" s="164"/>
      <c r="C29" s="51"/>
      <c r="D29" s="51"/>
      <c r="E29" s="51"/>
      <c r="F29" s="51"/>
      <c r="G29" s="51"/>
      <c r="H29" s="51"/>
      <c r="I29" s="51"/>
      <c r="J29" s="52"/>
      <c r="L29" s="171"/>
      <c r="M29" s="51"/>
      <c r="N29" s="51"/>
      <c r="O29" s="51"/>
      <c r="P29" s="51"/>
      <c r="Q29" s="51"/>
      <c r="R29" s="51"/>
      <c r="S29" s="51"/>
      <c r="T29" s="52"/>
      <c r="V29"/>
      <c r="W29"/>
      <c r="X29"/>
      <c r="Y29"/>
      <c r="Z29"/>
      <c r="AA29"/>
      <c r="AB29"/>
      <c r="AC29"/>
      <c r="AD29"/>
      <c r="AE29"/>
      <c r="AF29"/>
    </row>
    <row r="30" spans="8:8" ht="15.6" customHeight="1">
      <c r="B30" s="154" t="s">
        <v>75</v>
      </c>
      <c r="C30" s="155"/>
      <c r="D30" s="155"/>
      <c r="E30" s="156" t="s">
        <v>76</v>
      </c>
      <c r="F30" s="157"/>
      <c r="G30" s="158" t="s">
        <v>51</v>
      </c>
      <c r="H30" s="159"/>
      <c r="I30" s="158" t="s">
        <v>77</v>
      </c>
      <c r="J30" s="160"/>
      <c r="L30" s="171" t="s">
        <v>75</v>
      </c>
      <c r="M30" s="51"/>
      <c r="N30" s="51"/>
      <c r="O30" s="174" t="s">
        <v>59</v>
      </c>
      <c r="P30" s="181"/>
      <c r="Q30" s="175" t="s">
        <v>51</v>
      </c>
      <c r="R30" s="182">
        <v>4.0</v>
      </c>
      <c r="S30" s="175" t="s">
        <v>77</v>
      </c>
      <c r="T30" s="160">
        <f>_xlfn.IFNA(VLOOKUP(P30,'（调卡用表）'!$J$3:$K$33,2,0),0)</f>
        <v>0.0</v>
      </c>
      <c r="V30"/>
      <c r="W30"/>
      <c r="X30"/>
      <c r="Y30"/>
      <c r="Z30"/>
      <c r="AA30"/>
      <c r="AB30"/>
      <c r="AC30"/>
      <c r="AD30"/>
      <c r="AE30"/>
      <c r="AF30"/>
    </row>
    <row r="31" spans="8:8" ht="15.6" customHeight="1">
      <c r="B31" s="164" t="s">
        <v>56</v>
      </c>
      <c r="C31" s="165"/>
      <c r="D31" s="165"/>
      <c r="E31" s="166" t="s">
        <v>78</v>
      </c>
      <c r="F31" s="167"/>
      <c r="G31" s="168" t="s">
        <v>79</v>
      </c>
      <c r="H31" s="169"/>
      <c r="I31" s="168" t="s">
        <v>80</v>
      </c>
      <c r="J31" s="170"/>
      <c r="L31" s="171" t="s">
        <v>56</v>
      </c>
      <c r="M31" s="172"/>
      <c r="N31" s="173"/>
      <c r="O31" s="174" t="s">
        <v>81</v>
      </c>
      <c r="P31" s="51"/>
      <c r="Q31" s="51"/>
      <c r="R31" s="175" t="s">
        <v>82</v>
      </c>
      <c r="S31" s="176">
        <v>3.0</v>
      </c>
      <c r="T31" s="177"/>
      <c r="V31"/>
      <c r="W31"/>
      <c r="X31"/>
      <c r="Y31"/>
      <c r="Z31"/>
      <c r="AA31"/>
      <c r="AB31"/>
      <c r="AC31"/>
      <c r="AD31"/>
      <c r="AE31"/>
      <c r="AF31"/>
    </row>
    <row r="32" spans="8:8" ht="15.6" customHeight="1">
      <c r="B32" s="164"/>
      <c r="C32" s="165"/>
      <c r="D32" s="165"/>
      <c r="E32" s="156"/>
      <c r="F32" s="157"/>
      <c r="G32" s="158"/>
      <c r="H32" s="159"/>
      <c r="I32" s="158"/>
      <c r="J32" s="160"/>
      <c r="L32" s="171"/>
      <c r="M32" s="178"/>
      <c r="N32" s="179"/>
      <c r="O32" s="175" t="s">
        <v>83</v>
      </c>
      <c r="P32" s="51"/>
      <c r="Q32" s="51"/>
      <c r="R32" s="175" t="s">
        <v>78</v>
      </c>
      <c r="S32" s="176">
        <v>20.0</v>
      </c>
      <c r="T32" s="180" t="str">
        <f>IF(P32="常驻","每日","每次")</f>
        <v>每次</v>
      </c>
      <c r="V32"/>
      <c r="W32"/>
      <c r="X32"/>
      <c r="Y32"/>
      <c r="Z32"/>
      <c r="AA32"/>
      <c r="AB32"/>
      <c r="AC32"/>
      <c r="AD32"/>
      <c r="AE32"/>
      <c r="AF32"/>
    </row>
    <row r="33" spans="8:8" ht="78.65" customHeight="1">
      <c r="B33" s="164" t="s">
        <v>68</v>
      </c>
      <c r="C33" s="51" t="s">
        <v>87</v>
      </c>
      <c r="D33" s="51"/>
      <c r="E33" s="51"/>
      <c r="F33" s="51"/>
      <c r="G33" s="51"/>
      <c r="H33" s="51"/>
      <c r="I33" s="51"/>
      <c r="J33" s="52"/>
      <c r="L33" s="171" t="s">
        <v>68</v>
      </c>
      <c r="M33" s="51"/>
      <c r="N33" s="51"/>
      <c r="O33" s="51"/>
      <c r="P33" s="51"/>
      <c r="Q33" s="51"/>
      <c r="R33" s="51"/>
      <c r="S33" s="51"/>
      <c r="T33" s="52"/>
      <c r="V33"/>
      <c r="W33"/>
      <c r="X33"/>
      <c r="Y33"/>
      <c r="Z33"/>
      <c r="AA33"/>
      <c r="AB33"/>
      <c r="AC33"/>
      <c r="AD33"/>
      <c r="AE33"/>
      <c r="AF33"/>
    </row>
    <row r="34" spans="8:8" ht="15.6" customHeight="1">
      <c r="B34" s="164"/>
      <c r="C34" s="51"/>
      <c r="D34" s="51"/>
      <c r="E34" s="51"/>
      <c r="F34" s="51"/>
      <c r="G34" s="51"/>
      <c r="H34" s="51"/>
      <c r="I34" s="51"/>
      <c r="J34" s="52"/>
      <c r="L34" s="171"/>
      <c r="M34" s="51"/>
      <c r="N34" s="51"/>
      <c r="O34" s="51"/>
      <c r="P34" s="51"/>
      <c r="Q34" s="51"/>
      <c r="R34" s="51"/>
      <c r="S34" s="51"/>
      <c r="T34" s="52"/>
      <c r="V34"/>
      <c r="W34"/>
      <c r="X34"/>
      <c r="Y34"/>
      <c r="Z34"/>
      <c r="AA34"/>
      <c r="AB34"/>
      <c r="AC34"/>
      <c r="AD34"/>
      <c r="AE34"/>
      <c r="AF34"/>
    </row>
    <row r="35" spans="8:8" ht="15.6" customHeight="1">
      <c r="B35" s="164"/>
      <c r="C35" s="51"/>
      <c r="D35" s="51"/>
      <c r="E35" s="51"/>
      <c r="F35" s="51"/>
      <c r="G35" s="51"/>
      <c r="H35" s="51"/>
      <c r="I35" s="51"/>
      <c r="J35" s="52"/>
      <c r="L35" s="171"/>
      <c r="M35" s="51"/>
      <c r="N35" s="51"/>
      <c r="O35" s="51"/>
      <c r="P35" s="51"/>
      <c r="Q35" s="51"/>
      <c r="R35" s="51"/>
      <c r="S35" s="51"/>
      <c r="T35" s="52"/>
      <c r="V35"/>
      <c r="W35"/>
      <c r="X35"/>
      <c r="Y35"/>
      <c r="Z35"/>
      <c r="AA35"/>
      <c r="AB35"/>
      <c r="AC35"/>
      <c r="AD35"/>
      <c r="AE35"/>
      <c r="AF35"/>
    </row>
    <row r="36" spans="8:8" ht="15.6" customHeight="1">
      <c r="B36" s="164" t="s">
        <v>86</v>
      </c>
      <c r="C36" s="51"/>
      <c r="D36" s="51"/>
      <c r="E36" s="51"/>
      <c r="F36" s="51"/>
      <c r="G36" s="51"/>
      <c r="H36" s="51"/>
      <c r="I36" s="51"/>
      <c r="J36" s="52"/>
      <c r="L36" s="171" t="s">
        <v>86</v>
      </c>
      <c r="M36" s="51"/>
      <c r="N36" s="51"/>
      <c r="O36" s="51"/>
      <c r="P36" s="51"/>
      <c r="Q36" s="51"/>
      <c r="R36" s="51"/>
      <c r="S36" s="51"/>
      <c r="T36" s="52"/>
      <c r="V36"/>
      <c r="W36"/>
      <c r="X36"/>
      <c r="Y36"/>
      <c r="Z36"/>
      <c r="AA36"/>
      <c r="AB36"/>
      <c r="AC36"/>
      <c r="AD36"/>
      <c r="AE36"/>
      <c r="AF36"/>
    </row>
    <row r="37" spans="8:8" ht="15.6" customHeight="1">
      <c r="B37" s="164"/>
      <c r="C37" s="51"/>
      <c r="D37" s="51"/>
      <c r="E37" s="51"/>
      <c r="F37" s="51"/>
      <c r="G37" s="51"/>
      <c r="H37" s="51"/>
      <c r="I37" s="51"/>
      <c r="J37" s="52"/>
      <c r="L37" s="171"/>
      <c r="M37" s="51"/>
      <c r="N37" s="51"/>
      <c r="O37" s="51"/>
      <c r="P37" s="51"/>
      <c r="Q37" s="51"/>
      <c r="R37" s="51"/>
      <c r="S37" s="51"/>
      <c r="T37" s="52"/>
      <c r="V37"/>
      <c r="W37"/>
      <c r="X37"/>
      <c r="Y37"/>
      <c r="Z37"/>
      <c r="AA37"/>
      <c r="AB37"/>
      <c r="AC37"/>
      <c r="AD37"/>
      <c r="AE37"/>
      <c r="AF37"/>
    </row>
    <row r="38" spans="8:8" ht="15.6" customHeight="1">
      <c r="B38" s="164"/>
      <c r="C38" s="51"/>
      <c r="D38" s="51"/>
      <c r="E38" s="51"/>
      <c r="F38" s="51"/>
      <c r="G38" s="51"/>
      <c r="H38" s="51"/>
      <c r="I38" s="51"/>
      <c r="J38" s="52"/>
      <c r="L38" s="171"/>
      <c r="M38" s="51"/>
      <c r="N38" s="51"/>
      <c r="O38" s="51"/>
      <c r="P38" s="51"/>
      <c r="Q38" s="51"/>
      <c r="R38" s="51"/>
      <c r="S38" s="51"/>
      <c r="T38" s="52"/>
      <c r="V38"/>
      <c r="W38"/>
      <c r="X38"/>
      <c r="Y38"/>
      <c r="Z38"/>
      <c r="AA38"/>
      <c r="AB38"/>
      <c r="AC38"/>
      <c r="AD38"/>
      <c r="AE38"/>
      <c r="AF38"/>
    </row>
    <row r="39" spans="8:8" ht="15.6" customHeight="1">
      <c r="B39" s="154" t="s">
        <v>75</v>
      </c>
      <c r="C39" s="155"/>
      <c r="D39" s="155"/>
      <c r="E39" s="156" t="s">
        <v>76</v>
      </c>
      <c r="F39" s="157"/>
      <c r="G39" s="158" t="s">
        <v>51</v>
      </c>
      <c r="H39" s="159"/>
      <c r="I39" s="158" t="s">
        <v>77</v>
      </c>
      <c r="J39" s="160"/>
      <c r="L39" s="171" t="s">
        <v>75</v>
      </c>
      <c r="M39" s="51"/>
      <c r="N39" s="51"/>
      <c r="O39" s="174" t="s">
        <v>59</v>
      </c>
      <c r="P39" s="181"/>
      <c r="Q39" s="175" t="s">
        <v>51</v>
      </c>
      <c r="R39" s="182"/>
      <c r="S39" s="175" t="s">
        <v>77</v>
      </c>
      <c r="T39" s="160">
        <f>_xlfn.IFNA(VLOOKUP(P39,'（调卡用表）'!$J$3:$K$33,2,0),0)</f>
        <v>0.0</v>
      </c>
      <c r="V39"/>
      <c r="W39"/>
      <c r="X39"/>
      <c r="Y39"/>
      <c r="Z39"/>
      <c r="AA39"/>
      <c r="AB39"/>
      <c r="AC39"/>
      <c r="AD39"/>
      <c r="AE39"/>
      <c r="AF39"/>
    </row>
    <row r="40" spans="8:8" ht="15.6" customHeight="1">
      <c r="B40" s="164" t="s">
        <v>56</v>
      </c>
      <c r="C40" s="165"/>
      <c r="D40" s="165"/>
      <c r="E40" s="166" t="s">
        <v>78</v>
      </c>
      <c r="F40" s="167"/>
      <c r="G40" s="168" t="s">
        <v>79</v>
      </c>
      <c r="H40" s="169"/>
      <c r="I40" s="168" t="s">
        <v>80</v>
      </c>
      <c r="J40" s="170"/>
      <c r="L40" s="171" t="s">
        <v>56</v>
      </c>
      <c r="M40" s="172"/>
      <c r="N40" s="173"/>
      <c r="O40" s="174" t="s">
        <v>81</v>
      </c>
      <c r="P40" s="51"/>
      <c r="Q40" s="51"/>
      <c r="R40" s="175" t="s">
        <v>82</v>
      </c>
      <c r="S40" s="176"/>
      <c r="T40" s="177"/>
      <c r="V40"/>
      <c r="W40"/>
      <c r="X40"/>
      <c r="Y40"/>
      <c r="Z40"/>
      <c r="AA40"/>
      <c r="AB40"/>
      <c r="AC40"/>
      <c r="AD40"/>
      <c r="AE40"/>
      <c r="AF40"/>
    </row>
    <row r="41" spans="8:8" ht="15.6" customHeight="1">
      <c r="B41" s="164"/>
      <c r="C41" s="165"/>
      <c r="D41" s="165"/>
      <c r="E41" s="156"/>
      <c r="F41" s="157"/>
      <c r="G41" s="158"/>
      <c r="H41" s="159"/>
      <c r="I41" s="158"/>
      <c r="J41" s="160"/>
      <c r="L41" s="171"/>
      <c r="M41" s="178"/>
      <c r="N41" s="179"/>
      <c r="O41" s="175" t="s">
        <v>83</v>
      </c>
      <c r="P41" s="51"/>
      <c r="Q41" s="51"/>
      <c r="R41" s="175" t="s">
        <v>78</v>
      </c>
      <c r="S41" s="176"/>
      <c r="T41" s="180" t="str">
        <f>IF(P41="常驻","每日","每次")</f>
        <v>每次</v>
      </c>
      <c r="V41"/>
      <c r="W41"/>
      <c r="X41"/>
      <c r="Y41"/>
      <c r="Z41"/>
      <c r="AA41"/>
      <c r="AB41"/>
      <c r="AC41"/>
      <c r="AD41"/>
      <c r="AE41"/>
      <c r="AF41"/>
    </row>
    <row r="42" spans="8:8" ht="15.6" customHeight="1">
      <c r="B42" s="164" t="s">
        <v>68</v>
      </c>
      <c r="C42" s="51"/>
      <c r="D42" s="51"/>
      <c r="E42" s="51"/>
      <c r="F42" s="51"/>
      <c r="G42" s="51"/>
      <c r="H42" s="51"/>
      <c r="I42" s="51"/>
      <c r="J42" s="52"/>
      <c r="L42" s="171" t="s">
        <v>68</v>
      </c>
      <c r="M42" s="51"/>
      <c r="N42" s="51"/>
      <c r="O42" s="51"/>
      <c r="P42" s="51"/>
      <c r="Q42" s="51"/>
      <c r="R42" s="51"/>
      <c r="S42" s="51"/>
      <c r="T42" s="52"/>
      <c r="V42"/>
      <c r="W42"/>
      <c r="X42"/>
      <c r="Y42"/>
      <c r="Z42"/>
      <c r="AA42"/>
      <c r="AB42"/>
      <c r="AC42"/>
      <c r="AD42"/>
      <c r="AE42"/>
      <c r="AF42"/>
    </row>
    <row r="43" spans="8:8" ht="15.6" customHeight="1">
      <c r="B43" s="164"/>
      <c r="C43" s="51"/>
      <c r="D43" s="51"/>
      <c r="E43" s="51"/>
      <c r="F43" s="51"/>
      <c r="G43" s="51"/>
      <c r="H43" s="51"/>
      <c r="I43" s="51"/>
      <c r="J43" s="52"/>
      <c r="L43" s="171"/>
      <c r="M43" s="51"/>
      <c r="N43" s="51"/>
      <c r="O43" s="51"/>
      <c r="P43" s="51"/>
      <c r="Q43" s="51"/>
      <c r="R43" s="51"/>
      <c r="S43" s="51"/>
      <c r="T43" s="52"/>
      <c r="V43"/>
      <c r="W43"/>
      <c r="X43"/>
      <c r="Y43"/>
      <c r="Z43"/>
      <c r="AA43"/>
      <c r="AB43"/>
      <c r="AC43"/>
      <c r="AD43"/>
      <c r="AE43"/>
      <c r="AF43"/>
    </row>
    <row r="44" spans="8:8" ht="15.6" customHeight="1">
      <c r="B44" s="164"/>
      <c r="C44" s="51"/>
      <c r="D44" s="51"/>
      <c r="E44" s="51"/>
      <c r="F44" s="51"/>
      <c r="G44" s="51"/>
      <c r="H44" s="51"/>
      <c r="I44" s="51"/>
      <c r="J44" s="52"/>
      <c r="L44" s="171"/>
      <c r="M44" s="51"/>
      <c r="N44" s="51"/>
      <c r="O44" s="51"/>
      <c r="P44" s="51"/>
      <c r="Q44" s="51"/>
      <c r="R44" s="51"/>
      <c r="S44" s="51"/>
      <c r="T44" s="52"/>
      <c r="V44"/>
      <c r="W44"/>
      <c r="X44"/>
      <c r="Y44"/>
      <c r="Z44"/>
      <c r="AA44"/>
      <c r="AB44"/>
      <c r="AC44"/>
      <c r="AD44"/>
      <c r="AE44"/>
      <c r="AF44"/>
    </row>
    <row r="45" spans="8:8" ht="15.6" customHeight="1">
      <c r="B45" s="164" t="s">
        <v>86</v>
      </c>
      <c r="C45" s="51"/>
      <c r="D45" s="51"/>
      <c r="E45" s="51"/>
      <c r="F45" s="51"/>
      <c r="G45" s="51"/>
      <c r="H45" s="51"/>
      <c r="I45" s="51"/>
      <c r="J45" s="52"/>
      <c r="L45" s="171" t="s">
        <v>86</v>
      </c>
      <c r="M45" s="51"/>
      <c r="N45" s="51"/>
      <c r="O45" s="51"/>
      <c r="P45" s="51"/>
      <c r="Q45" s="51"/>
      <c r="R45" s="51"/>
      <c r="S45" s="51"/>
      <c r="T45" s="52"/>
      <c r="V45"/>
      <c r="W45"/>
      <c r="X45"/>
      <c r="Y45"/>
      <c r="Z45"/>
      <c r="AA45"/>
      <c r="AB45"/>
      <c r="AC45"/>
      <c r="AD45"/>
      <c r="AE45"/>
      <c r="AF45"/>
    </row>
    <row r="46" spans="8:8" ht="15.6" customHeight="1">
      <c r="B46" s="164"/>
      <c r="C46" s="51"/>
      <c r="D46" s="51"/>
      <c r="E46" s="51"/>
      <c r="F46" s="51"/>
      <c r="G46" s="51"/>
      <c r="H46" s="51"/>
      <c r="I46" s="51"/>
      <c r="J46" s="52"/>
      <c r="L46" s="171"/>
      <c r="M46" s="51"/>
      <c r="N46" s="51"/>
      <c r="O46" s="51"/>
      <c r="P46" s="51"/>
      <c r="Q46" s="51"/>
      <c r="R46" s="51"/>
      <c r="S46" s="51"/>
      <c r="T46" s="52"/>
      <c r="V46"/>
      <c r="W46"/>
      <c r="X46"/>
      <c r="Y46"/>
      <c r="Z46"/>
      <c r="AA46"/>
      <c r="AB46"/>
      <c r="AC46"/>
      <c r="AD46"/>
      <c r="AE46"/>
      <c r="AF46"/>
    </row>
    <row r="47" spans="8:8" ht="15.6" customHeight="1">
      <c r="B47" s="164"/>
      <c r="C47" s="51"/>
      <c r="D47" s="51"/>
      <c r="E47" s="51"/>
      <c r="F47" s="51"/>
      <c r="G47" s="51"/>
      <c r="H47" s="51"/>
      <c r="I47" s="51"/>
      <c r="J47" s="52"/>
      <c r="L47" s="183"/>
      <c r="M47" s="184"/>
      <c r="N47" s="184"/>
      <c r="O47" s="184"/>
      <c r="P47" s="184"/>
      <c r="Q47" s="184"/>
      <c r="R47" s="184"/>
      <c r="S47" s="184"/>
      <c r="T47" s="185"/>
    </row>
    <row r="48" spans="8:8" ht="15.6" customHeight="1">
      <c r="B48" s="186" t="s">
        <v>88</v>
      </c>
      <c r="C48" s="187"/>
      <c r="D48" s="188"/>
      <c r="E48" s="188"/>
      <c r="F48" s="188"/>
      <c r="G48" s="188"/>
      <c r="H48" s="188"/>
      <c r="I48" s="188"/>
      <c r="J48" s="189"/>
      <c r="L48" s="190" t="s">
        <v>89</v>
      </c>
      <c r="M48" s="191"/>
      <c r="N48" s="192"/>
      <c r="O48" s="192"/>
      <c r="P48" s="192"/>
      <c r="Q48" s="192"/>
      <c r="R48" s="192"/>
      <c r="S48" s="192"/>
      <c r="T48" s="193"/>
    </row>
    <row r="49" spans="8:8" ht="15.6" customHeight="1">
      <c r="B49" s="194" t="s">
        <v>75</v>
      </c>
      <c r="C49" s="51" t="s">
        <v>361</v>
      </c>
      <c r="D49" s="51"/>
      <c r="E49" s="195" t="s">
        <v>59</v>
      </c>
      <c r="F49" s="181" t="s">
        <v>172</v>
      </c>
      <c r="G49" s="196" t="s">
        <v>51</v>
      </c>
      <c r="H49" s="182"/>
      <c r="I49" s="196" t="s">
        <v>77</v>
      </c>
      <c r="J49" s="160">
        <f>_xlfn.IFNA(VLOOKUP(F49,'（调卡用表）'!$J$3:$K$33,2,0),0)</f>
        <v>5.0</v>
      </c>
      <c r="L49" s="197" t="s">
        <v>75</v>
      </c>
      <c r="M49" s="51"/>
      <c r="N49" s="51"/>
      <c r="O49" s="198" t="s">
        <v>59</v>
      </c>
      <c r="P49" s="181" t="s">
        <v>91</v>
      </c>
      <c r="Q49" s="199" t="s">
        <v>51</v>
      </c>
      <c r="R49" s="182"/>
      <c r="S49" s="199" t="s">
        <v>77</v>
      </c>
      <c r="T49" s="160"/>
    </row>
    <row r="50" spans="8:8" ht="15.6" customHeight="1">
      <c r="B50" s="194" t="s">
        <v>56</v>
      </c>
      <c r="C50" s="172" t="s">
        <v>380</v>
      </c>
      <c r="D50" s="173"/>
      <c r="E50" s="195" t="s">
        <v>81</v>
      </c>
      <c r="F50" s="51" t="s">
        <v>362</v>
      </c>
      <c r="G50" s="51"/>
      <c r="H50" s="196" t="s">
        <v>82</v>
      </c>
      <c r="I50" s="176">
        <v>0.0</v>
      </c>
      <c r="J50" s="177"/>
      <c r="L50" s="197" t="s">
        <v>56</v>
      </c>
      <c r="M50" s="172"/>
      <c r="N50" s="173"/>
      <c r="O50" s="198" t="s">
        <v>81</v>
      </c>
      <c r="P50" s="51"/>
      <c r="Q50" s="51"/>
      <c r="R50" s="199" t="s">
        <v>82</v>
      </c>
      <c r="S50" s="176"/>
      <c r="T50" s="177"/>
    </row>
    <row r="51" spans="8:8" ht="15.6" customHeight="1">
      <c r="B51" s="194"/>
      <c r="C51" s="178"/>
      <c r="D51" s="179"/>
      <c r="E51" s="196" t="s">
        <v>83</v>
      </c>
      <c r="F51" s="51" t="s">
        <v>261</v>
      </c>
      <c r="G51" s="51"/>
      <c r="H51" s="196" t="s">
        <v>78</v>
      </c>
      <c r="I51" s="176">
        <v>0.0</v>
      </c>
      <c r="J51" s="180" t="str">
        <f>IF(F51="常驻","每日","每次")</f>
        <v>每日</v>
      </c>
      <c r="L51" s="197"/>
      <c r="M51" s="178"/>
      <c r="N51" s="179"/>
      <c r="O51" s="199" t="s">
        <v>83</v>
      </c>
      <c r="P51" s="51"/>
      <c r="Q51" s="51"/>
      <c r="R51" s="199" t="s">
        <v>78</v>
      </c>
      <c r="S51" s="176"/>
      <c r="T51" s="180" t="str">
        <f>IF(P51="常驻","每日","每次")</f>
        <v>每次</v>
      </c>
    </row>
    <row r="52" spans="8:8" ht="88.85" customHeight="1">
      <c r="B52" s="194" t="s">
        <v>68</v>
      </c>
      <c r="C52" s="51" t="s">
        <v>376</v>
      </c>
      <c r="D52" s="51"/>
      <c r="E52" s="51"/>
      <c r="F52" s="51"/>
      <c r="G52" s="51"/>
      <c r="H52" s="51"/>
      <c r="I52" s="51"/>
      <c r="J52" s="52"/>
      <c r="L52" s="197" t="s">
        <v>68</v>
      </c>
      <c r="M52" s="51" t="s">
        <v>93</v>
      </c>
      <c r="N52" s="51"/>
      <c r="O52" s="51"/>
      <c r="P52" s="51"/>
      <c r="Q52" s="51"/>
      <c r="R52" s="51"/>
      <c r="S52" s="51"/>
      <c r="T52" s="52"/>
    </row>
    <row r="53" spans="8:8" ht="15.6" customHeight="1">
      <c r="B53" s="194"/>
      <c r="C53" s="51"/>
      <c r="D53" s="51"/>
      <c r="E53" s="51"/>
      <c r="F53" s="51"/>
      <c r="G53" s="51"/>
      <c r="H53" s="51"/>
      <c r="I53" s="51"/>
      <c r="J53" s="52"/>
      <c r="L53" s="197"/>
      <c r="M53" s="51"/>
      <c r="N53" s="51"/>
      <c r="O53" s="51"/>
      <c r="P53" s="51"/>
      <c r="Q53" s="51"/>
      <c r="R53" s="51"/>
      <c r="S53" s="51"/>
      <c r="T53" s="52"/>
    </row>
    <row r="54" spans="8:8" ht="15.6" customHeight="1">
      <c r="B54" s="194"/>
      <c r="C54" s="51"/>
      <c r="D54" s="51"/>
      <c r="E54" s="51"/>
      <c r="F54" s="51"/>
      <c r="G54" s="51"/>
      <c r="H54" s="51"/>
      <c r="I54" s="51"/>
      <c r="J54" s="52"/>
      <c r="L54" s="197"/>
      <c r="M54" s="51"/>
      <c r="N54" s="51"/>
      <c r="O54" s="51"/>
      <c r="P54" s="51"/>
      <c r="Q54" s="51"/>
      <c r="R54" s="51"/>
      <c r="S54" s="51"/>
      <c r="T54" s="52"/>
    </row>
    <row r="55" spans="8:8" ht="15.6" customHeight="1">
      <c r="B55" s="194" t="s">
        <v>86</v>
      </c>
      <c r="C55" s="51" t="s">
        <v>385</v>
      </c>
      <c r="D55" s="51"/>
      <c r="E55" s="51"/>
      <c r="F55" s="51"/>
      <c r="G55" s="51"/>
      <c r="H55" s="51"/>
      <c r="I55" s="51"/>
      <c r="J55" s="52"/>
      <c r="L55" s="197" t="s">
        <v>86</v>
      </c>
      <c r="M55" s="51"/>
      <c r="N55" s="51"/>
      <c r="O55" s="51"/>
      <c r="P55" s="51"/>
      <c r="Q55" s="51"/>
      <c r="R55" s="51"/>
      <c r="S55" s="51"/>
      <c r="T55" s="52"/>
    </row>
    <row r="56" spans="8:8" ht="15.6" customHeight="1">
      <c r="B56" s="194"/>
      <c r="C56" s="51"/>
      <c r="D56" s="51"/>
      <c r="E56" s="51"/>
      <c r="F56" s="51"/>
      <c r="G56" s="51"/>
      <c r="H56" s="51"/>
      <c r="I56" s="51"/>
      <c r="J56" s="52"/>
      <c r="L56" s="197"/>
      <c r="M56" s="51"/>
      <c r="N56" s="51"/>
      <c r="O56" s="51"/>
      <c r="P56" s="51"/>
      <c r="Q56" s="51"/>
      <c r="R56" s="51"/>
      <c r="S56" s="51"/>
      <c r="T56" s="52"/>
    </row>
    <row r="57" spans="8:8" ht="15.6" customHeight="1">
      <c r="B57" s="194"/>
      <c r="C57" s="51"/>
      <c r="D57" s="51"/>
      <c r="E57" s="51"/>
      <c r="F57" s="51"/>
      <c r="G57" s="51"/>
      <c r="H57" s="51"/>
      <c r="I57" s="51"/>
      <c r="J57" s="52"/>
      <c r="L57" s="197"/>
      <c r="M57" s="51"/>
      <c r="N57" s="51"/>
      <c r="O57" s="51"/>
      <c r="P57" s="51"/>
      <c r="Q57" s="51"/>
      <c r="R57" s="51"/>
      <c r="S57" s="51"/>
      <c r="T57" s="52"/>
    </row>
    <row r="58" spans="8:8" ht="15.6" customHeight="1">
      <c r="B58" s="194" t="s">
        <v>75</v>
      </c>
      <c r="C58" s="51" t="s">
        <v>379</v>
      </c>
      <c r="D58" s="51"/>
      <c r="E58" s="195" t="s">
        <v>59</v>
      </c>
      <c r="F58" s="181" t="s">
        <v>172</v>
      </c>
      <c r="G58" s="196" t="s">
        <v>51</v>
      </c>
      <c r="H58" s="182"/>
      <c r="I58" s="196" t="s">
        <v>77</v>
      </c>
      <c r="J58" s="160">
        <f>_xlfn.IFNA(VLOOKUP(F58,'（调卡用表）'!$J$3:$K$33,2,0),0)</f>
        <v>5.0</v>
      </c>
      <c r="L58" s="197" t="s">
        <v>75</v>
      </c>
      <c r="M58" s="51"/>
      <c r="N58" s="51"/>
      <c r="O58" s="198" t="s">
        <v>59</v>
      </c>
      <c r="P58" s="181" t="s">
        <v>91</v>
      </c>
      <c r="Q58" s="199" t="s">
        <v>51</v>
      </c>
      <c r="R58" s="182"/>
      <c r="S58" s="199" t="s">
        <v>77</v>
      </c>
      <c r="T58" s="160"/>
    </row>
    <row r="59" spans="8:8" ht="15.6" customHeight="1">
      <c r="B59" s="194" t="s">
        <v>56</v>
      </c>
      <c r="C59" s="172" t="s">
        <v>381</v>
      </c>
      <c r="D59" s="173"/>
      <c r="E59" s="195" t="s">
        <v>81</v>
      </c>
      <c r="F59" s="51" t="s">
        <v>367</v>
      </c>
      <c r="G59" s="51"/>
      <c r="H59" s="196" t="s">
        <v>82</v>
      </c>
      <c r="I59" s="176">
        <v>0.0</v>
      </c>
      <c r="J59" s="177"/>
      <c r="L59" s="197" t="s">
        <v>56</v>
      </c>
      <c r="M59" s="172"/>
      <c r="N59" s="173"/>
      <c r="O59" s="198" t="s">
        <v>81</v>
      </c>
      <c r="P59" s="51"/>
      <c r="Q59" s="51"/>
      <c r="R59" s="199" t="s">
        <v>82</v>
      </c>
      <c r="S59" s="176"/>
      <c r="T59" s="177"/>
    </row>
    <row r="60" spans="8:8" ht="15.6" customHeight="1">
      <c r="B60" s="194"/>
      <c r="C60" s="178"/>
      <c r="D60" s="179"/>
      <c r="E60" s="196" t="s">
        <v>83</v>
      </c>
      <c r="F60" s="51" t="s">
        <v>261</v>
      </c>
      <c r="G60" s="51"/>
      <c r="H60" s="196" t="s">
        <v>78</v>
      </c>
      <c r="I60" s="176">
        <v>0.0</v>
      </c>
      <c r="J60" s="180" t="str">
        <f>IF(F60="常驻","每日","每次")</f>
        <v>每日</v>
      </c>
      <c r="L60" s="197"/>
      <c r="M60" s="178"/>
      <c r="N60" s="179"/>
      <c r="O60" s="199" t="s">
        <v>83</v>
      </c>
      <c r="P60" s="51"/>
      <c r="Q60" s="51"/>
      <c r="R60" s="199" t="s">
        <v>78</v>
      </c>
      <c r="S60" s="176"/>
      <c r="T60" s="180" t="str">
        <f>IF(P60="常驻","每日","每次")</f>
        <v>每次</v>
      </c>
    </row>
    <row r="61" spans="8:8" ht="15.6" customHeight="1">
      <c r="B61" s="194" t="s">
        <v>68</v>
      </c>
      <c r="C61" s="51" t="s">
        <v>384</v>
      </c>
      <c r="D61" s="51"/>
      <c r="E61" s="51"/>
      <c r="F61" s="51"/>
      <c r="G61" s="51"/>
      <c r="H61" s="51"/>
      <c r="I61" s="51"/>
      <c r="J61" s="52"/>
      <c r="L61" s="197" t="s">
        <v>68</v>
      </c>
      <c r="M61" s="51"/>
      <c r="N61" s="51"/>
      <c r="O61" s="51"/>
      <c r="P61" s="51"/>
      <c r="Q61" s="51"/>
      <c r="R61" s="51"/>
      <c r="S61" s="51"/>
      <c r="T61" s="52"/>
    </row>
    <row r="62" spans="8:8" ht="15.6" customHeight="1">
      <c r="B62" s="194"/>
      <c r="C62" s="51"/>
      <c r="D62" s="51"/>
      <c r="E62" s="51"/>
      <c r="F62" s="51"/>
      <c r="G62" s="51"/>
      <c r="H62" s="51"/>
      <c r="I62" s="51"/>
      <c r="J62" s="52"/>
      <c r="L62" s="197"/>
      <c r="M62" s="51"/>
      <c r="N62" s="51"/>
      <c r="O62" s="51"/>
      <c r="P62" s="51"/>
      <c r="Q62" s="51"/>
      <c r="R62" s="51"/>
      <c r="S62" s="51"/>
      <c r="T62" s="52"/>
    </row>
    <row r="63" spans="8:8" ht="15.6" customHeight="1">
      <c r="B63" s="194"/>
      <c r="C63" s="51"/>
      <c r="D63" s="51"/>
      <c r="E63" s="51"/>
      <c r="F63" s="51"/>
      <c r="G63" s="51"/>
      <c r="H63" s="51"/>
      <c r="I63" s="51"/>
      <c r="J63" s="52"/>
      <c r="L63" s="197"/>
      <c r="M63" s="51"/>
      <c r="N63" s="51"/>
      <c r="O63" s="51"/>
      <c r="P63" s="51"/>
      <c r="Q63" s="51"/>
      <c r="R63" s="51"/>
      <c r="S63" s="51"/>
      <c r="T63" s="52"/>
    </row>
    <row r="64" spans="8:8" ht="15.6" customHeight="1">
      <c r="B64" s="194" t="s">
        <v>86</v>
      </c>
      <c r="C64" s="51" t="s">
        <v>386</v>
      </c>
      <c r="D64" s="51"/>
      <c r="E64" s="51"/>
      <c r="F64" s="51"/>
      <c r="G64" s="51"/>
      <c r="H64" s="51"/>
      <c r="I64" s="51"/>
      <c r="J64" s="52"/>
      <c r="L64" s="197" t="s">
        <v>86</v>
      </c>
      <c r="M64" s="51"/>
      <c r="N64" s="51"/>
      <c r="O64" s="51"/>
      <c r="P64" s="51"/>
      <c r="Q64" s="51"/>
      <c r="R64" s="51"/>
      <c r="S64" s="51"/>
      <c r="T64" s="52"/>
    </row>
    <row r="65" spans="8:8" ht="15.6" customHeight="1">
      <c r="B65" s="194"/>
      <c r="C65" s="51"/>
      <c r="D65" s="51"/>
      <c r="E65" s="51"/>
      <c r="F65" s="51"/>
      <c r="G65" s="51"/>
      <c r="H65" s="51"/>
      <c r="I65" s="51"/>
      <c r="J65" s="52"/>
      <c r="L65" s="197"/>
      <c r="M65" s="51"/>
      <c r="N65" s="51"/>
      <c r="O65" s="51"/>
      <c r="P65" s="51"/>
      <c r="Q65" s="51"/>
      <c r="R65" s="51"/>
      <c r="S65" s="51"/>
      <c r="T65" s="52"/>
    </row>
    <row r="66" spans="8:8" ht="15.6" customHeight="1">
      <c r="B66" s="194"/>
      <c r="C66" s="51"/>
      <c r="D66" s="51"/>
      <c r="E66" s="51"/>
      <c r="F66" s="51"/>
      <c r="G66" s="51"/>
      <c r="H66" s="51"/>
      <c r="I66" s="51"/>
      <c r="J66" s="52"/>
      <c r="L66" s="197"/>
      <c r="M66" s="51"/>
      <c r="N66" s="51"/>
      <c r="O66" s="51"/>
      <c r="P66" s="51"/>
      <c r="Q66" s="51"/>
      <c r="R66" s="51"/>
      <c r="S66" s="51"/>
      <c r="T66" s="52"/>
    </row>
    <row r="67" spans="8:8" ht="15.6" customHeight="1">
      <c r="B67" s="194" t="s">
        <v>75</v>
      </c>
      <c r="C67" s="51" t="s">
        <v>377</v>
      </c>
      <c r="D67" s="51"/>
      <c r="E67" s="195" t="s">
        <v>59</v>
      </c>
      <c r="F67" s="181" t="s">
        <v>162</v>
      </c>
      <c r="G67" s="196" t="s">
        <v>51</v>
      </c>
      <c r="H67" s="182"/>
      <c r="I67" s="196" t="s">
        <v>77</v>
      </c>
      <c r="J67" s="160">
        <f>_xlfn.IFNA(VLOOKUP(F67,'（调卡用表）'!$J$3:$K$33,2,0),0)</f>
        <v>1.0</v>
      </c>
      <c r="L67" s="197" t="s">
        <v>75</v>
      </c>
      <c r="M67" s="51"/>
      <c r="N67" s="51"/>
      <c r="O67" s="198" t="s">
        <v>59</v>
      </c>
      <c r="P67" s="181" t="s">
        <v>91</v>
      </c>
      <c r="Q67" s="199" t="s">
        <v>51</v>
      </c>
      <c r="R67" s="182"/>
      <c r="S67" s="199" t="s">
        <v>77</v>
      </c>
      <c r="T67" s="160"/>
    </row>
    <row r="68" spans="8:8" ht="15.6" customHeight="1">
      <c r="B68" s="194" t="s">
        <v>56</v>
      </c>
      <c r="C68" s="172" t="s">
        <v>382</v>
      </c>
      <c r="D68" s="173"/>
      <c r="E68" s="195" t="s">
        <v>81</v>
      </c>
      <c r="F68" s="51" t="s">
        <v>362</v>
      </c>
      <c r="G68" s="51"/>
      <c r="H68" s="196" t="s">
        <v>82</v>
      </c>
      <c r="I68" s="176">
        <v>0.0</v>
      </c>
      <c r="J68" s="177"/>
      <c r="L68" s="197" t="s">
        <v>56</v>
      </c>
      <c r="M68" s="172"/>
      <c r="N68" s="173"/>
      <c r="O68" s="198" t="s">
        <v>81</v>
      </c>
      <c r="P68" s="51"/>
      <c r="Q68" s="51"/>
      <c r="R68" s="199" t="s">
        <v>82</v>
      </c>
      <c r="S68" s="176"/>
      <c r="T68" s="177"/>
    </row>
    <row r="69" spans="8:8" ht="15.6" customHeight="1">
      <c r="B69" s="194"/>
      <c r="C69" s="178"/>
      <c r="D69" s="179"/>
      <c r="E69" s="196" t="s">
        <v>83</v>
      </c>
      <c r="F69" s="51" t="s">
        <v>285</v>
      </c>
      <c r="G69" s="51"/>
      <c r="H69" s="196" t="s">
        <v>78</v>
      </c>
      <c r="I69" s="176">
        <v>6.0</v>
      </c>
      <c r="J69" s="180" t="str">
        <f>IF(F69="常驻","每日","每次")</f>
        <v>每次</v>
      </c>
      <c r="L69" s="197"/>
      <c r="M69" s="178"/>
      <c r="N69" s="179"/>
      <c r="O69" s="199" t="s">
        <v>83</v>
      </c>
      <c r="P69" s="51"/>
      <c r="Q69" s="51"/>
      <c r="R69" s="199" t="s">
        <v>78</v>
      </c>
      <c r="S69" s="176"/>
      <c r="T69" s="180" t="str">
        <f>IF(P69="常驻","每日","每次")</f>
        <v>每次</v>
      </c>
    </row>
    <row r="70" spans="8:8" ht="15.6" customHeight="1">
      <c r="B70" s="194" t="s">
        <v>68</v>
      </c>
      <c r="C70" s="51" t="s">
        <v>378</v>
      </c>
      <c r="D70" s="51"/>
      <c r="E70" s="51"/>
      <c r="F70" s="51"/>
      <c r="G70" s="51"/>
      <c r="H70" s="51"/>
      <c r="I70" s="51"/>
      <c r="J70" s="52"/>
      <c r="L70" s="197" t="s">
        <v>68</v>
      </c>
      <c r="M70" s="51"/>
      <c r="N70" s="51"/>
      <c r="O70" s="51"/>
      <c r="P70" s="51"/>
      <c r="Q70" s="51"/>
      <c r="R70" s="51"/>
      <c r="S70" s="51"/>
      <c r="T70" s="52"/>
    </row>
    <row r="71" spans="8:8" ht="87.0" customHeight="1">
      <c r="B71" s="194"/>
      <c r="C71" s="51"/>
      <c r="D71" s="51"/>
      <c r="E71" s="51"/>
      <c r="F71" s="51"/>
      <c r="G71" s="51"/>
      <c r="H71" s="51"/>
      <c r="I71" s="51"/>
      <c r="J71" s="52"/>
      <c r="L71" s="197"/>
      <c r="M71" s="51"/>
      <c r="N71" s="51"/>
      <c r="O71" s="51"/>
      <c r="P71" s="51"/>
      <c r="Q71" s="51"/>
      <c r="R71" s="51"/>
      <c r="S71" s="51"/>
      <c r="T71" s="52"/>
    </row>
    <row r="72" spans="8:8" ht="15.6" customHeight="1">
      <c r="B72" s="194"/>
      <c r="C72" s="51"/>
      <c r="D72" s="51"/>
      <c r="E72" s="51"/>
      <c r="F72" s="51"/>
      <c r="G72" s="51"/>
      <c r="H72" s="51"/>
      <c r="I72" s="51"/>
      <c r="J72" s="52"/>
      <c r="L72" s="197"/>
      <c r="M72" s="51"/>
      <c r="N72" s="51"/>
      <c r="O72" s="51"/>
      <c r="P72" s="51"/>
      <c r="Q72" s="51"/>
      <c r="R72" s="51"/>
      <c r="S72" s="51"/>
      <c r="T72" s="52"/>
    </row>
    <row r="73" spans="8:8" ht="15.6" customHeight="1">
      <c r="B73" s="194" t="s">
        <v>86</v>
      </c>
      <c r="C73" s="51" t="s">
        <v>388</v>
      </c>
      <c r="D73" s="51"/>
      <c r="E73" s="51"/>
      <c r="F73" s="51"/>
      <c r="G73" s="51"/>
      <c r="H73" s="51"/>
      <c r="I73" s="51"/>
      <c r="J73" s="52"/>
      <c r="L73" s="197" t="s">
        <v>86</v>
      </c>
      <c r="M73" s="51"/>
      <c r="N73" s="51"/>
      <c r="O73" s="51"/>
      <c r="P73" s="51"/>
      <c r="Q73" s="51"/>
      <c r="R73" s="51"/>
      <c r="S73" s="51"/>
      <c r="T73" s="52"/>
    </row>
    <row r="74" spans="8:8" ht="15.6" customHeight="1">
      <c r="B74" s="194"/>
      <c r="C74" s="51"/>
      <c r="D74" s="51"/>
      <c r="E74" s="51"/>
      <c r="F74" s="51"/>
      <c r="G74" s="51"/>
      <c r="H74" s="51"/>
      <c r="I74" s="51"/>
      <c r="J74" s="52"/>
      <c r="L74" s="197"/>
      <c r="M74" s="51"/>
      <c r="N74" s="51"/>
      <c r="O74" s="51"/>
      <c r="P74" s="51"/>
      <c r="Q74" s="51"/>
      <c r="R74" s="51"/>
      <c r="S74" s="51"/>
      <c r="T74" s="52"/>
    </row>
    <row r="75" spans="8:8" ht="15.6" customHeight="1">
      <c r="B75" s="200"/>
      <c r="C75" s="112"/>
      <c r="D75" s="112"/>
      <c r="E75" s="112"/>
      <c r="F75" s="112"/>
      <c r="G75" s="112"/>
      <c r="H75" s="112"/>
      <c r="I75" s="112"/>
      <c r="J75" s="113"/>
      <c r="L75" s="201"/>
      <c r="M75" s="112"/>
      <c r="N75" s="112"/>
      <c r="O75" s="112"/>
      <c r="P75" s="112"/>
      <c r="Q75" s="112"/>
      <c r="R75" s="112"/>
      <c r="S75" s="112"/>
      <c r="T75" s="113"/>
    </row>
    <row r="76" spans="8:8" ht="15.6" customHeight="1"/>
    <row r="77" spans="8:8" ht="15.6" customHeight="1"/>
    <row r="78" spans="8:8" ht="15.6" customHeight="1"/>
    <row r="79" spans="8:8" ht="15.6" customHeight="1"/>
    <row r="80" spans="8:8" ht="15.6" customHeight="1"/>
    <row r="81" spans="8:8" ht="15.6" customHeight="1"/>
    <row r="82" spans="8:8" ht="15.6" customHeight="1"/>
    <row r="83" spans="8:8" ht="15.6" customHeight="1"/>
    <row r="84" spans="8:8" ht="15.6" customHeight="1"/>
    <row r="85" spans="8:8" ht="15.6" customHeight="1"/>
    <row r="86" spans="8:8" ht="15.6" customHeight="1">
      <c r="L86" s="16"/>
      <c r="M86" s="16"/>
    </row>
    <row r="87" spans="8:8" ht="15.6" customHeight="1">
      <c r="L87" s="16"/>
      <c r="M87" s="16"/>
    </row>
    <row r="88" spans="8:8" ht="15.6" customHeight="1">
      <c r="L88" s="16"/>
      <c r="M88" s="16"/>
    </row>
    <row r="89" spans="8:8" ht="15.6" customHeight="1">
      <c r="L89" s="16"/>
      <c r="M89" s="16"/>
    </row>
    <row r="90" spans="8:8" ht="15.6" customHeight="1">
      <c r="L90" s="16"/>
      <c r="M90" s="16"/>
    </row>
    <row r="91" spans="8:8" ht="15.6" customHeight="1">
      <c r="L91" s="16"/>
      <c r="M91" s="16"/>
    </row>
    <row r="92" spans="8:8" ht="15.6" customHeight="1">
      <c r="L92" s="16"/>
      <c r="M92" s="16"/>
    </row>
    <row r="93" spans="8:8" ht="15.6" customHeight="1">
      <c r="L93" s="16"/>
      <c r="M93" s="16"/>
    </row>
    <row r="94" spans="8:8" ht="15.6" customHeight="1">
      <c r="L94" s="16"/>
      <c r="M94" s="16"/>
    </row>
    <row r="95" spans="8:8">
      <c r="K95" s="202"/>
      <c r="L95" s="16"/>
      <c r="M95" s="16"/>
    </row>
    <row r="96" spans="8:8">
      <c r="L96" s="16"/>
      <c r="M96" s="16"/>
    </row>
    <row r="97" spans="8:8">
      <c r="L97" s="16"/>
      <c r="M97" s="16"/>
    </row>
    <row r="98" spans="8:8">
      <c r="L98" s="16"/>
      <c r="M98" s="16"/>
    </row>
    <row r="99" spans="8:8">
      <c r="L99" s="16"/>
      <c r="M99" s="16"/>
    </row>
    <row r="100" spans="8:8">
      <c r="L100" s="16"/>
      <c r="M100" s="16"/>
    </row>
    <row r="101" spans="8:8">
      <c r="L101" s="202"/>
      <c r="M101" s="16"/>
    </row>
    <row r="102" spans="8:8">
      <c r="L102" s="16"/>
      <c r="M102" s="16"/>
    </row>
    <row r="103" spans="8:8">
      <c r="L103" s="16"/>
      <c r="M103" s="16"/>
    </row>
    <row r="104" spans="8:8">
      <c r="L104" s="16"/>
      <c r="M104" s="16"/>
    </row>
    <row r="105" spans="8:8">
      <c r="L105" s="16"/>
      <c r="M105" s="16"/>
    </row>
    <row r="106" spans="8:8">
      <c r="L106" s="16"/>
      <c r="M106" s="16"/>
    </row>
    <row r="107" spans="8:8">
      <c r="L107" s="16"/>
      <c r="M107" s="16"/>
    </row>
    <row r="108" spans="8:8">
      <c r="L108" s="16"/>
      <c r="M108" s="16"/>
    </row>
    <row r="109" spans="8:8">
      <c r="L109" s="16"/>
      <c r="M109" s="16"/>
    </row>
    <row r="110" spans="8:8">
      <c r="L110" s="16"/>
      <c r="M110" s="16"/>
      <c r="N110" s="16"/>
      <c r="O110" s="16"/>
      <c r="P110" s="16"/>
      <c r="Q110" s="16"/>
      <c r="R110" s="16"/>
      <c r="S110" s="16"/>
      <c r="T110" s="16"/>
      <c r="U110" s="16"/>
    </row>
    <row r="111" spans="8:8">
      <c r="L111" s="16"/>
      <c r="M111" s="16"/>
      <c r="N111" s="16"/>
      <c r="O111" s="16"/>
      <c r="P111" s="16"/>
      <c r="Q111" s="16"/>
      <c r="R111" s="16"/>
      <c r="S111" s="16"/>
      <c r="T111" s="16"/>
      <c r="U111" s="16"/>
    </row>
    <row r="112" spans="8:8">
      <c r="L112" s="16"/>
      <c r="M112" s="16"/>
      <c r="N112" s="16"/>
      <c r="O112" s="16"/>
      <c r="P112" s="16"/>
      <c r="Q112" s="16"/>
      <c r="R112" s="16"/>
      <c r="S112" s="16"/>
      <c r="T112" s="16"/>
      <c r="U112" s="16"/>
    </row>
    <row r="113" spans="8:8">
      <c r="L113" s="16"/>
      <c r="M113" s="16"/>
      <c r="N113" s="16"/>
      <c r="O113" s="16"/>
      <c r="P113" s="16"/>
      <c r="Q113" s="16"/>
      <c r="R113" s="16"/>
      <c r="S113" s="16"/>
      <c r="T113" s="16"/>
      <c r="U113" s="16"/>
    </row>
    <row r="114" spans="8:8">
      <c r="L114" s="16"/>
      <c r="M114" s="16"/>
      <c r="N114" s="16"/>
      <c r="O114" s="16"/>
      <c r="P114" s="16"/>
      <c r="Q114" s="16"/>
      <c r="R114" s="16"/>
      <c r="S114" s="16"/>
      <c r="T114" s="16"/>
      <c r="U114" s="16"/>
    </row>
    <row r="115" spans="8:8">
      <c r="L115" s="16"/>
      <c r="M115" s="16"/>
      <c r="N115" s="16"/>
      <c r="O115" s="16"/>
      <c r="P115" s="16"/>
      <c r="Q115" s="16"/>
      <c r="R115" s="16"/>
      <c r="S115" s="16"/>
      <c r="T115" s="16"/>
      <c r="U115" s="16"/>
    </row>
    <row r="116" spans="8:8">
      <c r="L116" s="16"/>
      <c r="M116" s="16"/>
      <c r="N116" s="16"/>
      <c r="O116" s="16"/>
      <c r="P116" s="16"/>
      <c r="Q116" s="16"/>
      <c r="R116" s="16"/>
      <c r="S116" s="16"/>
      <c r="T116" s="16"/>
      <c r="U116" s="16"/>
    </row>
    <row r="117" spans="8:8">
      <c r="L117" s="16"/>
      <c r="M117" s="16"/>
      <c r="N117" s="16"/>
      <c r="O117" s="16"/>
      <c r="P117" s="16"/>
      <c r="Q117" s="16"/>
      <c r="R117" s="16"/>
      <c r="S117" s="16"/>
      <c r="T117" s="16"/>
      <c r="U117" s="16"/>
    </row>
    <row r="118" spans="8:8">
      <c r="L118" s="16"/>
      <c r="M118" s="16"/>
      <c r="N118" s="16"/>
      <c r="O118" s="16"/>
      <c r="P118" s="16"/>
      <c r="Q118" s="16"/>
      <c r="R118" s="16"/>
      <c r="S118" s="16"/>
      <c r="T118" s="16"/>
      <c r="U118" s="16"/>
    </row>
    <row r="119" spans="8:8">
      <c r="L119" s="16"/>
      <c r="M119" s="16"/>
      <c r="N119" s="16"/>
      <c r="O119" s="16"/>
      <c r="P119" s="16"/>
      <c r="Q119" s="16"/>
      <c r="R119" s="16"/>
      <c r="S119" s="16"/>
      <c r="T119" s="16"/>
      <c r="U119" s="16"/>
    </row>
    <row r="120" spans="8:8">
      <c r="L120" s="16"/>
      <c r="M120" s="16"/>
      <c r="N120" s="16"/>
      <c r="O120" s="16"/>
      <c r="P120" s="16"/>
      <c r="Q120" s="16"/>
      <c r="R120" s="16"/>
      <c r="S120" s="16"/>
      <c r="T120" s="16"/>
      <c r="U120" s="16"/>
    </row>
    <row r="121" spans="8:8">
      <c r="L121" s="16"/>
      <c r="M121" s="16"/>
      <c r="N121" s="16"/>
      <c r="O121" s="16"/>
      <c r="P121" s="16"/>
      <c r="Q121" s="16"/>
      <c r="R121" s="16"/>
      <c r="S121" s="16"/>
      <c r="T121" s="16"/>
      <c r="U121" s="16"/>
    </row>
    <row r="122" spans="8:8">
      <c r="L122" s="16"/>
      <c r="M122" s="16"/>
      <c r="N122" s="16"/>
      <c r="O122" s="16"/>
      <c r="P122" s="16"/>
      <c r="Q122" s="16"/>
      <c r="R122" s="16"/>
      <c r="S122" s="16"/>
      <c r="T122" s="16"/>
      <c r="U122" s="16"/>
    </row>
  </sheetData>
  <sheetProtection sheet="0" formatColumns="0" formatRows="0" insertColumns="0" insertRows="0" insertHyperlinks="0"/>
  <mergeCells count="158">
    <mergeCell ref="M36:T38"/>
    <mergeCell ref="B6:D14"/>
    <mergeCell ref="L5:M5"/>
    <mergeCell ref="N3:O3"/>
    <mergeCell ref="H2:J2"/>
    <mergeCell ref="C22:D23"/>
    <mergeCell ref="L52:L54"/>
    <mergeCell ref="B68:B69"/>
    <mergeCell ref="B64:B66"/>
    <mergeCell ref="C31:D32"/>
    <mergeCell ref="B31:B32"/>
    <mergeCell ref="M21:N21"/>
    <mergeCell ref="M22:N23"/>
    <mergeCell ref="B70:B72"/>
    <mergeCell ref="I22:I23"/>
    <mergeCell ref="L59:L60"/>
    <mergeCell ref="L27:L29"/>
    <mergeCell ref="C42:J44"/>
    <mergeCell ref="L68:L69"/>
    <mergeCell ref="L33:L35"/>
    <mergeCell ref="B50:B51"/>
    <mergeCell ref="M33:T35"/>
    <mergeCell ref="C21:D21"/>
    <mergeCell ref="L48:T48"/>
    <mergeCell ref="P60:Q60"/>
    <mergeCell ref="M55:T57"/>
    <mergeCell ref="P68:Q68"/>
    <mergeCell ref="C24:J26"/>
    <mergeCell ref="B48:J48"/>
    <mergeCell ref="P40:Q40"/>
    <mergeCell ref="P50:Q50"/>
    <mergeCell ref="P69:Q69"/>
    <mergeCell ref="B36:B38"/>
    <mergeCell ref="L4:M4"/>
    <mergeCell ref="N9:O9"/>
    <mergeCell ref="N4:O4"/>
    <mergeCell ref="E11:E12"/>
    <mergeCell ref="M24:T26"/>
    <mergeCell ref="B5:D5"/>
    <mergeCell ref="H3:J14"/>
    <mergeCell ref="L11:O12"/>
    <mergeCell ref="C73:J75"/>
    <mergeCell ref="C40:D41"/>
    <mergeCell ref="L61:L63"/>
    <mergeCell ref="L73:L75"/>
    <mergeCell ref="B73:B75"/>
    <mergeCell ref="B40:B41"/>
    <mergeCell ref="L3:M3"/>
    <mergeCell ref="P22:Q22"/>
    <mergeCell ref="O14:O15"/>
    <mergeCell ref="B27:B29"/>
    <mergeCell ref="M30:N30"/>
    <mergeCell ref="B20:J20"/>
    <mergeCell ref="H22:H23"/>
    <mergeCell ref="G22:G23"/>
    <mergeCell ref="M27:T29"/>
    <mergeCell ref="L6:M7"/>
    <mergeCell ref="L55:L57"/>
    <mergeCell ref="G40:G41"/>
    <mergeCell ref="M67:N67"/>
    <mergeCell ref="M68:N69"/>
    <mergeCell ref="L40:L41"/>
    <mergeCell ref="L45:L47"/>
    <mergeCell ref="M73:T75"/>
    <mergeCell ref="M39:N39"/>
    <mergeCell ref="E22:E23"/>
    <mergeCell ref="M45:T47"/>
    <mergeCell ref="M70:T72"/>
    <mergeCell ref="L13:T13"/>
    <mergeCell ref="M49:N49"/>
    <mergeCell ref="B22:B23"/>
    <mergeCell ref="P23:Q23"/>
    <mergeCell ref="E2:G2"/>
    <mergeCell ref="B3:D4"/>
    <mergeCell ref="L2:O2"/>
    <mergeCell ref="M31:N32"/>
    <mergeCell ref="C67:D67"/>
    <mergeCell ref="B45:B47"/>
    <mergeCell ref="F68:G68"/>
    <mergeCell ref="B42:B44"/>
    <mergeCell ref="F13:G13"/>
    <mergeCell ref="C52:J54"/>
    <mergeCell ref="F69:G69"/>
    <mergeCell ref="H40:H41"/>
    <mergeCell ref="C50:D51"/>
    <mergeCell ref="C55:J57"/>
    <mergeCell ref="I40:I41"/>
    <mergeCell ref="F50:G50"/>
    <mergeCell ref="C64:J66"/>
    <mergeCell ref="C27:J29"/>
    <mergeCell ref="G31:G32"/>
    <mergeCell ref="C45:J47"/>
    <mergeCell ref="F60:G60"/>
    <mergeCell ref="F31:F32"/>
    <mergeCell ref="F10:G10"/>
    <mergeCell ref="C68:D69"/>
    <mergeCell ref="J40:J41"/>
    <mergeCell ref="M50:N51"/>
    <mergeCell ref="B52:B54"/>
    <mergeCell ref="P31:Q31"/>
    <mergeCell ref="F9:G9"/>
    <mergeCell ref="N5:O5"/>
    <mergeCell ref="C30:D30"/>
    <mergeCell ref="B2:D2"/>
    <mergeCell ref="L14:L15"/>
    <mergeCell ref="N8:O8"/>
    <mergeCell ref="L9:M9"/>
    <mergeCell ref="L8:M8"/>
    <mergeCell ref="L10:O10"/>
    <mergeCell ref="E3:G8"/>
    <mergeCell ref="P41:Q41"/>
    <mergeCell ref="C58:D58"/>
    <mergeCell ref="M59:N60"/>
    <mergeCell ref="F40:F41"/>
    <mergeCell ref="M58:N58"/>
    <mergeCell ref="L42:L44"/>
    <mergeCell ref="M40:N41"/>
    <mergeCell ref="C33:J35"/>
    <mergeCell ref="L36:L38"/>
    <mergeCell ref="C61:J63"/>
    <mergeCell ref="L50:L51"/>
    <mergeCell ref="F51:G51"/>
    <mergeCell ref="F59:G59"/>
    <mergeCell ref="P14:T15"/>
    <mergeCell ref="I31:I32"/>
    <mergeCell ref="B24:B26"/>
    <mergeCell ref="J22:J23"/>
    <mergeCell ref="C70:J72"/>
    <mergeCell ref="C49:D49"/>
    <mergeCell ref="B55:B57"/>
    <mergeCell ref="C59:D60"/>
    <mergeCell ref="M64:T66"/>
    <mergeCell ref="L64:L66"/>
    <mergeCell ref="L70:L72"/>
    <mergeCell ref="E31:E32"/>
    <mergeCell ref="L20:T20"/>
    <mergeCell ref="J31:J32"/>
    <mergeCell ref="P32:Q32"/>
    <mergeCell ref="L22:L23"/>
    <mergeCell ref="L31:L32"/>
    <mergeCell ref="P51:Q51"/>
    <mergeCell ref="H31:H32"/>
    <mergeCell ref="C39:D39"/>
    <mergeCell ref="L24:L26"/>
    <mergeCell ref="M52:T54"/>
    <mergeCell ref="L16:L19"/>
    <mergeCell ref="E40:E41"/>
    <mergeCell ref="M42:T44"/>
    <mergeCell ref="M14:N15"/>
    <mergeCell ref="P59:Q59"/>
    <mergeCell ref="F22:F23"/>
    <mergeCell ref="C36:J38"/>
    <mergeCell ref="M16:T19"/>
    <mergeCell ref="B59:B60"/>
    <mergeCell ref="B61:B63"/>
    <mergeCell ref="M61:T63"/>
    <mergeCell ref="F14:G14"/>
    <mergeCell ref="B33:B35"/>
  </mergeCells>
  <conditionalFormatting sqref="J58">
    <cfRule type="cellIs" operator="equal" priority="6" dxfId="0">
      <formula>0</formula>
    </cfRule>
  </conditionalFormatting>
  <conditionalFormatting sqref="J49">
    <cfRule type="cellIs" operator="equal" priority="18" dxfId="1">
      <formula>0</formula>
    </cfRule>
  </conditionalFormatting>
  <conditionalFormatting sqref="T67">
    <cfRule type="cellIs" operator="equal" priority="10" dxfId="2">
      <formula>0</formula>
    </cfRule>
  </conditionalFormatting>
  <conditionalFormatting sqref="J67">
    <cfRule type="cellIs" operator="equal" priority="5" dxfId="3">
      <formula>0</formula>
    </cfRule>
  </conditionalFormatting>
  <conditionalFormatting sqref="C19:I19">
    <cfRule type="cellIs" operator="notEqual" priority="31" dxfId="4">
      <formula>0</formula>
    </cfRule>
  </conditionalFormatting>
  <conditionalFormatting sqref="T39">
    <cfRule type="cellIs" operator="equal" priority="2" dxfId="5">
      <formula>0</formula>
    </cfRule>
  </conditionalFormatting>
  <conditionalFormatting sqref="T30">
    <cfRule type="cellIs" operator="equal" priority="3" dxfId="6">
      <formula>0</formula>
    </cfRule>
  </conditionalFormatting>
  <conditionalFormatting sqref="N3:O9">
    <cfRule type="cellIs" operator="equal" priority="9" dxfId="7">
      <formula>0</formula>
    </cfRule>
  </conditionalFormatting>
  <conditionalFormatting sqref="G18 C17">
    <cfRule type="cellIs" operator="notEqual" priority="24" dxfId="8">
      <formula>0</formula>
    </cfRule>
  </conditionalFormatting>
  <conditionalFormatting sqref="T21">
    <cfRule type="cellIs" operator="equal" priority="4" dxfId="9">
      <formula>0</formula>
    </cfRule>
  </conditionalFormatting>
  <conditionalFormatting sqref="J21 J30 J39">
    <cfRule type="cellIs" operator="equal" priority="21" dxfId="10">
      <formula>0</formula>
    </cfRule>
  </conditionalFormatting>
  <conditionalFormatting sqref="T58">
    <cfRule type="cellIs" operator="equal" priority="11" dxfId="11">
      <formula>0</formula>
    </cfRule>
  </conditionalFormatting>
  <conditionalFormatting sqref="T49">
    <cfRule type="cellIs" operator="equal" priority="12" dxfId="12">
      <formula>0</formula>
    </cfRule>
  </conditionalFormatting>
  <conditionalFormatting sqref="J22 J31 J40">
    <cfRule type="cellIs" operator="equal" priority="1" dxfId="13">
      <formula>0</formula>
    </cfRule>
  </conditionalFormatting>
  <dataValidations count="8">
    <dataValidation allowBlank="1" type="any" operator="between" errorStyle="stop" showInputMessage="1" showErrorMessage="1" sqref="N4:O4"/>
    <dataValidation allowBlank="1" type="any" operator="between" errorStyle="stop" showInputMessage="1" showErrorMessage="1" sqref="N9:O9"/>
    <dataValidation allowBlank="1" type="any" operator="between" errorStyle="stop" showInputMessage="1" showErrorMessage="1" sqref="N6:O7"/>
    <dataValidation allowBlank="1" type="list" errorStyle="stop" showInputMessage="1" showErrorMessage="1" sqref="F9:G9">
      <formula1>'（调卡用表）'!$B$4:$B$10</formula1>
    </dataValidation>
    <dataValidation allowBlank="1" type="list" errorStyle="stop" showInputMessage="1" showErrorMessage="1" sqref="F13:G13">
      <formula1>"袖珍,通常,巨大,超巨大"</formula1>
    </dataValidation>
    <dataValidation allowBlank="1" type="list" errorStyle="stop" showInputMessage="1" showErrorMessage="1" sqref="C18">
      <formula1>数值参考!$A$2:$A$5</formula1>
    </dataValidation>
    <dataValidation allowBlank="1" type="decimal" operator="between" errorStyle="warning" showInputMessage="1" showErrorMessage="1" errorTitle="分配之點數超出等級" error="每项属性在没有特殊说明的情况下，不能高于自身等级。该限制也对造物以及召唤物起效。御主在分配自由属性点时，分配至[魔]属性的属性点将要以2:1的比例去分配。" sqref="F19">
      <formula1>0</formula1>
      <formula2>E18</formula2>
    </dataValidation>
    <dataValidation allowBlank="1" type="list" errorStyle="stop" showInputMessage="1" showErrorMessage="1" sqref="F11:G12">
      <formula1>"人型,神性,魔性,龙种,猛兽,魔兽,构装体"</formula1>
    </dataValidation>
  </dataValidations>
  <pageMargins left="0.699305555555556" right="0.699305555555556" top="0.75" bottom="0.75" header="0.3" footer="0.3"/>
  <pageSetup paperSize="9" scale="86"/>
  <legacyDrawing r:id="rId1"/>
</worksheet>
</file>

<file path=xl/worksheets/sheet3.xml><?xml version="1.0" encoding="utf-8"?>
<worksheet xmlns:r="http://schemas.openxmlformats.org/officeDocument/2006/relationships" xmlns="http://schemas.openxmlformats.org/spreadsheetml/2006/main">
  <dimension ref="A1:AT96"/>
  <sheetViews>
    <sheetView workbookViewId="0" showGridLines="0" zoomScale="42">
      <selection activeCell="L30" sqref="L30:T32"/>
    </sheetView>
  </sheetViews>
  <sheetFormatPr defaultRowHeight="15.6" defaultColWidth="9"/>
  <cols>
    <col min="1" max="1" customWidth="1" width="5.5390625" style="3"/>
    <col min="2" max="10" customWidth="1" width="9.0" style="3"/>
    <col min="11" max="11" customWidth="1" width="5.5390625" style="3"/>
    <col min="12" max="21" customWidth="1" width="9.0" style="3"/>
    <col min="22" max="16384" customWidth="0" width="9.0" style="3"/>
  </cols>
  <sheetData>
    <row r="1" spans="8:8" ht="15.6" customHeight="1"/>
    <row r="2" spans="8:8" ht="15.6" customHeight="1">
      <c r="B2" s="203" t="s">
        <v>94</v>
      </c>
      <c r="C2" s="204"/>
      <c r="D2" s="204"/>
      <c r="E2" s="204"/>
      <c r="F2" s="204"/>
      <c r="G2" s="204"/>
      <c r="H2" s="204"/>
      <c r="I2" s="204"/>
      <c r="J2" s="205"/>
      <c r="K2" s="206"/>
      <c r="L2" s="207" t="s">
        <v>95</v>
      </c>
      <c r="M2" s="208"/>
      <c r="N2" s="208"/>
      <c r="O2" s="208"/>
      <c r="P2" s="208"/>
      <c r="Q2" s="208"/>
      <c r="R2" s="208"/>
      <c r="S2" s="208"/>
      <c r="T2" s="209"/>
    </row>
    <row r="3" spans="8:8" ht="15.6" customHeight="1">
      <c r="B3" s="210" t="s">
        <v>389</v>
      </c>
      <c r="C3" s="211"/>
      <c r="D3" s="211"/>
      <c r="E3" s="211"/>
      <c r="F3" s="211"/>
      <c r="G3" s="211"/>
      <c r="H3" s="211"/>
      <c r="I3" s="211"/>
      <c r="J3" s="212"/>
      <c r="K3" s="213"/>
      <c r="L3" s="214" t="s">
        <v>397</v>
      </c>
      <c r="M3" s="215"/>
      <c r="N3" s="215"/>
      <c r="O3" s="215"/>
      <c r="P3" s="215"/>
      <c r="Q3" s="215"/>
      <c r="R3" s="215"/>
      <c r="S3" s="215"/>
      <c r="T3" s="216"/>
    </row>
    <row r="4" spans="8:8" ht="15.6" customHeight="1">
      <c r="B4" s="210"/>
      <c r="C4" s="211"/>
      <c r="D4" s="211"/>
      <c r="E4" s="211"/>
      <c r="F4" s="211"/>
      <c r="G4" s="211"/>
      <c r="H4" s="211"/>
      <c r="I4" s="211"/>
      <c r="J4" s="212"/>
      <c r="K4" s="213"/>
      <c r="L4" s="217"/>
      <c r="M4" s="218"/>
      <c r="N4" s="218"/>
      <c r="O4" s="218"/>
      <c r="P4" s="218"/>
      <c r="Q4" s="218"/>
      <c r="R4" s="218"/>
      <c r="S4" s="218"/>
      <c r="T4" s="219"/>
    </row>
    <row r="5" spans="8:8" ht="15.6" customHeight="1">
      <c r="B5" s="220"/>
      <c r="C5" s="221"/>
      <c r="D5" s="221"/>
      <c r="E5" s="221"/>
      <c r="F5" s="221"/>
      <c r="G5" s="221"/>
      <c r="H5" s="221"/>
      <c r="I5" s="221"/>
      <c r="J5" s="222"/>
      <c r="K5" s="213"/>
      <c r="L5" s="217"/>
      <c r="M5" s="218"/>
      <c r="N5" s="218"/>
      <c r="O5" s="218"/>
      <c r="P5" s="218"/>
      <c r="Q5" s="218"/>
      <c r="R5" s="218"/>
      <c r="S5" s="218"/>
      <c r="T5" s="219"/>
    </row>
    <row r="6" spans="8:8" ht="15.6" customHeight="1">
      <c r="B6" s="223" t="s">
        <v>98</v>
      </c>
      <c r="C6" s="224"/>
      <c r="D6" s="225" t="s">
        <v>137</v>
      </c>
      <c r="E6" s="225"/>
      <c r="F6" s="226"/>
      <c r="G6" s="226"/>
      <c r="H6" s="227" t="s">
        <v>100</v>
      </c>
      <c r="I6" s="228" t="s">
        <v>394</v>
      </c>
      <c r="J6" s="229"/>
      <c r="K6" s="213"/>
      <c r="L6" s="230"/>
      <c r="M6" s="231"/>
      <c r="N6" s="231"/>
      <c r="O6" s="231"/>
      <c r="P6" s="231"/>
      <c r="Q6" s="231"/>
      <c r="R6" s="231"/>
      <c r="S6" s="231"/>
      <c r="T6" s="232"/>
    </row>
    <row r="7" spans="8:8" ht="15.6" customHeight="1">
      <c r="B7" s="233" t="s">
        <v>102</v>
      </c>
      <c r="C7" s="234"/>
      <c r="D7" s="235" t="s">
        <v>137</v>
      </c>
      <c r="E7" s="235"/>
      <c r="F7" s="236"/>
      <c r="G7" s="236"/>
      <c r="H7" s="237" t="s">
        <v>104</v>
      </c>
      <c r="I7" s="236" t="s">
        <v>137</v>
      </c>
      <c r="J7" s="238"/>
      <c r="K7" s="213"/>
      <c r="L7" s="239" t="s">
        <v>106</v>
      </c>
      <c r="M7" s="240"/>
      <c r="N7" s="240"/>
      <c r="O7" s="240"/>
      <c r="P7" s="240"/>
      <c r="Q7" s="240"/>
      <c r="R7" s="240"/>
      <c r="S7" s="240"/>
      <c r="T7" s="241"/>
    </row>
    <row r="8" spans="8:8" ht="15.6" customHeight="1">
      <c r="B8" s="223" t="s">
        <v>107</v>
      </c>
      <c r="C8" s="224"/>
      <c r="D8" s="225" t="s">
        <v>137</v>
      </c>
      <c r="E8" s="225"/>
      <c r="F8" s="226"/>
      <c r="G8" s="226"/>
      <c r="H8" s="242" t="s">
        <v>109</v>
      </c>
      <c r="I8" s="242"/>
      <c r="J8" s="243"/>
      <c r="K8" s="213"/>
      <c r="L8" s="244" t="s">
        <v>398</v>
      </c>
      <c r="M8" s="245"/>
      <c r="N8" s="245"/>
      <c r="O8" s="245"/>
      <c r="P8" s="245"/>
      <c r="Q8" s="245"/>
      <c r="R8" s="245"/>
      <c r="S8" s="245"/>
      <c r="T8" s="246"/>
    </row>
    <row r="9" spans="8:8" ht="15.6" customHeight="1">
      <c r="B9" s="233" t="s">
        <v>111</v>
      </c>
      <c r="C9" s="234"/>
      <c r="D9" s="235" t="s">
        <v>137</v>
      </c>
      <c r="E9" s="235"/>
      <c r="F9" s="236"/>
      <c r="G9" s="236"/>
      <c r="H9" s="242"/>
      <c r="I9" s="242"/>
      <c r="J9" s="243"/>
      <c r="K9" s="213"/>
      <c r="L9" s="247"/>
      <c r="M9" s="248"/>
      <c r="N9" s="248"/>
      <c r="O9" s="248"/>
      <c r="P9" s="248"/>
      <c r="Q9" s="248"/>
      <c r="R9" s="248"/>
      <c r="S9" s="248"/>
      <c r="T9" s="249"/>
    </row>
    <row r="10" spans="8:8" ht="15.6" customHeight="1">
      <c r="B10" s="233" t="s">
        <v>113</v>
      </c>
      <c r="C10" s="250" t="s">
        <v>390</v>
      </c>
      <c r="D10" s="250"/>
      <c r="E10" s="234" t="s">
        <v>115</v>
      </c>
      <c r="F10" s="250" t="s">
        <v>391</v>
      </c>
      <c r="G10" s="250"/>
      <c r="H10" s="242"/>
      <c r="I10" s="242"/>
      <c r="J10" s="243"/>
      <c r="K10" s="213"/>
      <c r="L10" s="247"/>
      <c r="M10" s="248"/>
      <c r="N10" s="248"/>
      <c r="O10" s="248"/>
      <c r="P10" s="248"/>
      <c r="Q10" s="248"/>
      <c r="R10" s="248"/>
      <c r="S10" s="248"/>
      <c r="T10" s="249"/>
    </row>
    <row r="11" spans="8:8" ht="15.6" customHeight="1">
      <c r="A11" s="251"/>
      <c r="B11" s="233" t="s">
        <v>38</v>
      </c>
      <c r="C11" s="250" t="s">
        <v>391</v>
      </c>
      <c r="D11" s="250"/>
      <c r="E11" s="234" t="s">
        <v>118</v>
      </c>
      <c r="F11" s="250" t="s">
        <v>392</v>
      </c>
      <c r="G11" s="250"/>
      <c r="H11" s="242"/>
      <c r="I11" s="242"/>
      <c r="J11" s="243"/>
      <c r="K11" s="213"/>
      <c r="L11" s="247"/>
      <c r="M11" s="248"/>
      <c r="N11" s="248"/>
      <c r="O11" s="248"/>
      <c r="P11" s="248"/>
      <c r="Q11" s="248"/>
      <c r="R11" s="248"/>
      <c r="S11" s="248"/>
      <c r="T11" s="249"/>
    </row>
    <row r="12" spans="8:8" ht="15.6" customHeight="1">
      <c r="A12" s="251"/>
      <c r="B12" s="233" t="s">
        <v>44</v>
      </c>
      <c r="C12" s="250" t="s">
        <v>393</v>
      </c>
      <c r="D12" s="250"/>
      <c r="E12" s="252" t="s">
        <v>121</v>
      </c>
      <c r="F12" s="252"/>
      <c r="G12" s="252"/>
      <c r="H12" s="242"/>
      <c r="I12" s="242"/>
      <c r="J12" s="243"/>
      <c r="K12" s="213"/>
      <c r="L12" s="247"/>
      <c r="M12" s="248"/>
      <c r="N12" s="248"/>
      <c r="O12" s="248"/>
      <c r="P12" s="248"/>
      <c r="Q12" s="248"/>
      <c r="R12" s="248"/>
      <c r="S12" s="248"/>
      <c r="T12" s="249"/>
    </row>
    <row r="13" spans="8:8" ht="15.6" customHeight="1">
      <c r="A13" s="251"/>
      <c r="B13" s="233" t="s">
        <v>122</v>
      </c>
      <c r="C13" s="250" t="s">
        <v>392</v>
      </c>
      <c r="D13" s="250"/>
      <c r="E13" s="253" t="s">
        <v>395</v>
      </c>
      <c r="F13" s="253"/>
      <c r="G13" s="253"/>
      <c r="H13" s="242"/>
      <c r="I13" s="242"/>
      <c r="J13" s="243"/>
      <c r="K13" s="213"/>
      <c r="L13" s="247"/>
      <c r="M13" s="248"/>
      <c r="N13" s="248"/>
      <c r="O13" s="248"/>
      <c r="P13" s="248"/>
      <c r="Q13" s="248"/>
      <c r="R13" s="248"/>
      <c r="S13" s="248"/>
      <c r="T13" s="249"/>
    </row>
    <row r="14" spans="8:8" ht="15.6" customHeight="1">
      <c r="A14" s="251"/>
      <c r="B14" s="233" t="s">
        <v>123</v>
      </c>
      <c r="C14" s="250" t="s">
        <v>392</v>
      </c>
      <c r="D14" s="250"/>
      <c r="E14" s="254" t="s">
        <v>33</v>
      </c>
      <c r="F14" s="254"/>
      <c r="G14" s="254"/>
      <c r="H14" s="242"/>
      <c r="I14" s="242"/>
      <c r="J14" s="243"/>
      <c r="K14" s="213"/>
      <c r="L14" s="247"/>
      <c r="M14" s="248"/>
      <c r="N14" s="248"/>
      <c r="O14" s="248"/>
      <c r="P14" s="248"/>
      <c r="Q14" s="248"/>
      <c r="R14" s="248"/>
      <c r="S14" s="248"/>
      <c r="T14" s="249"/>
    </row>
    <row r="15" spans="8:8" ht="15.6" customHeight="1">
      <c r="A15" s="251"/>
      <c r="B15" s="233" t="s">
        <v>124</v>
      </c>
      <c r="C15" s="250" t="s">
        <v>392</v>
      </c>
      <c r="D15" s="250"/>
      <c r="E15" s="255" t="s">
        <v>125</v>
      </c>
      <c r="F15" s="255"/>
      <c r="G15" s="255"/>
      <c r="H15" s="242"/>
      <c r="I15" s="242"/>
      <c r="J15" s="243"/>
      <c r="K15" s="213"/>
      <c r="L15" s="247"/>
      <c r="M15" s="248"/>
      <c r="N15" s="248"/>
      <c r="O15" s="248"/>
      <c r="P15" s="248"/>
      <c r="Q15" s="248"/>
      <c r="R15" s="248"/>
      <c r="S15" s="248"/>
      <c r="T15" s="249"/>
    </row>
    <row r="16" spans="8:8" ht="15.6" customHeight="1">
      <c r="A16" s="251"/>
      <c r="B16" s="256" t="s">
        <v>126</v>
      </c>
      <c r="C16" s="257"/>
      <c r="D16" s="257"/>
      <c r="E16" s="258"/>
      <c r="F16" s="255"/>
      <c r="G16" s="255"/>
      <c r="H16" s="242"/>
      <c r="I16" s="242"/>
      <c r="J16" s="243"/>
      <c r="K16" s="213"/>
      <c r="L16" s="247"/>
      <c r="M16" s="248"/>
      <c r="N16" s="248"/>
      <c r="O16" s="248"/>
      <c r="P16" s="248"/>
      <c r="Q16" s="248"/>
      <c r="R16" s="248"/>
      <c r="S16" s="248"/>
      <c r="T16" s="249"/>
    </row>
    <row r="17" spans="8:8" ht="15.6" customHeight="1">
      <c r="A17" s="251"/>
      <c r="B17" s="214" t="s">
        <v>396</v>
      </c>
      <c r="C17" s="215"/>
      <c r="D17" s="215"/>
      <c r="E17" s="215"/>
      <c r="F17" s="215"/>
      <c r="G17" s="215"/>
      <c r="H17" s="259"/>
      <c r="I17" s="259"/>
      <c r="J17" s="260"/>
      <c r="K17" s="213"/>
      <c r="L17" s="247"/>
      <c r="M17" s="248"/>
      <c r="N17" s="248"/>
      <c r="O17" s="248"/>
      <c r="P17" s="248"/>
      <c r="Q17" s="248"/>
      <c r="R17" s="248"/>
      <c r="S17" s="248"/>
      <c r="T17" s="249"/>
    </row>
    <row r="18" spans="8:8" ht="15.6" customHeight="1">
      <c r="A18" s="251"/>
      <c r="B18" s="217"/>
      <c r="C18" s="218"/>
      <c r="D18" s="218"/>
      <c r="E18" s="218"/>
      <c r="F18" s="218"/>
      <c r="G18" s="218"/>
      <c r="H18" s="261"/>
      <c r="I18" s="261"/>
      <c r="J18" s="262"/>
      <c r="K18" s="213"/>
      <c r="L18" s="247"/>
      <c r="M18" s="248"/>
      <c r="N18" s="248"/>
      <c r="O18" s="248"/>
      <c r="P18" s="248"/>
      <c r="Q18" s="248"/>
      <c r="R18" s="248"/>
      <c r="S18" s="248"/>
      <c r="T18" s="249"/>
    </row>
    <row r="19" spans="8:8" ht="15.6" customHeight="1">
      <c r="A19" s="251"/>
      <c r="B19" s="217"/>
      <c r="C19" s="218"/>
      <c r="D19" s="218"/>
      <c r="E19" s="218"/>
      <c r="F19" s="218"/>
      <c r="G19" s="218"/>
      <c r="H19" s="261"/>
      <c r="I19" s="261"/>
      <c r="J19" s="262"/>
      <c r="K19" s="213"/>
      <c r="L19" s="247"/>
      <c r="M19" s="248"/>
      <c r="N19" s="248"/>
      <c r="O19" s="248"/>
      <c r="P19" s="248"/>
      <c r="Q19" s="248"/>
      <c r="R19" s="248"/>
      <c r="S19" s="248"/>
      <c r="T19" s="249"/>
    </row>
    <row r="20" spans="8:8" ht="15.6" customHeight="1">
      <c r="A20" s="251"/>
      <c r="B20" s="217"/>
      <c r="C20" s="218"/>
      <c r="D20" s="218"/>
      <c r="E20" s="218"/>
      <c r="F20" s="218"/>
      <c r="G20" s="218"/>
      <c r="H20" s="261"/>
      <c r="I20" s="261"/>
      <c r="J20" s="262"/>
      <c r="K20" s="213"/>
      <c r="L20" s="247"/>
      <c r="M20" s="248"/>
      <c r="N20" s="248"/>
      <c r="O20" s="248"/>
      <c r="P20" s="248"/>
      <c r="Q20" s="248"/>
      <c r="R20" s="248"/>
      <c r="S20" s="248"/>
      <c r="T20" s="249"/>
    </row>
    <row r="21" spans="8:8" ht="15.6" customHeight="1">
      <c r="A21" s="251"/>
      <c r="B21" s="217"/>
      <c r="C21" s="218"/>
      <c r="D21" s="218"/>
      <c r="E21" s="218"/>
      <c r="F21" s="218"/>
      <c r="G21" s="218"/>
      <c r="H21" s="218"/>
      <c r="I21" s="218"/>
      <c r="J21" s="263"/>
      <c r="K21" s="213"/>
      <c r="L21" s="247"/>
      <c r="M21" s="248"/>
      <c r="N21" s="248"/>
      <c r="O21" s="248"/>
      <c r="P21" s="248"/>
      <c r="Q21" s="248"/>
      <c r="R21" s="248"/>
      <c r="S21" s="248"/>
      <c r="T21" s="249"/>
    </row>
    <row r="22" spans="8:8" ht="15.6" customHeight="1">
      <c r="A22" s="251"/>
      <c r="B22" s="217"/>
      <c r="C22" s="218"/>
      <c r="D22" s="218"/>
      <c r="E22" s="218"/>
      <c r="F22" s="218"/>
      <c r="G22" s="218"/>
      <c r="H22" s="218"/>
      <c r="I22" s="218"/>
      <c r="J22" s="263"/>
      <c r="K22" s="213"/>
      <c r="L22" s="247"/>
      <c r="M22" s="248"/>
      <c r="N22" s="248"/>
      <c r="O22" s="248"/>
      <c r="P22" s="248"/>
      <c r="Q22" s="248"/>
      <c r="R22" s="248"/>
      <c r="S22" s="248"/>
      <c r="T22" s="249"/>
    </row>
    <row r="23" spans="8:8" ht="15.6" customHeight="1">
      <c r="A23" s="251"/>
      <c r="B23" s="217"/>
      <c r="C23" s="218"/>
      <c r="D23" s="218"/>
      <c r="E23" s="218"/>
      <c r="F23" s="218"/>
      <c r="G23" s="218"/>
      <c r="H23" s="218"/>
      <c r="I23" s="218"/>
      <c r="J23" s="263"/>
      <c r="K23" s="213"/>
      <c r="L23" s="247"/>
      <c r="M23" s="248"/>
      <c r="N23" s="248"/>
      <c r="O23" s="248"/>
      <c r="P23" s="248"/>
      <c r="Q23" s="248"/>
      <c r="R23" s="248"/>
      <c r="S23" s="248"/>
      <c r="T23" s="249"/>
    </row>
    <row r="24" spans="8:8" ht="15.6" customHeight="1">
      <c r="A24" s="251"/>
      <c r="B24" s="264"/>
      <c r="C24" s="265"/>
      <c r="D24" s="265"/>
      <c r="E24" s="265"/>
      <c r="F24" s="265"/>
      <c r="G24" s="265"/>
      <c r="H24" s="265"/>
      <c r="I24" s="265"/>
      <c r="J24" s="266"/>
      <c r="K24" s="213"/>
      <c r="L24" s="247"/>
      <c r="M24" s="248"/>
      <c r="N24" s="248"/>
      <c r="O24" s="248"/>
      <c r="P24" s="248"/>
      <c r="Q24" s="248"/>
      <c r="R24" s="248"/>
      <c r="S24" s="248"/>
      <c r="T24" s="249"/>
    </row>
    <row r="25" spans="8:8" ht="15.6" customHeight="1">
      <c r="A25" s="251"/>
      <c r="B25" s="267" t="s">
        <v>128</v>
      </c>
      <c r="C25" s="268"/>
      <c r="D25" s="268"/>
      <c r="E25" s="268"/>
      <c r="F25" s="268"/>
      <c r="G25" s="268"/>
      <c r="H25" s="268"/>
      <c r="I25" s="268"/>
      <c r="J25" s="269"/>
      <c r="K25" s="213"/>
      <c r="L25" s="270" t="s">
        <v>129</v>
      </c>
      <c r="M25" s="271"/>
      <c r="N25" s="271"/>
      <c r="O25" s="271"/>
      <c r="P25" s="271"/>
      <c r="Q25" s="271"/>
      <c r="R25" s="271"/>
      <c r="S25" s="271"/>
      <c r="T25" s="272"/>
    </row>
    <row r="26" spans="8:8" ht="15.6" customHeight="1">
      <c r="A26" s="251"/>
      <c r="B26" s="273" t="s">
        <v>130</v>
      </c>
      <c r="C26" s="274" t="s">
        <v>131</v>
      </c>
      <c r="D26" s="275"/>
      <c r="E26" s="276" t="s">
        <v>132</v>
      </c>
      <c r="F26" s="277" t="s">
        <v>133</v>
      </c>
      <c r="G26" s="278"/>
      <c r="H26" s="279" t="s">
        <v>134</v>
      </c>
      <c r="I26" s="274" t="s">
        <v>135</v>
      </c>
      <c r="J26" s="280"/>
      <c r="K26" s="213"/>
      <c r="L26" s="281" t="s">
        <v>399</v>
      </c>
      <c r="M26" s="282"/>
      <c r="N26" s="282"/>
      <c r="O26" s="282"/>
      <c r="P26" s="282"/>
      <c r="Q26" s="282"/>
      <c r="R26" s="282"/>
      <c r="S26" s="282"/>
      <c r="T26" s="283"/>
    </row>
    <row r="27" spans="8:8" ht="15.6" customHeight="1">
      <c r="A27" s="251"/>
      <c r="B27" s="273" t="s">
        <v>136</v>
      </c>
      <c r="C27" s="284" t="s">
        <v>137</v>
      </c>
      <c r="D27" s="285"/>
      <c r="E27" s="285"/>
      <c r="F27" s="285"/>
      <c r="G27" s="285"/>
      <c r="H27" s="285"/>
      <c r="I27" s="285"/>
      <c r="J27" s="285"/>
      <c r="K27" s="213"/>
      <c r="L27" s="286"/>
      <c r="M27" s="287"/>
      <c r="N27" s="287"/>
      <c r="O27" s="287"/>
      <c r="P27" s="287"/>
      <c r="Q27" s="287"/>
      <c r="R27" s="287"/>
      <c r="S27" s="287"/>
      <c r="T27" s="288"/>
    </row>
    <row r="28" spans="8:8" ht="15.6" customHeight="1">
      <c r="A28" s="251"/>
      <c r="B28" s="273"/>
      <c r="C28" s="289"/>
      <c r="D28" s="290"/>
      <c r="E28" s="290"/>
      <c r="F28" s="290"/>
      <c r="G28" s="290"/>
      <c r="H28" s="290"/>
      <c r="I28" s="290"/>
      <c r="J28" s="290"/>
      <c r="K28" s="213"/>
      <c r="L28" s="291"/>
      <c r="M28" s="292"/>
      <c r="N28" s="292"/>
      <c r="O28" s="292"/>
      <c r="P28" s="292"/>
      <c r="Q28" s="292"/>
      <c r="R28" s="292"/>
      <c r="S28" s="292"/>
      <c r="T28" s="293"/>
    </row>
    <row r="29" spans="8:8" ht="15.6" customHeight="1">
      <c r="A29" s="251"/>
      <c r="B29" s="273" t="s">
        <v>138</v>
      </c>
      <c r="C29" s="284" t="s">
        <v>139</v>
      </c>
      <c r="D29" s="285"/>
      <c r="E29" s="285"/>
      <c r="F29" s="285"/>
      <c r="G29" s="285"/>
      <c r="H29" s="285"/>
      <c r="I29" s="285"/>
      <c r="J29" s="285"/>
      <c r="K29" s="213"/>
      <c r="L29" s="270" t="s">
        <v>140</v>
      </c>
      <c r="M29" s="271"/>
      <c r="N29" s="271"/>
      <c r="O29" s="271"/>
      <c r="P29" s="271"/>
      <c r="Q29" s="271"/>
      <c r="R29" s="271"/>
      <c r="S29" s="271"/>
      <c r="T29" s="272"/>
    </row>
    <row r="30" spans="8:8" ht="15.6" customHeight="1">
      <c r="A30" s="251"/>
      <c r="B30" s="273"/>
      <c r="C30" s="294"/>
      <c r="D30" s="295"/>
      <c r="E30" s="295"/>
      <c r="F30" s="295"/>
      <c r="G30" s="295"/>
      <c r="H30" s="295"/>
      <c r="I30" s="295"/>
      <c r="J30" s="295"/>
      <c r="K30" s="213"/>
      <c r="L30" s="214" t="s">
        <v>401</v>
      </c>
      <c r="M30" s="215"/>
      <c r="N30" s="215"/>
      <c r="O30" s="215"/>
      <c r="P30" s="215"/>
      <c r="Q30" s="215"/>
      <c r="R30" s="215"/>
      <c r="S30" s="215"/>
      <c r="T30" s="216"/>
    </row>
    <row r="31" spans="8:8" ht="15.6" customHeight="1">
      <c r="A31" s="251"/>
      <c r="B31" s="273"/>
      <c r="C31" s="289"/>
      <c r="D31" s="290"/>
      <c r="E31" s="290"/>
      <c r="F31" s="290"/>
      <c r="G31" s="290"/>
      <c r="H31" s="290"/>
      <c r="I31" s="290"/>
      <c r="J31" s="290"/>
      <c r="K31" s="213"/>
      <c r="L31" s="217"/>
      <c r="M31" s="218"/>
      <c r="N31" s="218"/>
      <c r="O31" s="218"/>
      <c r="P31" s="218"/>
      <c r="Q31" s="218"/>
      <c r="R31" s="218"/>
      <c r="S31" s="218"/>
      <c r="T31" s="219"/>
    </row>
    <row r="32" spans="8:8" ht="15.6" customHeight="1">
      <c r="A32" s="251"/>
      <c r="B32" s="273" t="s">
        <v>130</v>
      </c>
      <c r="C32" s="274"/>
      <c r="D32" s="275"/>
      <c r="E32" s="276" t="s">
        <v>132</v>
      </c>
      <c r="F32" s="277"/>
      <c r="G32" s="278"/>
      <c r="H32" s="279" t="s">
        <v>134</v>
      </c>
      <c r="I32" s="274" t="s">
        <v>142</v>
      </c>
      <c r="J32" s="280"/>
      <c r="K32" s="213"/>
      <c r="L32" s="296"/>
      <c r="M32" s="297"/>
      <c r="N32" s="297"/>
      <c r="O32" s="297"/>
      <c r="P32" s="297"/>
      <c r="Q32" s="297"/>
      <c r="R32" s="297"/>
      <c r="S32" s="297"/>
      <c r="T32" s="298"/>
    </row>
    <row r="33" spans="8:8" ht="15.6" customHeight="1">
      <c r="A33" s="251"/>
      <c r="B33" s="273" t="s">
        <v>136</v>
      </c>
      <c r="C33" s="284" t="s">
        <v>143</v>
      </c>
      <c r="D33" s="285"/>
      <c r="E33" s="285"/>
      <c r="F33" s="285"/>
      <c r="G33" s="285"/>
      <c r="H33" s="285"/>
      <c r="I33" s="285"/>
      <c r="J33" s="285"/>
      <c r="K33" s="213"/>
      <c r="L33" s="270" t="s">
        <v>144</v>
      </c>
      <c r="M33" s="271"/>
      <c r="N33" s="271"/>
      <c r="O33" s="271"/>
      <c r="P33" s="271"/>
      <c r="Q33" s="271"/>
      <c r="R33" s="271"/>
      <c r="S33" s="271"/>
      <c r="T33" s="272"/>
    </row>
    <row r="34" spans="8:8" ht="15.6" customHeight="1">
      <c r="A34" s="251"/>
      <c r="B34" s="273"/>
      <c r="C34" s="289"/>
      <c r="D34" s="290"/>
      <c r="E34" s="290"/>
      <c r="F34" s="290"/>
      <c r="G34" s="290"/>
      <c r="H34" s="290"/>
      <c r="I34" s="290"/>
      <c r="J34" s="290"/>
      <c r="K34" s="213"/>
      <c r="L34" s="281" t="s">
        <v>400</v>
      </c>
      <c r="M34" s="282"/>
      <c r="N34" s="282"/>
      <c r="O34" s="282"/>
      <c r="P34" s="282"/>
      <c r="Q34" s="282"/>
      <c r="R34" s="282"/>
      <c r="S34" s="282"/>
      <c r="T34" s="283"/>
    </row>
    <row r="35" spans="8:8" ht="15.6" customHeight="1">
      <c r="A35" s="251"/>
      <c r="B35" s="273" t="s">
        <v>138</v>
      </c>
      <c r="C35" s="284" t="s">
        <v>145</v>
      </c>
      <c r="D35" s="285"/>
      <c r="E35" s="285"/>
      <c r="F35" s="285"/>
      <c r="G35" s="285"/>
      <c r="H35" s="285"/>
      <c r="I35" s="285"/>
      <c r="J35" s="285"/>
      <c r="K35" s="213"/>
      <c r="L35" s="286"/>
      <c r="M35" s="287"/>
      <c r="N35" s="287"/>
      <c r="O35" s="287"/>
      <c r="P35" s="287"/>
      <c r="Q35" s="287"/>
      <c r="R35" s="287"/>
      <c r="S35" s="287"/>
      <c r="T35" s="288"/>
    </row>
    <row r="36" spans="8:8" ht="15.6" customHeight="1">
      <c r="A36" s="251"/>
      <c r="B36" s="273"/>
      <c r="C36" s="294"/>
      <c r="D36" s="295"/>
      <c r="E36" s="295"/>
      <c r="F36" s="295"/>
      <c r="G36" s="295"/>
      <c r="H36" s="295"/>
      <c r="I36" s="295"/>
      <c r="J36" s="295"/>
      <c r="K36" s="213"/>
      <c r="L36" s="291"/>
      <c r="M36" s="292"/>
      <c r="N36" s="292"/>
      <c r="O36" s="292"/>
      <c r="P36" s="292"/>
      <c r="Q36" s="292"/>
      <c r="R36" s="292"/>
      <c r="S36" s="292"/>
      <c r="T36" s="293"/>
    </row>
    <row r="37" spans="8:8" ht="15.6" customHeight="1">
      <c r="A37" s="251"/>
      <c r="B37" s="273"/>
      <c r="C37" s="289"/>
      <c r="D37" s="290"/>
      <c r="E37" s="290"/>
      <c r="F37" s="290"/>
      <c r="G37" s="290"/>
      <c r="H37" s="290"/>
      <c r="I37" s="290"/>
      <c r="J37" s="290"/>
      <c r="K37" s="213"/>
      <c r="L37" s="270" t="s">
        <v>146</v>
      </c>
      <c r="M37" s="271"/>
      <c r="N37" s="271"/>
      <c r="O37" s="271"/>
      <c r="P37" s="271"/>
      <c r="Q37" s="271"/>
      <c r="R37" s="271"/>
      <c r="S37" s="271"/>
      <c r="T37" s="272"/>
    </row>
    <row r="38" spans="8:8" ht="15.6" customHeight="1">
      <c r="A38" s="251"/>
      <c r="B38" s="273" t="s">
        <v>130</v>
      </c>
      <c r="C38" s="274"/>
      <c r="D38" s="275"/>
      <c r="E38" s="276" t="s">
        <v>132</v>
      </c>
      <c r="F38" s="277"/>
      <c r="G38" s="278"/>
      <c r="H38" s="279" t="s">
        <v>134</v>
      </c>
      <c r="I38" s="274" t="s">
        <v>142</v>
      </c>
      <c r="J38" s="280"/>
      <c r="K38" s="213"/>
      <c r="L38" s="281"/>
      <c r="M38" s="282"/>
      <c r="N38" s="282"/>
      <c r="O38" s="282"/>
      <c r="P38" s="282"/>
      <c r="Q38" s="282"/>
      <c r="R38" s="282"/>
      <c r="S38" s="282"/>
      <c r="T38" s="283"/>
    </row>
    <row r="39" spans="8:8" ht="15.6" customHeight="1">
      <c r="A39" s="251"/>
      <c r="B39" s="273" t="s">
        <v>136</v>
      </c>
      <c r="C39" s="284" t="s">
        <v>143</v>
      </c>
      <c r="D39" s="285"/>
      <c r="E39" s="285"/>
      <c r="F39" s="285"/>
      <c r="G39" s="285"/>
      <c r="H39" s="285"/>
      <c r="I39" s="285"/>
      <c r="J39" s="285"/>
      <c r="K39" s="213"/>
      <c r="L39" s="286"/>
      <c r="M39" s="287"/>
      <c r="N39" s="287"/>
      <c r="O39" s="287"/>
      <c r="P39" s="287"/>
      <c r="Q39" s="287"/>
      <c r="R39" s="287"/>
      <c r="S39" s="287"/>
      <c r="T39" s="288"/>
    </row>
    <row r="40" spans="8:8" ht="15.6" customHeight="1">
      <c r="A40" s="251"/>
      <c r="B40" s="273"/>
      <c r="C40" s="289"/>
      <c r="D40" s="290"/>
      <c r="E40" s="290"/>
      <c r="F40" s="290"/>
      <c r="G40" s="290"/>
      <c r="H40" s="290"/>
      <c r="I40" s="290"/>
      <c r="J40" s="290"/>
      <c r="K40" s="213"/>
      <c r="L40" s="299"/>
      <c r="M40" s="300"/>
      <c r="N40" s="300"/>
      <c r="O40" s="300"/>
      <c r="P40" s="300"/>
      <c r="Q40" s="300"/>
      <c r="R40" s="300"/>
      <c r="S40" s="300"/>
      <c r="T40" s="301"/>
    </row>
    <row r="41" spans="8:8" ht="15.6" customHeight="1">
      <c r="A41" s="251"/>
      <c r="B41" s="273" t="s">
        <v>138</v>
      </c>
      <c r="C41" s="284" t="s">
        <v>145</v>
      </c>
      <c r="D41" s="285"/>
      <c r="E41" s="285"/>
      <c r="F41" s="285"/>
      <c r="G41" s="285"/>
      <c r="H41" s="285"/>
      <c r="I41" s="285"/>
      <c r="J41" s="285"/>
      <c r="K41" s="213"/>
      <c r="L41" s="302" t="s">
        <v>147</v>
      </c>
      <c r="M41" s="303"/>
      <c r="N41" s="303"/>
      <c r="O41" s="303"/>
      <c r="P41" s="303"/>
      <c r="Q41" s="303"/>
      <c r="R41" s="303"/>
      <c r="S41" s="303"/>
      <c r="T41" s="304"/>
    </row>
    <row r="42" spans="8:8" ht="17.4">
      <c r="A42" s="251"/>
      <c r="B42" s="273"/>
      <c r="C42" s="294"/>
      <c r="D42" s="295"/>
      <c r="E42" s="295"/>
      <c r="F42" s="295"/>
      <c r="G42" s="295"/>
      <c r="H42" s="295"/>
      <c r="I42" s="295"/>
      <c r="J42" s="295"/>
      <c r="K42" s="213"/>
      <c r="L42" s="305" t="s">
        <v>148</v>
      </c>
      <c r="M42" s="306"/>
      <c r="N42" s="306"/>
      <c r="O42" s="306"/>
      <c r="P42" s="306"/>
      <c r="Q42" s="306"/>
      <c r="R42" s="306"/>
      <c r="S42" s="306"/>
      <c r="T42" s="307"/>
    </row>
    <row r="43" spans="8:8" ht="17.4">
      <c r="A43" s="251"/>
      <c r="B43" s="273"/>
      <c r="C43" s="289"/>
      <c r="D43" s="290"/>
      <c r="E43" s="290"/>
      <c r="F43" s="290"/>
      <c r="G43" s="290"/>
      <c r="H43" s="290"/>
      <c r="I43" s="290"/>
      <c r="J43" s="290"/>
      <c r="K43" s="213"/>
      <c r="L43" s="308"/>
      <c r="M43" s="309"/>
      <c r="N43" s="309"/>
      <c r="O43" s="309"/>
      <c r="P43" s="309"/>
      <c r="Q43" s="309"/>
      <c r="R43" s="309"/>
      <c r="S43" s="309"/>
      <c r="T43" s="310"/>
    </row>
    <row r="44" spans="8:8" ht="17.4">
      <c r="A44" s="251"/>
      <c r="B44" s="273" t="s">
        <v>130</v>
      </c>
      <c r="C44" s="274"/>
      <c r="D44" s="275"/>
      <c r="E44" s="276" t="s">
        <v>132</v>
      </c>
      <c r="F44" s="277"/>
      <c r="G44" s="278"/>
      <c r="H44" s="279" t="s">
        <v>134</v>
      </c>
      <c r="I44" s="274" t="s">
        <v>142</v>
      </c>
      <c r="J44" s="280"/>
      <c r="K44" s="213"/>
      <c r="L44" s="308"/>
      <c r="M44" s="309"/>
      <c r="N44" s="309"/>
      <c r="O44" s="309"/>
      <c r="P44" s="309"/>
      <c r="Q44" s="309"/>
      <c r="R44" s="309"/>
      <c r="S44" s="309"/>
      <c r="T44" s="310"/>
    </row>
    <row r="45" spans="8:8" ht="17.4">
      <c r="A45" s="251"/>
      <c r="B45" s="273" t="s">
        <v>136</v>
      </c>
      <c r="C45" s="284" t="s">
        <v>143</v>
      </c>
      <c r="D45" s="285"/>
      <c r="E45" s="285"/>
      <c r="F45" s="285"/>
      <c r="G45" s="285"/>
      <c r="H45" s="285"/>
      <c r="I45" s="285"/>
      <c r="J45" s="285"/>
      <c r="K45" s="213"/>
      <c r="L45" s="308"/>
      <c r="M45" s="309"/>
      <c r="N45" s="309"/>
      <c r="O45" s="309"/>
      <c r="P45" s="309"/>
      <c r="Q45" s="309"/>
      <c r="R45" s="309"/>
      <c r="S45" s="309"/>
      <c r="T45" s="310"/>
    </row>
    <row r="46" spans="8:8" ht="17.4">
      <c r="A46" s="251"/>
      <c r="B46" s="273"/>
      <c r="C46" s="289"/>
      <c r="D46" s="290"/>
      <c r="E46" s="290"/>
      <c r="F46" s="290"/>
      <c r="G46" s="290"/>
      <c r="H46" s="290"/>
      <c r="I46" s="290"/>
      <c r="J46" s="290"/>
      <c r="K46" s="213"/>
      <c r="L46" s="308"/>
      <c r="M46" s="309"/>
      <c r="N46" s="309"/>
      <c r="O46" s="309"/>
      <c r="P46" s="309"/>
      <c r="Q46" s="309"/>
      <c r="R46" s="309"/>
      <c r="S46" s="309"/>
      <c r="T46" s="310"/>
    </row>
    <row r="47" spans="8:8" ht="17.4">
      <c r="A47" s="251"/>
      <c r="B47" s="273" t="s">
        <v>138</v>
      </c>
      <c r="C47" s="284" t="s">
        <v>145</v>
      </c>
      <c r="D47" s="285"/>
      <c r="E47" s="285"/>
      <c r="F47" s="285"/>
      <c r="G47" s="285"/>
      <c r="H47" s="285"/>
      <c r="I47" s="285"/>
      <c r="J47" s="285"/>
      <c r="K47" s="213"/>
      <c r="L47" s="308"/>
      <c r="M47" s="309"/>
      <c r="N47" s="309"/>
      <c r="O47" s="309"/>
      <c r="P47" s="309"/>
      <c r="Q47" s="309"/>
      <c r="R47" s="309"/>
      <c r="S47" s="309"/>
      <c r="T47" s="310"/>
    </row>
    <row r="48" spans="8:8" ht="17.4">
      <c r="A48" s="251"/>
      <c r="B48" s="273"/>
      <c r="C48" s="294"/>
      <c r="D48" s="295"/>
      <c r="E48" s="295"/>
      <c r="F48" s="295"/>
      <c r="G48" s="295"/>
      <c r="H48" s="295"/>
      <c r="I48" s="295"/>
      <c r="J48" s="295"/>
      <c r="K48" s="213"/>
      <c r="L48" s="308"/>
      <c r="M48" s="309"/>
      <c r="N48" s="309"/>
      <c r="O48" s="309"/>
      <c r="P48" s="309"/>
      <c r="Q48" s="309"/>
      <c r="R48" s="309"/>
      <c r="S48" s="309"/>
      <c r="T48" s="310"/>
    </row>
    <row r="49" spans="8:8" ht="18.15">
      <c r="A49" s="251"/>
      <c r="B49" s="311"/>
      <c r="C49" s="312"/>
      <c r="D49" s="313"/>
      <c r="E49" s="313"/>
      <c r="F49" s="313"/>
      <c r="G49" s="313"/>
      <c r="H49" s="313"/>
      <c r="I49" s="313"/>
      <c r="J49" s="313"/>
      <c r="K49" s="213"/>
      <c r="L49" s="308"/>
      <c r="M49" s="309"/>
      <c r="N49" s="309"/>
      <c r="O49" s="309"/>
      <c r="P49" s="309"/>
      <c r="Q49" s="309"/>
      <c r="R49" s="309"/>
      <c r="S49" s="309"/>
      <c r="T49" s="310"/>
    </row>
    <row r="50" spans="8:8" ht="17.4">
      <c r="A50" s="251"/>
      <c r="B50" s="314" t="s">
        <v>149</v>
      </c>
      <c r="C50" s="315" t="s">
        <v>150</v>
      </c>
      <c r="D50" s="315"/>
      <c r="E50" s="315"/>
      <c r="F50" s="315"/>
      <c r="G50" s="315"/>
      <c r="H50" s="315"/>
      <c r="I50" s="315"/>
      <c r="J50" s="316"/>
      <c r="K50" s="213"/>
      <c r="L50" s="308"/>
      <c r="M50" s="309"/>
      <c r="N50" s="309"/>
      <c r="O50" s="309"/>
      <c r="P50" s="309"/>
      <c r="Q50" s="309"/>
      <c r="R50" s="309"/>
      <c r="S50" s="309"/>
      <c r="T50" s="310"/>
    </row>
    <row r="51" spans="8:8" ht="17.4">
      <c r="A51" s="251"/>
      <c r="B51" s="317" t="s">
        <v>151</v>
      </c>
      <c r="C51" s="274" t="s">
        <v>152</v>
      </c>
      <c r="D51" s="280"/>
      <c r="E51" s="280"/>
      <c r="F51" s="280"/>
      <c r="G51" s="280"/>
      <c r="H51" s="280"/>
      <c r="I51" s="280"/>
      <c r="J51" s="280"/>
      <c r="K51" s="213"/>
      <c r="L51" s="308"/>
      <c r="M51" s="309"/>
      <c r="N51" s="309"/>
      <c r="O51" s="309"/>
      <c r="P51" s="309"/>
      <c r="Q51" s="309"/>
      <c r="R51" s="309"/>
      <c r="S51" s="309"/>
      <c r="T51" s="310"/>
    </row>
    <row r="52" spans="8:8" ht="17.4">
      <c r="A52" s="251"/>
      <c r="B52" s="318" t="s">
        <v>153</v>
      </c>
      <c r="C52" s="284" t="s">
        <v>154</v>
      </c>
      <c r="D52" s="285"/>
      <c r="E52" s="285"/>
      <c r="F52" s="285"/>
      <c r="G52" s="285"/>
      <c r="H52" s="285"/>
      <c r="I52" s="285"/>
      <c r="J52" s="285"/>
      <c r="K52" s="213"/>
      <c r="L52" s="308"/>
      <c r="M52" s="309"/>
      <c r="N52" s="309"/>
      <c r="O52" s="309"/>
      <c r="P52" s="309"/>
      <c r="Q52" s="309"/>
      <c r="R52" s="309"/>
      <c r="S52" s="309"/>
      <c r="T52" s="310"/>
    </row>
    <row r="53" spans="8:8" ht="17.4">
      <c r="A53" s="251"/>
      <c r="B53" s="318"/>
      <c r="C53" s="294"/>
      <c r="D53" s="295"/>
      <c r="E53" s="295"/>
      <c r="F53" s="295"/>
      <c r="G53" s="295"/>
      <c r="H53" s="295"/>
      <c r="I53" s="295"/>
      <c r="J53" s="295"/>
      <c r="K53" s="213"/>
      <c r="L53" s="308"/>
      <c r="M53" s="309"/>
      <c r="N53" s="309"/>
      <c r="O53" s="309"/>
      <c r="P53" s="309"/>
      <c r="Q53" s="309"/>
      <c r="R53" s="309"/>
      <c r="S53" s="309"/>
      <c r="T53" s="310"/>
    </row>
    <row r="54" spans="8:8" ht="18.15">
      <c r="A54" s="251"/>
      <c r="B54" s="319"/>
      <c r="C54" s="312"/>
      <c r="D54" s="313"/>
      <c r="E54" s="313"/>
      <c r="F54" s="313"/>
      <c r="G54" s="313"/>
      <c r="H54" s="313"/>
      <c r="I54" s="313"/>
      <c r="J54" s="313"/>
      <c r="K54" s="320"/>
      <c r="L54" s="321"/>
      <c r="M54" s="322"/>
      <c r="N54" s="322"/>
      <c r="O54" s="322"/>
      <c r="P54" s="322"/>
      <c r="Q54" s="322"/>
      <c r="R54" s="322"/>
      <c r="S54" s="322"/>
      <c r="T54" s="323"/>
    </row>
    <row r="55" spans="8:8" ht="17.4">
      <c r="A55" s="251"/>
    </row>
    <row r="56" spans="8:8" ht="17.4">
      <c r="A56" s="251"/>
    </row>
    <row r="57" spans="8:8" ht="17.4">
      <c r="A57" s="251"/>
    </row>
    <row r="58" spans="8:8" ht="17.4">
      <c r="A58" s="251"/>
      <c r="V58" s="324"/>
    </row>
    <row r="59" spans="8:8" ht="17.4">
      <c r="A59" s="251"/>
      <c r="V59" s="325"/>
    </row>
    <row r="60" spans="8:8" ht="17.4">
      <c r="A60" s="251"/>
      <c r="V60" s="325"/>
    </row>
    <row r="61" spans="8:8" ht="17.4">
      <c r="A61" s="251"/>
      <c r="V61" s="325"/>
    </row>
    <row r="62" spans="8:8" ht="17.4">
      <c r="A62" s="251"/>
      <c r="V62" s="324"/>
    </row>
    <row r="63" spans="8:8" ht="17.4">
      <c r="A63" s="251"/>
      <c r="V63" s="326"/>
    </row>
    <row r="64" spans="8:8" ht="17.4">
      <c r="A64" s="251"/>
      <c r="V64" s="326"/>
    </row>
    <row r="65" spans="8:8" ht="17.4">
      <c r="A65" s="251"/>
      <c r="V65" s="326"/>
    </row>
    <row r="66" spans="8:8" ht="17.4">
      <c r="A66" s="251"/>
      <c r="V66" s="324"/>
    </row>
    <row r="67" spans="8:8" ht="17.4">
      <c r="A67" s="251"/>
      <c r="V67" s="325"/>
    </row>
    <row r="68" spans="8:8" ht="17.4">
      <c r="A68" s="251"/>
      <c r="V68" s="325"/>
    </row>
    <row r="69" spans="8:8" ht="17.4">
      <c r="A69" s="251"/>
      <c r="V69" s="325"/>
    </row>
    <row r="70" spans="8:8" ht="17.4">
      <c r="A70" s="251"/>
    </row>
    <row r="71" spans="8:8" ht="17.4">
      <c r="A71" s="251"/>
    </row>
    <row r="72" spans="8:8" ht="17.4">
      <c r="A72" s="251"/>
    </row>
    <row r="73" spans="8:8" ht="17.4">
      <c r="A73" s="251"/>
    </row>
    <row r="74" spans="8:8" ht="17.4">
      <c r="A74" s="251"/>
    </row>
    <row r="75" spans="8:8" ht="17.4">
      <c r="A75" s="251"/>
    </row>
    <row r="76" spans="8:8" ht="17.4">
      <c r="A76" s="251"/>
    </row>
    <row r="77" spans="8:8" ht="17.4">
      <c r="A77" s="251"/>
    </row>
    <row r="78" spans="8:8" ht="17.4">
      <c r="A78" s="251"/>
    </row>
    <row r="79" spans="8:8" ht="17.4">
      <c r="A79" s="251"/>
    </row>
    <row r="80" spans="8:8" ht="17.4">
      <c r="A80" s="251"/>
    </row>
    <row r="81" spans="8:8" ht="17.4">
      <c r="A81" s="251"/>
    </row>
    <row r="82" spans="8:8" ht="17.4">
      <c r="A82" s="251"/>
    </row>
    <row r="83" spans="8:8" ht="17.4">
      <c r="A83" s="251"/>
    </row>
    <row r="84" spans="8:8" ht="17.4">
      <c r="A84" s="251"/>
    </row>
    <row r="85" spans="8:8" ht="17.4">
      <c r="A85" s="251"/>
    </row>
    <row r="86" spans="8:8" ht="17.4">
      <c r="A86" s="251"/>
    </row>
    <row r="87" spans="8:8" ht="17.4">
      <c r="A87" s="251"/>
    </row>
    <row r="88" spans="8:8" ht="17.4">
      <c r="A88" s="251"/>
    </row>
    <row r="89" spans="8:8" ht="17.4">
      <c r="A89" s="251"/>
    </row>
    <row r="90" spans="8:8" ht="17.4">
      <c r="A90" s="251"/>
    </row>
    <row r="91" spans="8:8" ht="17.4">
      <c r="A91" s="251"/>
    </row>
    <row r="92" spans="8:8" ht="17.4">
      <c r="A92" s="251"/>
    </row>
    <row r="93" spans="8:8" ht="17.4">
      <c r="A93" s="251"/>
    </row>
    <row r="94" spans="8:8" ht="17.4">
      <c r="A94" s="251"/>
    </row>
    <row r="95" spans="8:8" ht="17.4">
      <c r="A95" s="251"/>
    </row>
    <row r="96" spans="8:8" ht="17.4">
      <c r="A96" s="251"/>
    </row>
  </sheetData>
  <sheetProtection sheet="0" formatColumns="0" formatRows="0" insertColumns="0" insertRows="0"/>
  <mergeCells count="74">
    <mergeCell ref="C10:D10"/>
    <mergeCell ref="C50:J50"/>
    <mergeCell ref="L30:T32"/>
    <mergeCell ref="F26:G26"/>
    <mergeCell ref="C13:D13"/>
    <mergeCell ref="L38:T40"/>
    <mergeCell ref="L7:T7"/>
    <mergeCell ref="L2:T2"/>
    <mergeCell ref="L25:T25"/>
    <mergeCell ref="L26:T28"/>
    <mergeCell ref="B7:C7"/>
    <mergeCell ref="L29:T29"/>
    <mergeCell ref="C32:D32"/>
    <mergeCell ref="E15:G16"/>
    <mergeCell ref="E12:G12"/>
    <mergeCell ref="L33:T33"/>
    <mergeCell ref="L8:T24"/>
    <mergeCell ref="L3:T6"/>
    <mergeCell ref="L37:T37"/>
    <mergeCell ref="C14:D14"/>
    <mergeCell ref="F10:G10"/>
    <mergeCell ref="B16:D16"/>
    <mergeCell ref="L34:T36"/>
    <mergeCell ref="C51:J51"/>
    <mergeCell ref="E13:G13"/>
    <mergeCell ref="B27:B28"/>
    <mergeCell ref="C12:D12"/>
    <mergeCell ref="C45:J46"/>
    <mergeCell ref="C29:J31"/>
    <mergeCell ref="I26:J26"/>
    <mergeCell ref="F32:G32"/>
    <mergeCell ref="C15:D15"/>
    <mergeCell ref="C33:J34"/>
    <mergeCell ref="C47:J49"/>
    <mergeCell ref="E14:G14"/>
    <mergeCell ref="B8:C8"/>
    <mergeCell ref="C39:J40"/>
    <mergeCell ref="B47:B49"/>
    <mergeCell ref="C52:J54"/>
    <mergeCell ref="D7:G7"/>
    <mergeCell ref="B17:J24"/>
    <mergeCell ref="I44:J44"/>
    <mergeCell ref="L42:T54"/>
    <mergeCell ref="B2:J2"/>
    <mergeCell ref="C44:D44"/>
    <mergeCell ref="I7:J7"/>
    <mergeCell ref="B33:B34"/>
    <mergeCell ref="F11:G11"/>
    <mergeCell ref="B6:C6"/>
    <mergeCell ref="D6:G6"/>
    <mergeCell ref="C11:D11"/>
    <mergeCell ref="I32:J32"/>
    <mergeCell ref="D9:G9"/>
    <mergeCell ref="C27:J28"/>
    <mergeCell ref="B39:B40"/>
    <mergeCell ref="B41:B43"/>
    <mergeCell ref="F44:G44"/>
    <mergeCell ref="B52:B54"/>
    <mergeCell ref="B3:J5"/>
    <mergeCell ref="I38:J38"/>
    <mergeCell ref="C41:J43"/>
    <mergeCell ref="I6:J6"/>
    <mergeCell ref="B25:J25"/>
    <mergeCell ref="B35:B37"/>
    <mergeCell ref="B45:B46"/>
    <mergeCell ref="D8:G8"/>
    <mergeCell ref="B29:B31"/>
    <mergeCell ref="C38:D38"/>
    <mergeCell ref="L41:T41"/>
    <mergeCell ref="H8:J16"/>
    <mergeCell ref="C26:D26"/>
    <mergeCell ref="F38:G38"/>
    <mergeCell ref="B9:C9"/>
    <mergeCell ref="C35:J37"/>
  </mergeCells>
  <dataValidations count="5">
    <dataValidation allowBlank="1" type="list" errorStyle="stop" showInputMessage="1" showErrorMessage="1" sqref="I26:J26">
      <formula1>数值参考!$B$18:$B$26</formula1>
    </dataValidation>
    <dataValidation allowBlank="1" type="list" errorStyle="stop" showInputMessage="1" showErrorMessage="1" sqref="I32:J32">
      <formula1>数值参考!$B$18:$B$26</formula1>
    </dataValidation>
    <dataValidation allowBlank="1" type="list" errorStyle="stop" showInputMessage="1" showErrorMessage="1" sqref="I38:J38">
      <formula1>数值参考!$B$18:$B$26</formula1>
    </dataValidation>
    <dataValidation allowBlank="1" type="list" errorStyle="stop" showInputMessage="1" showErrorMessage="1" sqref="I44:J44">
      <formula1>数值参考!$B$18:$B$26</formula1>
    </dataValidation>
    <dataValidation allowBlank="1" type="list" errorStyle="stop" showInputMessage="1" showErrorMessage="1" sqref="E15:G16">
      <formula1>"秩序-善,中立-善,混沌-善,秩序-中庸,中立-中庸,混沌-中庸,秩序-邪,中立-邪,混沌-邪"</formula1>
    </dataValidation>
  </dataValidations>
  <pageMargins left="0.699305555555556" right="0.699305555555556" top="0.75" bottom="0.75" header="0.3" footer="0.3"/>
</worksheet>
</file>

<file path=xl/worksheets/sheet4.xml><?xml version="1.0" encoding="utf-8"?>
<worksheet xmlns:r="http://schemas.openxmlformats.org/officeDocument/2006/relationships" xmlns="http://schemas.openxmlformats.org/spreadsheetml/2006/main">
  <dimension ref="B1:AO33"/>
  <sheetViews>
    <sheetView workbookViewId="0">
      <selection activeCell="G16" sqref="G16"/>
    </sheetView>
  </sheetViews>
  <sheetFormatPr defaultRowHeight="15.6" defaultColWidth="10"/>
  <cols>
    <col min="10" max="10" customWidth="0" width="8.8984375" style="0"/>
  </cols>
  <sheetData>
    <row r="3" spans="8:8">
      <c r="B3" s="327" t="s">
        <v>155</v>
      </c>
      <c r="C3" s="328" t="s">
        <v>60</v>
      </c>
      <c r="D3" s="328" t="s">
        <v>61</v>
      </c>
      <c r="E3" s="328" t="s">
        <v>62</v>
      </c>
      <c r="F3" s="328" t="s">
        <v>63</v>
      </c>
      <c r="G3" s="328" t="s">
        <v>64</v>
      </c>
      <c r="H3" s="328" t="s">
        <v>65</v>
      </c>
      <c r="J3" s="329" t="s">
        <v>156</v>
      </c>
      <c r="K3" s="329" t="s">
        <v>157</v>
      </c>
      <c r="M3" s="329" t="s">
        <v>158</v>
      </c>
      <c r="N3" s="329" t="s">
        <v>157</v>
      </c>
      <c r="P3" s="327" t="s">
        <v>159</v>
      </c>
      <c r="Q3" s="330" t="s">
        <v>160</v>
      </c>
    </row>
    <row r="4" spans="8:8">
      <c r="B4" s="327" t="s">
        <v>46</v>
      </c>
      <c r="C4" s="330">
        <v>0.0</v>
      </c>
      <c r="D4" s="330">
        <v>0.0</v>
      </c>
      <c r="E4" s="330">
        <v>0.0</v>
      </c>
      <c r="F4" s="330">
        <v>20.0</v>
      </c>
      <c r="G4" s="330">
        <v>10.0</v>
      </c>
      <c r="H4" s="331" t="s">
        <v>161</v>
      </c>
      <c r="J4" s="328" t="s">
        <v>162</v>
      </c>
      <c r="K4" s="328">
        <v>1.0</v>
      </c>
      <c r="M4" s="328" t="s">
        <v>162</v>
      </c>
      <c r="N4" s="328">
        <v>1.0</v>
      </c>
      <c r="P4" s="327">
        <v>10.0</v>
      </c>
      <c r="Q4" s="328">
        <v>0.0</v>
      </c>
    </row>
    <row r="5" spans="8:8">
      <c r="B5" s="327" t="s">
        <v>163</v>
      </c>
      <c r="C5" s="328">
        <v>20.0</v>
      </c>
      <c r="D5" s="330">
        <v>20.0</v>
      </c>
      <c r="E5" s="330">
        <v>20.0</v>
      </c>
      <c r="F5" s="332">
        <v>0.0</v>
      </c>
      <c r="G5" s="333">
        <v>10.0</v>
      </c>
      <c r="H5" s="333">
        <v>0.0</v>
      </c>
      <c r="J5" s="328" t="s">
        <v>164</v>
      </c>
      <c r="K5" s="328">
        <v>2.0</v>
      </c>
      <c r="M5" s="328" t="s">
        <v>164</v>
      </c>
      <c r="N5" s="328">
        <v>2.0</v>
      </c>
      <c r="P5" s="327">
        <v>20.0</v>
      </c>
      <c r="Q5" s="330">
        <v>4.0</v>
      </c>
    </row>
    <row r="6" spans="8:8">
      <c r="B6" s="327" t="s">
        <v>165</v>
      </c>
      <c r="C6" s="330">
        <v>0.0</v>
      </c>
      <c r="D6" s="330">
        <v>0.0</v>
      </c>
      <c r="E6" s="330">
        <v>0.0</v>
      </c>
      <c r="F6" s="330">
        <v>10.0</v>
      </c>
      <c r="G6" s="330">
        <v>30.0</v>
      </c>
      <c r="H6" s="331" t="s">
        <v>166</v>
      </c>
      <c r="J6" s="328" t="s">
        <v>167</v>
      </c>
      <c r="K6" s="328">
        <v>3.0</v>
      </c>
      <c r="M6" s="328" t="s">
        <v>167</v>
      </c>
      <c r="N6" s="328">
        <v>3.0</v>
      </c>
      <c r="P6" s="327">
        <v>30.0</v>
      </c>
      <c r="Q6" s="328">
        <v>8.0</v>
      </c>
    </row>
    <row r="7" spans="8:8">
      <c r="B7" s="327" t="s">
        <v>168</v>
      </c>
      <c r="C7" s="328">
        <v>0.0</v>
      </c>
      <c r="D7" s="330">
        <v>15.0</v>
      </c>
      <c r="E7" s="330">
        <v>0.0</v>
      </c>
      <c r="F7" s="330">
        <v>15.0</v>
      </c>
      <c r="G7" s="333">
        <v>10.0</v>
      </c>
      <c r="H7" s="333">
        <v>10.0</v>
      </c>
      <c r="J7" s="328" t="s">
        <v>169</v>
      </c>
      <c r="K7" s="328">
        <v>4.0</v>
      </c>
      <c r="M7" s="328" t="s">
        <v>169</v>
      </c>
      <c r="N7" s="328">
        <v>4.0</v>
      </c>
      <c r="P7" s="327">
        <v>40.0</v>
      </c>
      <c r="Q7" s="328">
        <v>12.0</v>
      </c>
    </row>
    <row r="8" spans="8:8">
      <c r="B8" s="327" t="s">
        <v>170</v>
      </c>
      <c r="C8" s="330">
        <v>10.0</v>
      </c>
      <c r="D8" s="330">
        <v>10.0</v>
      </c>
      <c r="E8" s="330">
        <v>10.0</v>
      </c>
      <c r="F8" s="330">
        <v>20.0</v>
      </c>
      <c r="G8" s="330">
        <v>0.0</v>
      </c>
      <c r="H8" s="331" t="s">
        <v>171</v>
      </c>
      <c r="J8" s="328" t="s">
        <v>172</v>
      </c>
      <c r="K8" s="328">
        <v>5.0</v>
      </c>
      <c r="M8" s="328" t="s">
        <v>172</v>
      </c>
      <c r="N8" s="328">
        <v>5.0</v>
      </c>
    </row>
    <row r="9" spans="8:8">
      <c r="B9" s="327" t="s">
        <v>173</v>
      </c>
      <c r="C9" s="328">
        <v>15.0</v>
      </c>
      <c r="D9" s="330">
        <v>20.0</v>
      </c>
      <c r="E9" s="330">
        <v>15.0</v>
      </c>
      <c r="F9" s="332">
        <v>0.0</v>
      </c>
      <c r="G9" s="333">
        <v>0.0</v>
      </c>
      <c r="H9" s="333">
        <v>0.0</v>
      </c>
      <c r="J9" s="328" t="s">
        <v>174</v>
      </c>
      <c r="K9" s="328">
        <v>7.0</v>
      </c>
      <c r="M9" s="328" t="s">
        <v>174</v>
      </c>
      <c r="N9" s="328">
        <v>9.0</v>
      </c>
    </row>
    <row r="10" spans="8:8">
      <c r="B10" s="327"/>
      <c r="C10" s="330"/>
      <c r="D10" s="330"/>
      <c r="E10" s="330"/>
      <c r="F10" s="330"/>
      <c r="G10" s="330"/>
      <c r="H10" s="331"/>
      <c r="J10" s="334" t="s">
        <v>175</v>
      </c>
      <c r="K10" s="328">
        <v>1.0</v>
      </c>
      <c r="M10" s="334" t="s">
        <v>175</v>
      </c>
      <c r="N10" s="328">
        <v>1.0</v>
      </c>
    </row>
    <row r="11" spans="8:8">
      <c r="B11" s="327"/>
      <c r="C11" s="328"/>
      <c r="D11" s="330"/>
      <c r="E11" s="330"/>
      <c r="F11" s="332"/>
      <c r="G11" s="333"/>
      <c r="H11" s="333"/>
      <c r="J11" s="334" t="s">
        <v>176</v>
      </c>
      <c r="K11" s="328">
        <v>2.0</v>
      </c>
      <c r="M11" s="334" t="s">
        <v>176</v>
      </c>
      <c r="N11" s="328">
        <v>2.0</v>
      </c>
    </row>
    <row r="12" spans="8:8">
      <c r="B12" s="327"/>
      <c r="C12" s="330"/>
      <c r="D12" s="330"/>
      <c r="E12" s="330"/>
      <c r="F12" s="330"/>
      <c r="G12" s="330"/>
      <c r="H12" s="331"/>
      <c r="J12" s="334" t="s">
        <v>177</v>
      </c>
      <c r="K12" s="328">
        <v>3.0</v>
      </c>
      <c r="M12" s="334" t="s">
        <v>177</v>
      </c>
      <c r="N12" s="328">
        <v>3.0</v>
      </c>
    </row>
    <row r="13" spans="8:8">
      <c r="B13" s="327"/>
      <c r="C13" s="328"/>
      <c r="D13" s="330"/>
      <c r="E13" s="330"/>
      <c r="F13" s="332"/>
      <c r="G13" s="333"/>
      <c r="H13" s="333"/>
      <c r="J13" s="334" t="s">
        <v>178</v>
      </c>
      <c r="K13" s="328">
        <v>4.0</v>
      </c>
      <c r="M13" s="334" t="s">
        <v>178</v>
      </c>
      <c r="N13" s="328">
        <v>4.0</v>
      </c>
    </row>
    <row r="14" spans="8:8">
      <c r="B14" s="327"/>
      <c r="C14" s="330"/>
      <c r="D14" s="330"/>
      <c r="E14" s="330"/>
      <c r="F14" s="330"/>
      <c r="G14" s="330"/>
      <c r="H14" s="331"/>
      <c r="J14" s="334" t="s">
        <v>179</v>
      </c>
      <c r="K14" s="328">
        <v>5.0</v>
      </c>
      <c r="M14" s="334" t="s">
        <v>179</v>
      </c>
      <c r="N14" s="328">
        <v>5.0</v>
      </c>
    </row>
    <row r="15" spans="8:8">
      <c r="B15" s="327"/>
      <c r="C15" s="328"/>
      <c r="D15" s="330"/>
      <c r="E15" s="330"/>
      <c r="F15" s="332"/>
      <c r="G15" s="333"/>
      <c r="H15" s="333"/>
      <c r="J15" s="334" t="s">
        <v>180</v>
      </c>
      <c r="K15" s="328">
        <v>7.0</v>
      </c>
      <c r="M15" s="334" t="s">
        <v>180</v>
      </c>
      <c r="N15" s="328">
        <v>9.0</v>
      </c>
    </row>
    <row r="16" spans="8:8">
      <c r="J16" s="334" t="s">
        <v>181</v>
      </c>
      <c r="K16" s="328">
        <v>3.0</v>
      </c>
      <c r="M16" s="334" t="s">
        <v>181</v>
      </c>
      <c r="N16" s="328">
        <v>3.0</v>
      </c>
    </row>
    <row r="17" spans="8:8">
      <c r="J17" s="334" t="s">
        <v>182</v>
      </c>
      <c r="K17" s="328">
        <v>4.0</v>
      </c>
      <c r="M17" s="334" t="s">
        <v>182</v>
      </c>
      <c r="N17" s="328">
        <v>4.0</v>
      </c>
    </row>
    <row r="18" spans="8:8">
      <c r="J18" s="334" t="s">
        <v>183</v>
      </c>
      <c r="K18" s="328">
        <v>5.0</v>
      </c>
      <c r="M18" s="334" t="s">
        <v>183</v>
      </c>
      <c r="N18" s="328">
        <v>5.0</v>
      </c>
    </row>
    <row r="19" spans="8:8">
      <c r="J19" s="334" t="s">
        <v>184</v>
      </c>
      <c r="K19" s="328">
        <v>6.0</v>
      </c>
      <c r="M19" s="334" t="s">
        <v>184</v>
      </c>
      <c r="N19" s="328">
        <v>6.0</v>
      </c>
    </row>
    <row r="20" spans="8:8">
      <c r="J20" s="334" t="s">
        <v>185</v>
      </c>
      <c r="K20" s="328">
        <v>7.0</v>
      </c>
      <c r="M20" s="334" t="s">
        <v>185</v>
      </c>
      <c r="N20" s="328">
        <v>7.0</v>
      </c>
    </row>
    <row r="21" spans="8:8">
      <c r="J21" s="334" t="s">
        <v>186</v>
      </c>
      <c r="K21" s="328">
        <v>5.0</v>
      </c>
      <c r="M21" s="334" t="s">
        <v>186</v>
      </c>
      <c r="N21" s="328">
        <v>5.0</v>
      </c>
    </row>
    <row r="22" spans="8:8">
      <c r="J22" s="334" t="s">
        <v>187</v>
      </c>
      <c r="K22" s="328">
        <v>6.0</v>
      </c>
      <c r="M22" s="334" t="s">
        <v>187</v>
      </c>
      <c r="N22" s="328">
        <v>6.0</v>
      </c>
    </row>
    <row r="23" spans="8:8">
      <c r="J23" s="334" t="s">
        <v>188</v>
      </c>
      <c r="K23" s="328">
        <v>7.0</v>
      </c>
      <c r="M23" s="334" t="s">
        <v>188</v>
      </c>
      <c r="N23" s="328">
        <v>7.0</v>
      </c>
    </row>
    <row r="24" spans="8:8">
      <c r="J24" s="334" t="s">
        <v>189</v>
      </c>
      <c r="K24" s="328">
        <v>8.0</v>
      </c>
      <c r="M24" s="334" t="s">
        <v>189</v>
      </c>
      <c r="N24" s="328">
        <v>8.0</v>
      </c>
    </row>
    <row r="25" spans="8:8">
      <c r="J25" s="334" t="s">
        <v>190</v>
      </c>
      <c r="K25" s="328">
        <v>9.0</v>
      </c>
      <c r="M25" s="334" t="s">
        <v>190</v>
      </c>
      <c r="N25" s="328">
        <v>9.0</v>
      </c>
    </row>
    <row r="26" spans="8:8">
      <c r="J26" s="334" t="s">
        <v>191</v>
      </c>
      <c r="K26" s="328">
        <v>7.0</v>
      </c>
      <c r="M26" s="334" t="s">
        <v>191</v>
      </c>
      <c r="N26" s="328">
        <v>7.0</v>
      </c>
    </row>
    <row r="27" spans="8:8">
      <c r="J27" s="334" t="s">
        <v>192</v>
      </c>
      <c r="K27" s="328">
        <v>8.0</v>
      </c>
      <c r="M27" s="334" t="s">
        <v>192</v>
      </c>
      <c r="N27" s="328">
        <v>8.0</v>
      </c>
    </row>
    <row r="28" spans="8:8">
      <c r="J28" s="334" t="s">
        <v>193</v>
      </c>
      <c r="K28" s="328">
        <v>9.0</v>
      </c>
      <c r="M28" s="334" t="s">
        <v>193</v>
      </c>
      <c r="N28" s="328">
        <v>9.0</v>
      </c>
    </row>
    <row r="29" spans="8:8">
      <c r="J29" s="334" t="s">
        <v>194</v>
      </c>
      <c r="K29" s="328">
        <v>10.0</v>
      </c>
      <c r="M29" s="334" t="s">
        <v>194</v>
      </c>
      <c r="N29" s="328">
        <v>10.0</v>
      </c>
    </row>
    <row r="30" spans="8:8">
      <c r="J30" s="334" t="s">
        <v>195</v>
      </c>
      <c r="K30" s="328">
        <v>11.0</v>
      </c>
      <c r="M30" s="334" t="s">
        <v>195</v>
      </c>
      <c r="N30" s="328">
        <v>11.0</v>
      </c>
    </row>
    <row r="31" spans="8:8">
      <c r="J31" s="334"/>
      <c r="K31" s="328"/>
      <c r="M31" s="334"/>
      <c r="N31" s="328"/>
    </row>
    <row r="32" spans="8:8">
      <c r="J32" s="334"/>
      <c r="K32" s="328"/>
      <c r="M32" s="334"/>
      <c r="N32" s="328"/>
    </row>
    <row r="33" spans="8:8">
      <c r="J33" s="334"/>
      <c r="K33" s="328"/>
      <c r="M33" s="334"/>
      <c r="N33" s="328"/>
    </row>
  </sheetData>
  <conditionalFormatting sqref="F5 F9 F11 F13 F15">
    <cfRule type="cellIs" operator="notEqual" priority="2" dxfId="14">
      <formula>0</formula>
    </cfRule>
  </conditionalFormatting>
  <pageMargins left="0.75" right="0.75" top="1.0" bottom="1.0" header="0.5" footer="0.5"/>
</worksheet>
</file>

<file path=xl/worksheets/sheet5.xml><?xml version="1.0" encoding="utf-8"?>
<worksheet xmlns:r="http://schemas.openxmlformats.org/officeDocument/2006/relationships" xmlns="http://schemas.openxmlformats.org/spreadsheetml/2006/main">
  <dimension ref="B1:AQ105"/>
  <sheetViews>
    <sheetView workbookViewId="0">
      <selection activeCell="A1" sqref="A1"/>
    </sheetView>
  </sheetViews>
  <sheetFormatPr defaultRowHeight="15.6" defaultColWidth="9"/>
  <cols>
    <col min="1" max="1" customWidth="1" width="5.5390625" style="335"/>
    <col min="2" max="19" customWidth="1" width="9.0" style="335"/>
    <col min="20" max="16384" customWidth="0" width="8.796875" style="335"/>
  </cols>
  <sheetData>
    <row r="1" spans="8:8" ht="16.35"/>
    <row r="2" spans="8:8">
      <c r="B2" s="336" t="s">
        <v>38</v>
      </c>
      <c r="C2" s="337"/>
      <c r="D2" s="338" t="s">
        <v>196</v>
      </c>
      <c r="E2" s="337"/>
      <c r="F2" s="337"/>
      <c r="G2" s="337"/>
      <c r="H2" s="337"/>
      <c r="I2" s="337"/>
      <c r="J2" s="337"/>
      <c r="K2" s="337"/>
      <c r="L2" s="337"/>
      <c r="M2" s="337"/>
      <c r="N2" s="337"/>
      <c r="O2" s="337"/>
      <c r="P2" s="337"/>
      <c r="Q2" s="337"/>
      <c r="R2" s="337"/>
      <c r="S2" s="339"/>
    </row>
    <row r="3" spans="8:8">
      <c r="B3" s="340" t="s">
        <v>46</v>
      </c>
      <c r="C3" s="341"/>
      <c r="D3" s="342" t="s">
        <v>197</v>
      </c>
      <c r="S3" s="343"/>
    </row>
    <row r="4" spans="8:8">
      <c r="B4" s="344"/>
      <c r="C4" s="342"/>
      <c r="D4" s="342" t="s">
        <v>198</v>
      </c>
      <c r="S4" s="343"/>
    </row>
    <row r="5" spans="8:8">
      <c r="B5" s="344"/>
      <c r="C5" s="342"/>
      <c r="D5" s="342" t="s">
        <v>199</v>
      </c>
      <c r="S5" s="343"/>
    </row>
    <row r="6" spans="8:8">
      <c r="B6" s="344"/>
      <c r="C6" s="345" t="s">
        <v>200</v>
      </c>
      <c r="D6" s="346" t="s">
        <v>197</v>
      </c>
      <c r="E6" s="347"/>
      <c r="F6" s="347"/>
      <c r="G6" s="347"/>
      <c r="H6" s="347"/>
      <c r="I6" s="347"/>
      <c r="J6" s="347"/>
      <c r="K6" s="347"/>
      <c r="L6" s="347"/>
      <c r="M6" s="347"/>
      <c r="N6" s="347"/>
      <c r="O6" s="347"/>
      <c r="P6" s="347"/>
      <c r="Q6" s="347"/>
      <c r="R6" s="347"/>
      <c r="S6" s="348"/>
    </row>
    <row r="7" spans="8:8">
      <c r="B7" s="340"/>
      <c r="C7" s="349"/>
      <c r="D7" s="349" t="s">
        <v>201</v>
      </c>
      <c r="E7" s="341"/>
      <c r="F7" s="341"/>
      <c r="G7" s="341"/>
      <c r="H7" s="341"/>
      <c r="I7" s="341"/>
      <c r="J7" s="341"/>
      <c r="K7" s="341"/>
      <c r="L7" s="341"/>
      <c r="M7" s="341"/>
      <c r="N7" s="341"/>
      <c r="O7" s="341"/>
      <c r="P7" s="341"/>
      <c r="Q7" s="341"/>
      <c r="R7" s="341"/>
      <c r="S7" s="350"/>
    </row>
    <row r="8" spans="8:8">
      <c r="B8" s="344" t="s">
        <v>165</v>
      </c>
      <c r="D8" s="342" t="s">
        <v>202</v>
      </c>
      <c r="S8" s="343"/>
    </row>
    <row r="9" spans="8:8">
      <c r="B9" s="351"/>
      <c r="C9" s="346"/>
      <c r="D9" s="342" t="s">
        <v>203</v>
      </c>
      <c r="S9" s="343"/>
    </row>
    <row r="10" spans="8:8">
      <c r="B10" s="344"/>
      <c r="C10" s="342"/>
      <c r="D10" s="342" t="s">
        <v>204</v>
      </c>
      <c r="S10" s="343"/>
    </row>
    <row r="11" spans="8:8">
      <c r="B11" s="344"/>
      <c r="C11" s="342"/>
      <c r="D11" s="342" t="s">
        <v>205</v>
      </c>
      <c r="S11" s="343"/>
    </row>
    <row r="12" spans="8:8">
      <c r="B12" s="340"/>
      <c r="C12" s="349"/>
      <c r="D12" s="342" t="s">
        <v>206</v>
      </c>
      <c r="S12" s="343"/>
    </row>
    <row r="13" spans="8:8">
      <c r="B13" s="344" t="s">
        <v>207</v>
      </c>
      <c r="D13" s="346" t="s">
        <v>208</v>
      </c>
      <c r="E13" s="347"/>
      <c r="F13" s="347"/>
      <c r="G13" s="347"/>
      <c r="H13" s="347"/>
      <c r="I13" s="347"/>
      <c r="J13" s="347"/>
      <c r="K13" s="347"/>
      <c r="L13" s="347"/>
      <c r="M13" s="347"/>
      <c r="N13" s="347"/>
      <c r="O13" s="347"/>
      <c r="P13" s="347"/>
      <c r="Q13" s="347"/>
      <c r="R13" s="347"/>
      <c r="S13" s="348"/>
    </row>
    <row r="14" spans="8:8">
      <c r="B14" s="351"/>
      <c r="C14" s="346"/>
      <c r="D14" s="342" t="s">
        <v>209</v>
      </c>
      <c r="S14" s="343"/>
    </row>
    <row r="15" spans="8:8">
      <c r="B15" s="344"/>
      <c r="C15" s="342"/>
      <c r="D15" s="342" t="s">
        <v>210</v>
      </c>
      <c r="S15" s="343"/>
    </row>
    <row r="16" spans="8:8">
      <c r="B16" s="344"/>
      <c r="C16" s="342"/>
      <c r="D16" s="342" t="s">
        <v>211</v>
      </c>
      <c r="S16" s="343"/>
    </row>
    <row r="17" spans="8:8">
      <c r="B17" s="340"/>
      <c r="C17" s="349"/>
      <c r="D17" s="349" t="s">
        <v>212</v>
      </c>
      <c r="E17" s="341"/>
      <c r="F17" s="341"/>
      <c r="G17" s="341"/>
      <c r="H17" s="341"/>
      <c r="I17" s="341"/>
      <c r="J17" s="341"/>
      <c r="K17" s="341"/>
      <c r="L17" s="341"/>
      <c r="M17" s="341"/>
      <c r="N17" s="341"/>
      <c r="O17" s="341"/>
      <c r="P17" s="341"/>
      <c r="Q17" s="341"/>
      <c r="R17" s="341"/>
      <c r="S17" s="350"/>
    </row>
    <row r="18" spans="8:8">
      <c r="B18" s="344" t="s">
        <v>213</v>
      </c>
      <c r="D18" s="342" t="s">
        <v>214</v>
      </c>
      <c r="S18" s="343"/>
    </row>
    <row r="19" spans="8:8">
      <c r="B19" s="351"/>
      <c r="C19" s="346"/>
      <c r="D19" s="342" t="s">
        <v>215</v>
      </c>
      <c r="S19" s="343"/>
    </row>
    <row r="20" spans="8:8">
      <c r="B20" s="340"/>
      <c r="C20" s="349"/>
      <c r="D20" s="342" t="s">
        <v>216</v>
      </c>
      <c r="S20" s="343"/>
    </row>
    <row r="21" spans="8:8">
      <c r="B21" s="344" t="s">
        <v>168</v>
      </c>
      <c r="D21" s="346" t="s">
        <v>217</v>
      </c>
      <c r="E21" s="347"/>
      <c r="F21" s="347"/>
      <c r="G21" s="347"/>
      <c r="H21" s="347"/>
      <c r="I21" s="347"/>
      <c r="J21" s="347"/>
      <c r="K21" s="347"/>
      <c r="L21" s="347"/>
      <c r="M21" s="347"/>
      <c r="N21" s="347"/>
      <c r="O21" s="347"/>
      <c r="P21" s="347"/>
      <c r="Q21" s="347"/>
      <c r="R21" s="347"/>
      <c r="S21" s="348"/>
    </row>
    <row r="22" spans="8:8">
      <c r="B22" s="351"/>
      <c r="C22" s="346"/>
      <c r="D22" s="342" t="s">
        <v>218</v>
      </c>
      <c r="S22" s="343"/>
    </row>
    <row r="23" spans="8:8">
      <c r="B23" s="344"/>
      <c r="C23" s="342"/>
      <c r="D23" s="342" t="s">
        <v>219</v>
      </c>
      <c r="S23" s="343"/>
    </row>
    <row r="24" spans="8:8">
      <c r="B24" s="340"/>
      <c r="C24" s="349"/>
      <c r="D24" s="349" t="s">
        <v>220</v>
      </c>
      <c r="E24" s="341"/>
      <c r="F24" s="341"/>
      <c r="G24" s="341"/>
      <c r="H24" s="341"/>
      <c r="I24" s="341"/>
      <c r="J24" s="341"/>
      <c r="K24" s="341"/>
      <c r="L24" s="341"/>
      <c r="M24" s="341"/>
      <c r="N24" s="341"/>
      <c r="O24" s="341"/>
      <c r="P24" s="341"/>
      <c r="Q24" s="341"/>
      <c r="R24" s="341"/>
      <c r="S24" s="350"/>
    </row>
    <row r="25" spans="8:8">
      <c r="B25" s="344" t="s">
        <v>221</v>
      </c>
      <c r="D25" s="342" t="s">
        <v>222</v>
      </c>
      <c r="S25" s="343"/>
    </row>
    <row r="26" spans="8:8">
      <c r="B26" s="351"/>
      <c r="C26" s="346"/>
      <c r="D26" s="342" t="s">
        <v>223</v>
      </c>
      <c r="S26" s="343"/>
    </row>
    <row r="27" spans="8:8">
      <c r="B27" s="344"/>
      <c r="C27" s="342"/>
      <c r="D27" s="342" t="s">
        <v>224</v>
      </c>
      <c r="S27" s="343"/>
    </row>
    <row r="28" spans="8:8">
      <c r="B28" s="344"/>
      <c r="C28" s="342"/>
      <c r="D28" s="342" t="s">
        <v>225</v>
      </c>
      <c r="S28" s="343"/>
    </row>
    <row r="29" spans="8:8">
      <c r="B29" s="344"/>
      <c r="C29" s="342"/>
      <c r="D29" s="342" t="s">
        <v>226</v>
      </c>
      <c r="S29" s="343"/>
    </row>
    <row r="30" spans="8:8">
      <c r="B30" s="344"/>
      <c r="C30" s="342"/>
      <c r="D30" s="342" t="s">
        <v>227</v>
      </c>
      <c r="S30" s="343"/>
    </row>
    <row r="31" spans="8:8" ht="16.35">
      <c r="B31" s="352"/>
      <c r="C31" s="353"/>
      <c r="D31" s="353" t="s">
        <v>228</v>
      </c>
      <c r="E31" s="354"/>
      <c r="F31" s="354"/>
      <c r="G31" s="354"/>
      <c r="H31" s="354"/>
      <c r="I31" s="354"/>
      <c r="J31" s="354"/>
      <c r="K31" s="354"/>
      <c r="L31" s="354"/>
      <c r="M31" s="354"/>
      <c r="N31" s="354"/>
      <c r="O31" s="354"/>
      <c r="P31" s="354"/>
      <c r="Q31" s="354"/>
      <c r="R31" s="354"/>
      <c r="S31" s="355"/>
    </row>
    <row r="32" spans="8:8" ht="16.35"/>
    <row r="33" spans="8:8">
      <c r="B33" s="356" t="s">
        <v>229</v>
      </c>
      <c r="C33" s="357"/>
      <c r="D33" s="357"/>
      <c r="E33" s="357"/>
      <c r="F33" s="357"/>
      <c r="G33" s="357"/>
      <c r="H33" s="357"/>
      <c r="I33" s="357"/>
      <c r="J33" s="357"/>
      <c r="K33" s="357"/>
      <c r="L33" s="357"/>
      <c r="M33" s="357"/>
      <c r="N33" s="357"/>
      <c r="O33" s="357"/>
      <c r="P33" s="357"/>
      <c r="Q33" s="357"/>
      <c r="R33" s="357"/>
      <c r="S33" s="358"/>
    </row>
    <row r="34" spans="8:8">
      <c r="B34" s="359" t="s">
        <v>230</v>
      </c>
      <c r="C34" s="360"/>
      <c r="D34" s="360"/>
      <c r="E34" s="360"/>
      <c r="F34" s="360"/>
      <c r="G34" s="360"/>
      <c r="H34" s="360"/>
      <c r="I34" s="360"/>
      <c r="J34" s="360"/>
      <c r="K34" s="360" t="s">
        <v>231</v>
      </c>
      <c r="L34" s="360"/>
      <c r="M34" s="360"/>
      <c r="N34" s="360"/>
      <c r="O34" s="360"/>
      <c r="P34" s="360"/>
      <c r="Q34" s="360"/>
      <c r="R34" s="360"/>
      <c r="S34" s="361"/>
    </row>
    <row r="35" spans="8:8">
      <c r="B35" s="362" t="s">
        <v>232</v>
      </c>
      <c r="C35" s="363"/>
      <c r="D35" s="363"/>
      <c r="E35" s="363"/>
      <c r="F35" s="363"/>
      <c r="G35" s="363"/>
      <c r="H35" s="363"/>
      <c r="I35" s="363"/>
      <c r="J35" s="363"/>
      <c r="K35" s="363" t="s">
        <v>232</v>
      </c>
      <c r="L35" s="363"/>
      <c r="M35" s="363"/>
      <c r="N35" s="363"/>
      <c r="O35" s="363"/>
      <c r="P35" s="363"/>
      <c r="Q35" s="363"/>
      <c r="R35" s="363"/>
      <c r="S35" s="364"/>
    </row>
    <row r="36" spans="8:8">
      <c r="B36" s="365" t="s">
        <v>233</v>
      </c>
      <c r="C36" s="366" t="s">
        <v>234</v>
      </c>
      <c r="D36" s="366"/>
      <c r="E36" s="367" t="s">
        <v>235</v>
      </c>
      <c r="F36" s="366" t="s">
        <v>232</v>
      </c>
      <c r="G36" s="366"/>
      <c r="H36" s="368" t="s">
        <v>236</v>
      </c>
      <c r="I36" s="369" t="s">
        <v>237</v>
      </c>
      <c r="J36" s="369"/>
      <c r="K36" s="367" t="s">
        <v>233</v>
      </c>
      <c r="L36" s="366" t="s">
        <v>238</v>
      </c>
      <c r="M36" s="366"/>
      <c r="N36" s="367" t="s">
        <v>235</v>
      </c>
      <c r="O36" s="366" t="s">
        <v>232</v>
      </c>
      <c r="P36" s="366"/>
      <c r="Q36" s="368" t="s">
        <v>236</v>
      </c>
      <c r="R36" s="369" t="s">
        <v>237</v>
      </c>
      <c r="S36" s="370"/>
    </row>
    <row r="37" spans="8:8">
      <c r="B37" s="365" t="s">
        <v>136</v>
      </c>
      <c r="C37" s="369" t="s">
        <v>239</v>
      </c>
      <c r="D37" s="369"/>
      <c r="E37" s="369"/>
      <c r="F37" s="369"/>
      <c r="G37" s="369"/>
      <c r="H37" s="369"/>
      <c r="I37" s="369"/>
      <c r="J37" s="369"/>
      <c r="K37" s="367" t="s">
        <v>136</v>
      </c>
      <c r="L37" s="371" t="s">
        <v>240</v>
      </c>
      <c r="M37" s="371"/>
      <c r="N37" s="371"/>
      <c r="O37" s="371"/>
      <c r="P37" s="371"/>
      <c r="Q37" s="371"/>
      <c r="R37" s="371"/>
      <c r="S37" s="372"/>
    </row>
    <row r="38" spans="8:8">
      <c r="B38" s="365"/>
      <c r="C38" s="369"/>
      <c r="D38" s="369"/>
      <c r="E38" s="369"/>
      <c r="F38" s="369"/>
      <c r="G38" s="369"/>
      <c r="H38" s="369"/>
      <c r="I38" s="369"/>
      <c r="J38" s="369"/>
      <c r="K38" s="367"/>
      <c r="L38" s="371"/>
      <c r="M38" s="371"/>
      <c r="N38" s="371"/>
      <c r="O38" s="371"/>
      <c r="P38" s="371"/>
      <c r="Q38" s="371"/>
      <c r="R38" s="371"/>
      <c r="S38" s="372"/>
    </row>
    <row r="39" spans="8:8">
      <c r="B39" s="365" t="s">
        <v>241</v>
      </c>
      <c r="C39" s="369" t="s">
        <v>242</v>
      </c>
      <c r="D39" s="369"/>
      <c r="E39" s="369"/>
      <c r="F39" s="369"/>
      <c r="G39" s="369"/>
      <c r="H39" s="369"/>
      <c r="I39" s="369"/>
      <c r="J39" s="369"/>
      <c r="K39" s="367"/>
      <c r="L39" s="371"/>
      <c r="M39" s="371"/>
      <c r="N39" s="371"/>
      <c r="O39" s="371"/>
      <c r="P39" s="371"/>
      <c r="Q39" s="371"/>
      <c r="R39" s="371"/>
      <c r="S39" s="372"/>
    </row>
    <row r="40" spans="8:8">
      <c r="B40" s="365" t="s">
        <v>233</v>
      </c>
      <c r="C40" s="366" t="s">
        <v>243</v>
      </c>
      <c r="D40" s="366"/>
      <c r="E40" s="367" t="s">
        <v>235</v>
      </c>
      <c r="F40" s="366" t="s">
        <v>232</v>
      </c>
      <c r="G40" s="366"/>
      <c r="H40" s="368" t="s">
        <v>236</v>
      </c>
      <c r="I40" s="369" t="s">
        <v>244</v>
      </c>
      <c r="J40" s="369"/>
      <c r="K40" s="367"/>
      <c r="L40" s="371"/>
      <c r="M40" s="371"/>
      <c r="N40" s="371"/>
      <c r="O40" s="371"/>
      <c r="P40" s="371"/>
      <c r="Q40" s="371"/>
      <c r="R40" s="371"/>
      <c r="S40" s="372"/>
    </row>
    <row r="41" spans="8:8">
      <c r="B41" s="365" t="s">
        <v>136</v>
      </c>
      <c r="C41" s="369" t="s">
        <v>245</v>
      </c>
      <c r="D41" s="369"/>
      <c r="E41" s="369"/>
      <c r="F41" s="369"/>
      <c r="G41" s="369"/>
      <c r="H41" s="369"/>
      <c r="I41" s="369"/>
      <c r="J41" s="369"/>
      <c r="K41" s="367" t="s">
        <v>233</v>
      </c>
      <c r="L41" s="366" t="s">
        <v>246</v>
      </c>
      <c r="M41" s="366"/>
      <c r="N41" s="367" t="s">
        <v>235</v>
      </c>
      <c r="O41" s="366" t="s">
        <v>232</v>
      </c>
      <c r="P41" s="366"/>
      <c r="Q41" s="368" t="s">
        <v>236</v>
      </c>
      <c r="R41" s="369" t="s">
        <v>247</v>
      </c>
      <c r="S41" s="370"/>
    </row>
    <row r="42" spans="8:8">
      <c r="B42" s="365"/>
      <c r="C42" s="369"/>
      <c r="D42" s="369"/>
      <c r="E42" s="369"/>
      <c r="F42" s="369"/>
      <c r="G42" s="369"/>
      <c r="H42" s="369"/>
      <c r="I42" s="369"/>
      <c r="J42" s="369"/>
      <c r="K42" s="367" t="s">
        <v>136</v>
      </c>
      <c r="L42" s="371" t="s">
        <v>248</v>
      </c>
      <c r="M42" s="369"/>
      <c r="N42" s="369"/>
      <c r="O42" s="369"/>
      <c r="P42" s="369"/>
      <c r="Q42" s="369"/>
      <c r="R42" s="369"/>
      <c r="S42" s="370"/>
    </row>
    <row r="43" spans="8:8">
      <c r="B43" s="365" t="s">
        <v>241</v>
      </c>
      <c r="C43" s="369" t="s">
        <v>249</v>
      </c>
      <c r="D43" s="369"/>
      <c r="E43" s="369"/>
      <c r="F43" s="369"/>
      <c r="G43" s="369"/>
      <c r="H43" s="369"/>
      <c r="I43" s="369"/>
      <c r="J43" s="369"/>
      <c r="K43" s="367"/>
      <c r="L43" s="369"/>
      <c r="M43" s="369"/>
      <c r="N43" s="369"/>
      <c r="O43" s="369"/>
      <c r="P43" s="369"/>
      <c r="Q43" s="369"/>
      <c r="R43" s="369"/>
      <c r="S43" s="370"/>
    </row>
    <row r="44" spans="8:8">
      <c r="B44" s="365" t="s">
        <v>233</v>
      </c>
      <c r="C44" s="366" t="s">
        <v>250</v>
      </c>
      <c r="D44" s="366"/>
      <c r="E44" s="367" t="s">
        <v>235</v>
      </c>
      <c r="F44" s="366" t="s">
        <v>232</v>
      </c>
      <c r="G44" s="366"/>
      <c r="H44" s="368" t="s">
        <v>236</v>
      </c>
      <c r="I44" s="369" t="s">
        <v>251</v>
      </c>
      <c r="J44" s="369"/>
      <c r="K44" s="367"/>
      <c r="L44" s="369"/>
      <c r="M44" s="369"/>
      <c r="N44" s="369"/>
      <c r="O44" s="369"/>
      <c r="P44" s="369"/>
      <c r="Q44" s="369"/>
      <c r="R44" s="369"/>
      <c r="S44" s="370"/>
    </row>
    <row r="45" spans="8:8">
      <c r="B45" s="365" t="s">
        <v>136</v>
      </c>
      <c r="C45" s="369" t="s">
        <v>252</v>
      </c>
      <c r="D45" s="369"/>
      <c r="E45" s="369"/>
      <c r="F45" s="369"/>
      <c r="G45" s="369"/>
      <c r="H45" s="369"/>
      <c r="I45" s="369"/>
      <c r="J45" s="369"/>
      <c r="K45" s="367"/>
      <c r="L45" s="369"/>
      <c r="M45" s="369"/>
      <c r="N45" s="369"/>
      <c r="O45" s="369"/>
      <c r="P45" s="369"/>
      <c r="Q45" s="369"/>
      <c r="R45" s="369"/>
      <c r="S45" s="370"/>
    </row>
    <row r="46" spans="8:8">
      <c r="B46" s="365"/>
      <c r="C46" s="369"/>
      <c r="D46" s="369"/>
      <c r="E46" s="369"/>
      <c r="F46" s="369"/>
      <c r="G46" s="369"/>
      <c r="H46" s="369"/>
      <c r="I46" s="369"/>
      <c r="J46" s="369"/>
      <c r="K46" s="363" t="s">
        <v>253</v>
      </c>
      <c r="L46" s="363"/>
      <c r="M46" s="363"/>
      <c r="N46" s="363"/>
      <c r="O46" s="363"/>
      <c r="P46" s="363"/>
      <c r="Q46" s="363"/>
      <c r="R46" s="363"/>
      <c r="S46" s="364"/>
    </row>
    <row r="47" spans="8:8">
      <c r="B47" s="365" t="s">
        <v>241</v>
      </c>
      <c r="C47" s="369" t="s">
        <v>254</v>
      </c>
      <c r="D47" s="369"/>
      <c r="E47" s="369"/>
      <c r="F47" s="369"/>
      <c r="G47" s="369"/>
      <c r="H47" s="369"/>
      <c r="I47" s="369"/>
      <c r="J47" s="369"/>
      <c r="K47" s="367" t="s">
        <v>233</v>
      </c>
      <c r="L47" s="366" t="s">
        <v>255</v>
      </c>
      <c r="M47" s="366"/>
      <c r="N47" s="367" t="s">
        <v>235</v>
      </c>
      <c r="O47" s="366" t="s">
        <v>253</v>
      </c>
      <c r="P47" s="366"/>
      <c r="Q47" s="368" t="s">
        <v>236</v>
      </c>
      <c r="R47" s="369" t="s">
        <v>256</v>
      </c>
      <c r="S47" s="370"/>
    </row>
    <row r="48" spans="8:8">
      <c r="B48" s="362" t="s">
        <v>253</v>
      </c>
      <c r="C48" s="363"/>
      <c r="D48" s="363"/>
      <c r="E48" s="363"/>
      <c r="F48" s="363"/>
      <c r="G48" s="363"/>
      <c r="H48" s="363"/>
      <c r="I48" s="363"/>
      <c r="J48" s="363"/>
      <c r="K48" s="367" t="s">
        <v>136</v>
      </c>
      <c r="L48" s="369" t="s">
        <v>257</v>
      </c>
      <c r="M48" s="369"/>
      <c r="N48" s="369"/>
      <c r="O48" s="369"/>
      <c r="P48" s="369"/>
      <c r="Q48" s="369"/>
      <c r="R48" s="369"/>
      <c r="S48" s="370"/>
    </row>
    <row r="49" spans="8:8">
      <c r="B49" s="365" t="s">
        <v>233</v>
      </c>
      <c r="C49" s="366" t="s">
        <v>258</v>
      </c>
      <c r="D49" s="366"/>
      <c r="E49" s="367" t="s">
        <v>235</v>
      </c>
      <c r="F49" s="366" t="s">
        <v>253</v>
      </c>
      <c r="G49" s="366"/>
      <c r="H49" s="368" t="s">
        <v>236</v>
      </c>
      <c r="I49" s="369" t="s">
        <v>251</v>
      </c>
      <c r="J49" s="369"/>
      <c r="K49" s="367"/>
      <c r="L49" s="369"/>
      <c r="M49" s="369"/>
      <c r="N49" s="369"/>
      <c r="O49" s="369"/>
      <c r="P49" s="369"/>
      <c r="Q49" s="369"/>
      <c r="R49" s="369"/>
      <c r="S49" s="370"/>
    </row>
    <row r="50" spans="8:8">
      <c r="B50" s="365" t="s">
        <v>136</v>
      </c>
      <c r="C50" s="369" t="s">
        <v>259</v>
      </c>
      <c r="D50" s="369"/>
      <c r="E50" s="369"/>
      <c r="F50" s="369"/>
      <c r="G50" s="369"/>
      <c r="H50" s="369"/>
      <c r="I50" s="369"/>
      <c r="J50" s="369"/>
      <c r="K50" s="367" t="s">
        <v>233</v>
      </c>
      <c r="L50" s="366" t="s">
        <v>260</v>
      </c>
      <c r="M50" s="366"/>
      <c r="N50" s="367" t="s">
        <v>235</v>
      </c>
      <c r="O50" s="366" t="s">
        <v>253</v>
      </c>
      <c r="P50" s="366"/>
      <c r="Q50" s="368" t="s">
        <v>236</v>
      </c>
      <c r="R50" s="369" t="s">
        <v>261</v>
      </c>
      <c r="S50" s="370"/>
    </row>
    <row r="51" spans="8:8">
      <c r="B51" s="365"/>
      <c r="C51" s="369"/>
      <c r="D51" s="369"/>
      <c r="E51" s="369"/>
      <c r="F51" s="369"/>
      <c r="G51" s="369"/>
      <c r="H51" s="369"/>
      <c r="I51" s="369"/>
      <c r="J51" s="369"/>
      <c r="K51" s="367" t="s">
        <v>136</v>
      </c>
      <c r="L51" s="371" t="s">
        <v>262</v>
      </c>
      <c r="M51" s="369"/>
      <c r="N51" s="369"/>
      <c r="O51" s="369"/>
      <c r="P51" s="369"/>
      <c r="Q51" s="369"/>
      <c r="R51" s="369"/>
      <c r="S51" s="370"/>
    </row>
    <row r="52" spans="8:8">
      <c r="B52" s="365" t="s">
        <v>241</v>
      </c>
      <c r="C52" s="369" t="s">
        <v>263</v>
      </c>
      <c r="D52" s="369"/>
      <c r="E52" s="369"/>
      <c r="F52" s="369"/>
      <c r="G52" s="369"/>
      <c r="H52" s="369"/>
      <c r="I52" s="369"/>
      <c r="J52" s="369"/>
      <c r="K52" s="367"/>
      <c r="L52" s="369"/>
      <c r="M52" s="369"/>
      <c r="N52" s="369"/>
      <c r="O52" s="369"/>
      <c r="P52" s="369"/>
      <c r="Q52" s="369"/>
      <c r="R52" s="369"/>
      <c r="S52" s="370"/>
    </row>
    <row r="53" spans="8:8">
      <c r="B53" s="365" t="s">
        <v>233</v>
      </c>
      <c r="C53" s="366" t="s">
        <v>264</v>
      </c>
      <c r="D53" s="366"/>
      <c r="E53" s="367" t="s">
        <v>235</v>
      </c>
      <c r="F53" s="366" t="s">
        <v>253</v>
      </c>
      <c r="G53" s="366"/>
      <c r="H53" s="368" t="s">
        <v>236</v>
      </c>
      <c r="I53" s="369" t="s">
        <v>261</v>
      </c>
      <c r="J53" s="369"/>
      <c r="K53" s="367"/>
      <c r="L53" s="369"/>
      <c r="M53" s="369"/>
      <c r="N53" s="369"/>
      <c r="O53" s="369"/>
      <c r="P53" s="369"/>
      <c r="Q53" s="369"/>
      <c r="R53" s="369"/>
      <c r="S53" s="370"/>
    </row>
    <row r="54" spans="8:8">
      <c r="B54" s="365" t="s">
        <v>136</v>
      </c>
      <c r="C54" s="371" t="s">
        <v>265</v>
      </c>
      <c r="D54" s="369"/>
      <c r="E54" s="369"/>
      <c r="F54" s="369"/>
      <c r="G54" s="369"/>
      <c r="H54" s="369"/>
      <c r="I54" s="369"/>
      <c r="J54" s="369"/>
      <c r="K54" s="367"/>
      <c r="L54" s="369"/>
      <c r="M54" s="369"/>
      <c r="N54" s="369"/>
      <c r="O54" s="369"/>
      <c r="P54" s="369"/>
      <c r="Q54" s="369"/>
      <c r="R54" s="369"/>
      <c r="S54" s="370"/>
    </row>
    <row r="55" spans="8:8">
      <c r="B55" s="365"/>
      <c r="C55" s="369"/>
      <c r="D55" s="369"/>
      <c r="E55" s="369"/>
      <c r="F55" s="369"/>
      <c r="G55" s="369"/>
      <c r="H55" s="369"/>
      <c r="I55" s="369"/>
      <c r="J55" s="369"/>
      <c r="K55" s="367" t="s">
        <v>241</v>
      </c>
      <c r="L55" s="369" t="s">
        <v>266</v>
      </c>
      <c r="M55" s="369"/>
      <c r="N55" s="369"/>
      <c r="O55" s="369"/>
      <c r="P55" s="369"/>
      <c r="Q55" s="369"/>
      <c r="R55" s="369"/>
      <c r="S55" s="370"/>
    </row>
    <row r="56" spans="8:8">
      <c r="B56" s="365" t="s">
        <v>241</v>
      </c>
      <c r="C56" s="369" t="s">
        <v>263</v>
      </c>
      <c r="D56" s="369"/>
      <c r="E56" s="369"/>
      <c r="F56" s="369"/>
      <c r="G56" s="369"/>
      <c r="H56" s="369"/>
      <c r="I56" s="369"/>
      <c r="J56" s="369"/>
      <c r="K56" s="367" t="s">
        <v>233</v>
      </c>
      <c r="L56" s="366" t="s">
        <v>267</v>
      </c>
      <c r="M56" s="366"/>
      <c r="N56" s="367" t="s">
        <v>235</v>
      </c>
      <c r="O56" s="366" t="s">
        <v>253</v>
      </c>
      <c r="P56" s="366"/>
      <c r="Q56" s="368" t="s">
        <v>236</v>
      </c>
      <c r="R56" s="369" t="s">
        <v>268</v>
      </c>
      <c r="S56" s="370"/>
    </row>
    <row r="57" spans="8:8">
      <c r="B57" s="365" t="s">
        <v>233</v>
      </c>
      <c r="C57" s="366" t="s">
        <v>269</v>
      </c>
      <c r="D57" s="366"/>
      <c r="E57" s="367" t="s">
        <v>235</v>
      </c>
      <c r="F57" s="366" t="s">
        <v>253</v>
      </c>
      <c r="G57" s="366"/>
      <c r="H57" s="368" t="s">
        <v>236</v>
      </c>
      <c r="I57" s="369"/>
      <c r="J57" s="369"/>
      <c r="K57" s="367" t="s">
        <v>136</v>
      </c>
      <c r="L57" s="371" t="s">
        <v>270</v>
      </c>
      <c r="M57" s="369"/>
      <c r="N57" s="369"/>
      <c r="O57" s="369"/>
      <c r="P57" s="369"/>
      <c r="Q57" s="369"/>
      <c r="R57" s="369"/>
      <c r="S57" s="370"/>
    </row>
    <row r="58" spans="8:8">
      <c r="B58" s="365" t="s">
        <v>136</v>
      </c>
      <c r="C58" s="371" t="s">
        <v>271</v>
      </c>
      <c r="D58" s="369"/>
      <c r="E58" s="369"/>
      <c r="F58" s="369"/>
      <c r="G58" s="369"/>
      <c r="H58" s="369"/>
      <c r="I58" s="369"/>
      <c r="J58" s="369"/>
      <c r="K58" s="367"/>
      <c r="L58" s="369"/>
      <c r="M58" s="369"/>
      <c r="N58" s="369"/>
      <c r="O58" s="369"/>
      <c r="P58" s="369"/>
      <c r="Q58" s="369"/>
      <c r="R58" s="369"/>
      <c r="S58" s="370"/>
    </row>
    <row r="59" spans="8:8">
      <c r="B59" s="365"/>
      <c r="C59" s="369"/>
      <c r="D59" s="369"/>
      <c r="E59" s="369"/>
      <c r="F59" s="369"/>
      <c r="G59" s="369"/>
      <c r="H59" s="369"/>
      <c r="I59" s="369"/>
      <c r="J59" s="369"/>
      <c r="K59" s="367"/>
      <c r="L59" s="369"/>
      <c r="M59" s="369"/>
      <c r="N59" s="369"/>
      <c r="O59" s="369"/>
      <c r="P59" s="369"/>
      <c r="Q59" s="369"/>
      <c r="R59" s="369"/>
      <c r="S59" s="370"/>
    </row>
    <row r="60" spans="8:8">
      <c r="B60" s="365"/>
      <c r="C60" s="369"/>
      <c r="D60" s="369"/>
      <c r="E60" s="369"/>
      <c r="F60" s="369"/>
      <c r="G60" s="369"/>
      <c r="H60" s="369"/>
      <c r="I60" s="369"/>
      <c r="J60" s="369"/>
      <c r="K60" s="367"/>
      <c r="L60" s="369"/>
      <c r="M60" s="369"/>
      <c r="N60" s="369"/>
      <c r="O60" s="369"/>
      <c r="P60" s="369"/>
      <c r="Q60" s="369"/>
      <c r="R60" s="369"/>
      <c r="S60" s="370"/>
    </row>
    <row r="61" spans="8:8">
      <c r="B61" s="365"/>
      <c r="C61" s="369"/>
      <c r="D61" s="369"/>
      <c r="E61" s="369"/>
      <c r="F61" s="369"/>
      <c r="G61" s="369"/>
      <c r="H61" s="369"/>
      <c r="I61" s="369"/>
      <c r="J61" s="369"/>
      <c r="K61" s="367" t="s">
        <v>233</v>
      </c>
      <c r="L61" s="366" t="s">
        <v>272</v>
      </c>
      <c r="M61" s="366"/>
      <c r="N61" s="367" t="s">
        <v>235</v>
      </c>
      <c r="O61" s="366" t="s">
        <v>253</v>
      </c>
      <c r="P61" s="366"/>
      <c r="Q61" s="368" t="s">
        <v>236</v>
      </c>
      <c r="R61" s="369" t="s">
        <v>256</v>
      </c>
      <c r="S61" s="370"/>
    </row>
    <row r="62" spans="8:8">
      <c r="B62" s="365" t="s">
        <v>241</v>
      </c>
      <c r="C62" s="369" t="s">
        <v>273</v>
      </c>
      <c r="D62" s="369"/>
      <c r="E62" s="369"/>
      <c r="F62" s="369"/>
      <c r="G62" s="369"/>
      <c r="H62" s="369"/>
      <c r="I62" s="369"/>
      <c r="J62" s="369"/>
      <c r="K62" s="367" t="s">
        <v>136</v>
      </c>
      <c r="L62" s="371" t="s">
        <v>274</v>
      </c>
      <c r="M62" s="371"/>
      <c r="N62" s="371"/>
      <c r="O62" s="371"/>
      <c r="P62" s="371"/>
      <c r="Q62" s="371"/>
      <c r="R62" s="371"/>
      <c r="S62" s="372"/>
    </row>
    <row r="63" spans="8:8">
      <c r="B63" s="365" t="s">
        <v>241</v>
      </c>
      <c r="C63" s="369" t="s">
        <v>275</v>
      </c>
      <c r="D63" s="369"/>
      <c r="E63" s="369"/>
      <c r="F63" s="369"/>
      <c r="G63" s="369"/>
      <c r="H63" s="369"/>
      <c r="I63" s="369"/>
      <c r="J63" s="369"/>
      <c r="K63" s="367"/>
      <c r="L63" s="371"/>
      <c r="M63" s="371"/>
      <c r="N63" s="371"/>
      <c r="O63" s="371"/>
      <c r="P63" s="371"/>
      <c r="Q63" s="371"/>
      <c r="R63" s="371"/>
      <c r="S63" s="372"/>
    </row>
    <row r="64" spans="8:8">
      <c r="B64" s="365" t="s">
        <v>241</v>
      </c>
      <c r="C64" s="369" t="s">
        <v>276</v>
      </c>
      <c r="D64" s="369"/>
      <c r="E64" s="369"/>
      <c r="F64" s="369"/>
      <c r="G64" s="369"/>
      <c r="H64" s="369"/>
      <c r="I64" s="369"/>
      <c r="J64" s="369"/>
      <c r="K64" s="367" t="s">
        <v>233</v>
      </c>
      <c r="L64" s="366" t="s">
        <v>277</v>
      </c>
      <c r="M64" s="366"/>
      <c r="N64" s="367" t="s">
        <v>235</v>
      </c>
      <c r="O64" s="366" t="s">
        <v>253</v>
      </c>
      <c r="P64" s="366"/>
      <c r="Q64" s="368" t="s">
        <v>236</v>
      </c>
      <c r="R64" s="369" t="s">
        <v>278</v>
      </c>
      <c r="S64" s="370"/>
    </row>
    <row r="65" spans="8:8">
      <c r="B65" s="365" t="s">
        <v>241</v>
      </c>
      <c r="C65" s="371" t="s">
        <v>279</v>
      </c>
      <c r="D65" s="371"/>
      <c r="E65" s="371"/>
      <c r="F65" s="371"/>
      <c r="G65" s="371"/>
      <c r="H65" s="371"/>
      <c r="I65" s="371"/>
      <c r="J65" s="371"/>
      <c r="K65" s="367" t="s">
        <v>136</v>
      </c>
      <c r="L65" s="371" t="s">
        <v>280</v>
      </c>
      <c r="M65" s="369"/>
      <c r="N65" s="369"/>
      <c r="O65" s="369"/>
      <c r="P65" s="369"/>
      <c r="Q65" s="369"/>
      <c r="R65" s="369"/>
      <c r="S65" s="370"/>
    </row>
    <row r="66" spans="8:8">
      <c r="B66" s="365"/>
      <c r="C66" s="371"/>
      <c r="D66" s="371"/>
      <c r="E66" s="371"/>
      <c r="F66" s="371"/>
      <c r="G66" s="371"/>
      <c r="H66" s="371"/>
      <c r="I66" s="371"/>
      <c r="J66" s="371"/>
      <c r="K66" s="367"/>
      <c r="L66" s="369"/>
      <c r="M66" s="369"/>
      <c r="N66" s="369"/>
      <c r="O66" s="369"/>
      <c r="P66" s="369"/>
      <c r="Q66" s="369"/>
      <c r="R66" s="369"/>
      <c r="S66" s="370"/>
    </row>
    <row r="67" spans="8:8">
      <c r="B67" s="362" t="s">
        <v>281</v>
      </c>
      <c r="C67" s="363"/>
      <c r="D67" s="363"/>
      <c r="E67" s="363"/>
      <c r="F67" s="363"/>
      <c r="G67" s="363"/>
      <c r="H67" s="363"/>
      <c r="I67" s="363"/>
      <c r="J67" s="363"/>
      <c r="K67" s="367"/>
      <c r="L67" s="369"/>
      <c r="M67" s="369"/>
      <c r="N67" s="369"/>
      <c r="O67" s="369"/>
      <c r="P67" s="369"/>
      <c r="Q67" s="369"/>
      <c r="R67" s="369"/>
      <c r="S67" s="370"/>
    </row>
    <row r="68" spans="8:8">
      <c r="B68" s="365" t="s">
        <v>233</v>
      </c>
      <c r="C68" s="366" t="s">
        <v>282</v>
      </c>
      <c r="D68" s="366"/>
      <c r="E68" s="367" t="s">
        <v>235</v>
      </c>
      <c r="F68" s="366" t="s">
        <v>281</v>
      </c>
      <c r="G68" s="366"/>
      <c r="H68" s="368" t="s">
        <v>236</v>
      </c>
      <c r="I68" s="369" t="s">
        <v>237</v>
      </c>
      <c r="J68" s="369"/>
      <c r="K68" s="367"/>
      <c r="L68" s="369"/>
      <c r="M68" s="369"/>
      <c r="N68" s="369"/>
      <c r="O68" s="369"/>
      <c r="P68" s="369"/>
      <c r="Q68" s="369"/>
      <c r="R68" s="369"/>
      <c r="S68" s="370"/>
    </row>
    <row r="69" spans="8:8">
      <c r="B69" s="365" t="s">
        <v>136</v>
      </c>
      <c r="C69" s="369" t="s">
        <v>283</v>
      </c>
      <c r="D69" s="369"/>
      <c r="E69" s="369"/>
      <c r="F69" s="369"/>
      <c r="G69" s="369"/>
      <c r="H69" s="369"/>
      <c r="I69" s="369"/>
      <c r="J69" s="369"/>
      <c r="K69" s="367" t="s">
        <v>233</v>
      </c>
      <c r="L69" s="366" t="s">
        <v>284</v>
      </c>
      <c r="M69" s="366"/>
      <c r="N69" s="367" t="s">
        <v>235</v>
      </c>
      <c r="O69" s="366" t="s">
        <v>253</v>
      </c>
      <c r="P69" s="366"/>
      <c r="Q69" s="368" t="s">
        <v>236</v>
      </c>
      <c r="R69" s="369" t="s">
        <v>285</v>
      </c>
      <c r="S69" s="370"/>
    </row>
    <row r="70" spans="8:8">
      <c r="B70" s="365"/>
      <c r="C70" s="369"/>
      <c r="D70" s="369"/>
      <c r="E70" s="369"/>
      <c r="F70" s="369"/>
      <c r="G70" s="369"/>
      <c r="H70" s="369"/>
      <c r="I70" s="369"/>
      <c r="J70" s="369"/>
      <c r="K70" s="367" t="s">
        <v>136</v>
      </c>
      <c r="L70" s="371" t="s">
        <v>286</v>
      </c>
      <c r="M70" s="371"/>
      <c r="N70" s="371"/>
      <c r="O70" s="371"/>
      <c r="P70" s="371"/>
      <c r="Q70" s="371"/>
      <c r="R70" s="371"/>
      <c r="S70" s="372"/>
    </row>
    <row r="71" spans="8:8" ht="16.35">
      <c r="B71" s="373" t="s">
        <v>241</v>
      </c>
      <c r="C71" s="374" t="s">
        <v>242</v>
      </c>
      <c r="D71" s="374"/>
      <c r="E71" s="374"/>
      <c r="F71" s="374"/>
      <c r="G71" s="374"/>
      <c r="H71" s="374"/>
      <c r="I71" s="374"/>
      <c r="J71" s="374"/>
      <c r="K71" s="375"/>
      <c r="L71" s="376"/>
      <c r="M71" s="376"/>
      <c r="N71" s="376"/>
      <c r="O71" s="376"/>
      <c r="P71" s="376"/>
      <c r="Q71" s="376"/>
      <c r="R71" s="376"/>
      <c r="S71" s="377"/>
    </row>
    <row r="72" spans="8:8" ht="16.35"/>
    <row r="73" spans="8:8">
      <c r="B73" s="378" t="s">
        <v>287</v>
      </c>
      <c r="C73" s="379"/>
      <c r="D73" s="379"/>
      <c r="E73" s="379"/>
      <c r="F73" s="379"/>
      <c r="G73" s="379"/>
      <c r="H73" s="379"/>
      <c r="I73" s="379"/>
      <c r="J73" s="379"/>
      <c r="K73" s="379"/>
      <c r="L73" s="379"/>
      <c r="M73" s="379"/>
      <c r="N73" s="379"/>
      <c r="O73" s="379"/>
      <c r="P73" s="379"/>
      <c r="Q73" s="379"/>
      <c r="R73" s="379"/>
      <c r="S73" s="380"/>
    </row>
    <row r="74" spans="8:8">
      <c r="B74" s="381" t="s">
        <v>288</v>
      </c>
      <c r="C74" s="382"/>
      <c r="D74" s="382"/>
      <c r="E74" s="382"/>
      <c r="F74" s="382"/>
      <c r="G74" s="382"/>
      <c r="H74" s="382"/>
      <c r="I74" s="382"/>
      <c r="J74" s="382"/>
      <c r="K74" s="383" t="s">
        <v>289</v>
      </c>
      <c r="L74" s="382"/>
      <c r="M74" s="382"/>
      <c r="N74" s="382"/>
      <c r="O74" s="382"/>
      <c r="P74" s="382"/>
      <c r="Q74" s="382"/>
      <c r="R74" s="382"/>
      <c r="S74" s="384"/>
    </row>
    <row r="75" spans="8:8">
      <c r="B75" s="385" t="s">
        <v>233</v>
      </c>
      <c r="C75" s="366" t="s">
        <v>290</v>
      </c>
      <c r="D75" s="366"/>
      <c r="E75" s="386" t="s">
        <v>235</v>
      </c>
      <c r="F75" s="366" t="s">
        <v>291</v>
      </c>
      <c r="G75" s="366"/>
      <c r="H75" s="387" t="s">
        <v>236</v>
      </c>
      <c r="I75" s="366" t="s">
        <v>285</v>
      </c>
      <c r="J75" s="366"/>
      <c r="K75" s="388" t="s">
        <v>233</v>
      </c>
      <c r="L75" s="366" t="s">
        <v>292</v>
      </c>
      <c r="M75" s="366"/>
      <c r="N75" s="386" t="s">
        <v>235</v>
      </c>
      <c r="O75" s="366" t="s">
        <v>288</v>
      </c>
      <c r="P75" s="366"/>
      <c r="Q75" s="387" t="s">
        <v>236</v>
      </c>
      <c r="R75" s="366" t="s">
        <v>285</v>
      </c>
      <c r="S75" s="389"/>
    </row>
    <row r="76" spans="8:8">
      <c r="B76" s="385" t="s">
        <v>136</v>
      </c>
      <c r="C76" s="366" t="s">
        <v>293</v>
      </c>
      <c r="D76" s="366"/>
      <c r="E76" s="366"/>
      <c r="F76" s="366"/>
      <c r="G76" s="366"/>
      <c r="H76" s="366"/>
      <c r="I76" s="366"/>
      <c r="J76" s="366"/>
      <c r="K76" s="388" t="s">
        <v>136</v>
      </c>
      <c r="L76" s="366" t="s">
        <v>294</v>
      </c>
      <c r="M76" s="366"/>
      <c r="N76" s="366"/>
      <c r="O76" s="366"/>
      <c r="P76" s="366"/>
      <c r="Q76" s="366"/>
      <c r="R76" s="366"/>
      <c r="S76" s="389"/>
    </row>
    <row r="77" spans="8:8">
      <c r="B77" s="385"/>
      <c r="C77" s="366"/>
      <c r="D77" s="366"/>
      <c r="E77" s="366"/>
      <c r="F77" s="366"/>
      <c r="G77" s="366"/>
      <c r="H77" s="366"/>
      <c r="I77" s="366"/>
      <c r="J77" s="366"/>
      <c r="K77" s="388"/>
      <c r="L77" s="366"/>
      <c r="M77" s="366"/>
      <c r="N77" s="366"/>
      <c r="O77" s="366"/>
      <c r="P77" s="366"/>
      <c r="Q77" s="366"/>
      <c r="R77" s="366"/>
      <c r="S77" s="389"/>
    </row>
    <row r="78" spans="8:8">
      <c r="B78" s="385" t="s">
        <v>233</v>
      </c>
      <c r="C78" s="366" t="s">
        <v>295</v>
      </c>
      <c r="D78" s="366"/>
      <c r="E78" s="386" t="s">
        <v>235</v>
      </c>
      <c r="F78" s="366" t="s">
        <v>291</v>
      </c>
      <c r="G78" s="366"/>
      <c r="H78" s="387" t="s">
        <v>236</v>
      </c>
      <c r="I78" s="366" t="s">
        <v>285</v>
      </c>
      <c r="J78" s="366"/>
      <c r="K78" s="388" t="s">
        <v>233</v>
      </c>
      <c r="L78" s="366" t="s">
        <v>296</v>
      </c>
      <c r="M78" s="366"/>
      <c r="N78" s="386" t="s">
        <v>235</v>
      </c>
      <c r="O78" s="366" t="s">
        <v>297</v>
      </c>
      <c r="P78" s="366"/>
      <c r="Q78" s="387" t="s">
        <v>236</v>
      </c>
      <c r="R78" s="366" t="s">
        <v>261</v>
      </c>
      <c r="S78" s="389"/>
    </row>
    <row r="79" spans="8:8">
      <c r="B79" s="385" t="s">
        <v>136</v>
      </c>
      <c r="C79" s="366" t="s">
        <v>298</v>
      </c>
      <c r="D79" s="366"/>
      <c r="E79" s="366"/>
      <c r="F79" s="366"/>
      <c r="G79" s="366"/>
      <c r="H79" s="366"/>
      <c r="I79" s="366"/>
      <c r="J79" s="366"/>
      <c r="K79" s="388" t="s">
        <v>136</v>
      </c>
      <c r="L79" s="366" t="s">
        <v>299</v>
      </c>
      <c r="M79" s="366"/>
      <c r="N79" s="366"/>
      <c r="O79" s="366"/>
      <c r="P79" s="366"/>
      <c r="Q79" s="366"/>
      <c r="R79" s="366"/>
      <c r="S79" s="389"/>
    </row>
    <row r="80" spans="8:8">
      <c r="B80" s="385"/>
      <c r="C80" s="366"/>
      <c r="D80" s="366"/>
      <c r="E80" s="366"/>
      <c r="F80" s="366"/>
      <c r="G80" s="366"/>
      <c r="H80" s="366"/>
      <c r="I80" s="366"/>
      <c r="J80" s="366"/>
      <c r="K80" s="388"/>
      <c r="L80" s="366"/>
      <c r="M80" s="366"/>
      <c r="N80" s="366"/>
      <c r="O80" s="366"/>
      <c r="P80" s="366"/>
      <c r="Q80" s="366"/>
      <c r="R80" s="366"/>
      <c r="S80" s="389"/>
    </row>
    <row r="81" spans="8:8">
      <c r="B81" s="385" t="s">
        <v>233</v>
      </c>
      <c r="C81" s="366" t="s">
        <v>300</v>
      </c>
      <c r="D81" s="366"/>
      <c r="E81" s="386" t="s">
        <v>235</v>
      </c>
      <c r="F81" s="366" t="s">
        <v>291</v>
      </c>
      <c r="G81" s="366"/>
      <c r="H81" s="387" t="s">
        <v>236</v>
      </c>
      <c r="I81" s="366" t="s">
        <v>256</v>
      </c>
      <c r="J81" s="366"/>
      <c r="K81" s="388" t="s">
        <v>233</v>
      </c>
      <c r="L81" s="366" t="s">
        <v>301</v>
      </c>
      <c r="M81" s="366"/>
      <c r="N81" s="386" t="s">
        <v>235</v>
      </c>
      <c r="O81" s="366" t="s">
        <v>291</v>
      </c>
      <c r="P81" s="366"/>
      <c r="Q81" s="387" t="s">
        <v>236</v>
      </c>
      <c r="R81" s="366" t="s">
        <v>256</v>
      </c>
      <c r="S81" s="389"/>
    </row>
    <row r="82" spans="8:8">
      <c r="B82" s="385" t="s">
        <v>136</v>
      </c>
      <c r="C82" s="366" t="s">
        <v>302</v>
      </c>
      <c r="D82" s="366"/>
      <c r="E82" s="366"/>
      <c r="F82" s="366"/>
      <c r="G82" s="366"/>
      <c r="H82" s="366"/>
      <c r="I82" s="366"/>
      <c r="J82" s="366"/>
      <c r="K82" s="388" t="s">
        <v>136</v>
      </c>
      <c r="L82" s="366" t="s">
        <v>303</v>
      </c>
      <c r="M82" s="366"/>
      <c r="N82" s="366"/>
      <c r="O82" s="366"/>
      <c r="P82" s="366"/>
      <c r="Q82" s="366"/>
      <c r="R82" s="366"/>
      <c r="S82" s="389"/>
    </row>
    <row r="83" spans="8:8">
      <c r="B83" s="385"/>
      <c r="C83" s="366"/>
      <c r="D83" s="366"/>
      <c r="E83" s="366"/>
      <c r="F83" s="366"/>
      <c r="G83" s="366"/>
      <c r="H83" s="366"/>
      <c r="I83" s="366"/>
      <c r="J83" s="366"/>
      <c r="K83" s="388"/>
      <c r="L83" s="366"/>
      <c r="M83" s="366"/>
      <c r="N83" s="366"/>
      <c r="O83" s="366"/>
      <c r="P83" s="366"/>
      <c r="Q83" s="366"/>
      <c r="R83" s="366"/>
      <c r="S83" s="389"/>
    </row>
    <row r="84" spans="8:8">
      <c r="B84" s="385" t="s">
        <v>233</v>
      </c>
      <c r="C84" s="366" t="s">
        <v>304</v>
      </c>
      <c r="D84" s="366"/>
      <c r="E84" s="386" t="s">
        <v>235</v>
      </c>
      <c r="F84" s="366" t="s">
        <v>297</v>
      </c>
      <c r="G84" s="366"/>
      <c r="H84" s="387" t="s">
        <v>236</v>
      </c>
      <c r="I84" s="366" t="s">
        <v>261</v>
      </c>
      <c r="J84" s="366"/>
      <c r="K84" s="388" t="s">
        <v>233</v>
      </c>
      <c r="L84" s="366" t="s">
        <v>305</v>
      </c>
      <c r="M84" s="366"/>
      <c r="N84" s="386" t="s">
        <v>235</v>
      </c>
      <c r="O84" s="366" t="s">
        <v>288</v>
      </c>
      <c r="P84" s="366"/>
      <c r="Q84" s="387" t="s">
        <v>236</v>
      </c>
      <c r="R84" s="366" t="s">
        <v>285</v>
      </c>
      <c r="S84" s="389"/>
    </row>
    <row r="85" spans="8:8">
      <c r="B85" s="385" t="s">
        <v>136</v>
      </c>
      <c r="C85" s="390" t="s">
        <v>306</v>
      </c>
      <c r="D85" s="391"/>
      <c r="E85" s="391"/>
      <c r="F85" s="391"/>
      <c r="G85" s="391"/>
      <c r="H85" s="391"/>
      <c r="I85" s="391"/>
      <c r="J85" s="392"/>
      <c r="K85" s="388" t="s">
        <v>136</v>
      </c>
      <c r="L85" s="390" t="s">
        <v>307</v>
      </c>
      <c r="M85" s="391"/>
      <c r="N85" s="391"/>
      <c r="O85" s="391"/>
      <c r="P85" s="391"/>
      <c r="Q85" s="391"/>
      <c r="R85" s="391"/>
      <c r="S85" s="393"/>
    </row>
    <row r="86" spans="8:8">
      <c r="B86" s="385"/>
      <c r="C86" s="394"/>
      <c r="D86" s="395"/>
      <c r="E86" s="395"/>
      <c r="F86" s="395"/>
      <c r="G86" s="395"/>
      <c r="H86" s="395"/>
      <c r="I86" s="395"/>
      <c r="J86" s="396"/>
      <c r="K86" s="388"/>
      <c r="L86" s="394"/>
      <c r="M86" s="395"/>
      <c r="N86" s="395"/>
      <c r="O86" s="395"/>
      <c r="P86" s="395"/>
      <c r="Q86" s="395"/>
      <c r="R86" s="395"/>
      <c r="S86" s="397"/>
    </row>
    <row r="87" spans="8:8">
      <c r="B87" s="385"/>
      <c r="C87" s="394"/>
      <c r="D87" s="395"/>
      <c r="E87" s="395"/>
      <c r="F87" s="395"/>
      <c r="G87" s="395"/>
      <c r="H87" s="395"/>
      <c r="I87" s="395"/>
      <c r="J87" s="396"/>
      <c r="K87" s="388"/>
      <c r="L87" s="394"/>
      <c r="M87" s="395"/>
      <c r="N87" s="395"/>
      <c r="O87" s="395"/>
      <c r="P87" s="395"/>
      <c r="Q87" s="395"/>
      <c r="R87" s="395"/>
      <c r="S87" s="397"/>
    </row>
    <row r="88" spans="8:8">
      <c r="B88" s="385"/>
      <c r="C88" s="398"/>
      <c r="D88" s="399"/>
      <c r="E88" s="399"/>
      <c r="F88" s="399"/>
      <c r="G88" s="399"/>
      <c r="H88" s="399"/>
      <c r="I88" s="399"/>
      <c r="J88" s="400"/>
      <c r="K88" s="388"/>
      <c r="L88" s="398"/>
      <c r="M88" s="399"/>
      <c r="N88" s="399"/>
      <c r="O88" s="399"/>
      <c r="P88" s="399"/>
      <c r="Q88" s="399"/>
      <c r="R88" s="399"/>
      <c r="S88" s="401"/>
    </row>
    <row r="89" spans="8:8">
      <c r="B89" s="385" t="s">
        <v>233</v>
      </c>
      <c r="C89" s="366" t="s">
        <v>308</v>
      </c>
      <c r="D89" s="366"/>
      <c r="E89" s="386" t="s">
        <v>235</v>
      </c>
      <c r="F89" s="366" t="s">
        <v>291</v>
      </c>
      <c r="G89" s="366"/>
      <c r="H89" s="387" t="s">
        <v>236</v>
      </c>
      <c r="I89" s="366" t="s">
        <v>285</v>
      </c>
      <c r="J89" s="366"/>
      <c r="K89" s="388" t="s">
        <v>233</v>
      </c>
      <c r="L89" s="366" t="s">
        <v>309</v>
      </c>
      <c r="M89" s="366"/>
      <c r="N89" s="386" t="s">
        <v>235</v>
      </c>
      <c r="O89" s="366" t="s">
        <v>297</v>
      </c>
      <c r="P89" s="366"/>
      <c r="Q89" s="387" t="s">
        <v>236</v>
      </c>
      <c r="R89" s="366" t="s">
        <v>310</v>
      </c>
      <c r="S89" s="389"/>
    </row>
    <row r="90" spans="8:8">
      <c r="B90" s="385" t="s">
        <v>136</v>
      </c>
      <c r="C90" s="390" t="s">
        <v>311</v>
      </c>
      <c r="D90" s="391"/>
      <c r="E90" s="391"/>
      <c r="F90" s="391"/>
      <c r="G90" s="391"/>
      <c r="H90" s="391"/>
      <c r="I90" s="391"/>
      <c r="J90" s="392"/>
      <c r="K90" s="388" t="s">
        <v>136</v>
      </c>
      <c r="L90" s="366" t="s">
        <v>312</v>
      </c>
      <c r="M90" s="366"/>
      <c r="N90" s="366"/>
      <c r="O90" s="366"/>
      <c r="P90" s="366"/>
      <c r="Q90" s="366"/>
      <c r="R90" s="366"/>
      <c r="S90" s="389"/>
    </row>
    <row r="91" spans="8:8">
      <c r="B91" s="385"/>
      <c r="C91" s="394"/>
      <c r="D91" s="395"/>
      <c r="E91" s="395"/>
      <c r="F91" s="395"/>
      <c r="G91" s="395"/>
      <c r="H91" s="395"/>
      <c r="I91" s="395"/>
      <c r="J91" s="396"/>
      <c r="K91" s="388"/>
      <c r="L91" s="366"/>
      <c r="M91" s="366"/>
      <c r="N91" s="366"/>
      <c r="O91" s="366"/>
      <c r="P91" s="366"/>
      <c r="Q91" s="366"/>
      <c r="R91" s="366"/>
      <c r="S91" s="389"/>
    </row>
    <row r="92" spans="8:8">
      <c r="B92" s="385"/>
      <c r="C92" s="394"/>
      <c r="D92" s="395"/>
      <c r="E92" s="395"/>
      <c r="F92" s="395"/>
      <c r="G92" s="395"/>
      <c r="H92" s="395"/>
      <c r="I92" s="395"/>
      <c r="J92" s="396"/>
      <c r="K92" s="388"/>
      <c r="L92" s="366"/>
      <c r="M92" s="366"/>
      <c r="N92" s="366"/>
      <c r="O92" s="366"/>
      <c r="P92" s="366"/>
      <c r="Q92" s="366"/>
      <c r="R92" s="366"/>
      <c r="S92" s="389"/>
    </row>
    <row r="93" spans="8:8">
      <c r="B93" s="385"/>
      <c r="C93" s="398"/>
      <c r="D93" s="399"/>
      <c r="E93" s="399"/>
      <c r="F93" s="399"/>
      <c r="G93" s="399"/>
      <c r="H93" s="399"/>
      <c r="I93" s="399"/>
      <c r="J93" s="400"/>
      <c r="K93" s="388"/>
      <c r="L93" s="366"/>
      <c r="M93" s="366"/>
      <c r="N93" s="366"/>
      <c r="O93" s="366"/>
      <c r="P93" s="366"/>
      <c r="Q93" s="366"/>
      <c r="R93" s="366"/>
      <c r="S93" s="389"/>
    </row>
    <row r="94" spans="8:8">
      <c r="B94" s="385" t="s">
        <v>233</v>
      </c>
      <c r="C94" s="366" t="s">
        <v>313</v>
      </c>
      <c r="D94" s="366"/>
      <c r="E94" s="386" t="s">
        <v>235</v>
      </c>
      <c r="F94" s="366" t="s">
        <v>291</v>
      </c>
      <c r="G94" s="366"/>
      <c r="H94" s="387" t="s">
        <v>236</v>
      </c>
      <c r="I94" s="366" t="s">
        <v>247</v>
      </c>
      <c r="J94" s="366"/>
      <c r="K94" s="388"/>
      <c r="L94" s="366"/>
      <c r="M94" s="366"/>
      <c r="N94" s="366"/>
      <c r="O94" s="366"/>
      <c r="P94" s="366"/>
      <c r="Q94" s="366"/>
      <c r="R94" s="366"/>
      <c r="S94" s="389"/>
    </row>
    <row r="95" spans="8:8">
      <c r="B95" s="385" t="s">
        <v>136</v>
      </c>
      <c r="C95" s="366" t="s">
        <v>314</v>
      </c>
      <c r="D95" s="366"/>
      <c r="E95" s="366"/>
      <c r="F95" s="366"/>
      <c r="G95" s="366"/>
      <c r="H95" s="366"/>
      <c r="I95" s="366"/>
      <c r="J95" s="366"/>
      <c r="K95" s="388"/>
      <c r="L95" s="366"/>
      <c r="M95" s="366"/>
      <c r="N95" s="366"/>
      <c r="O95" s="366"/>
      <c r="P95" s="366"/>
      <c r="Q95" s="366"/>
      <c r="R95" s="366"/>
      <c r="S95" s="389"/>
    </row>
    <row r="96" spans="8:8">
      <c r="B96" s="385"/>
      <c r="C96" s="366"/>
      <c r="D96" s="366"/>
      <c r="E96" s="366"/>
      <c r="F96" s="366"/>
      <c r="G96" s="366"/>
      <c r="H96" s="366"/>
      <c r="I96" s="366"/>
      <c r="J96" s="366"/>
      <c r="K96" s="388" t="s">
        <v>233</v>
      </c>
      <c r="L96" s="366" t="s">
        <v>315</v>
      </c>
      <c r="M96" s="366"/>
      <c r="N96" s="386" t="s">
        <v>235</v>
      </c>
      <c r="O96" s="366" t="s">
        <v>291</v>
      </c>
      <c r="P96" s="366"/>
      <c r="Q96" s="387" t="s">
        <v>236</v>
      </c>
      <c r="R96" s="366" t="s">
        <v>285</v>
      </c>
      <c r="S96" s="389"/>
    </row>
    <row r="97" spans="8:8">
      <c r="B97" s="385" t="s">
        <v>233</v>
      </c>
      <c r="C97" s="366" t="s">
        <v>316</v>
      </c>
      <c r="D97" s="366"/>
      <c r="E97" s="386" t="s">
        <v>235</v>
      </c>
      <c r="F97" s="366" t="s">
        <v>291</v>
      </c>
      <c r="G97" s="366"/>
      <c r="H97" s="387" t="s">
        <v>236</v>
      </c>
      <c r="I97" s="366" t="s">
        <v>317</v>
      </c>
      <c r="J97" s="366"/>
      <c r="K97" s="388" t="s">
        <v>136</v>
      </c>
      <c r="L97" s="366" t="s">
        <v>318</v>
      </c>
      <c r="M97" s="366"/>
      <c r="N97" s="366"/>
      <c r="O97" s="366"/>
      <c r="P97" s="366"/>
      <c r="Q97" s="366"/>
      <c r="R97" s="366"/>
      <c r="S97" s="389"/>
    </row>
    <row r="98" spans="8:8">
      <c r="B98" s="385" t="s">
        <v>136</v>
      </c>
      <c r="C98" s="366" t="s">
        <v>319</v>
      </c>
      <c r="D98" s="366"/>
      <c r="E98" s="366"/>
      <c r="F98" s="366"/>
      <c r="G98" s="366"/>
      <c r="H98" s="366"/>
      <c r="I98" s="366"/>
      <c r="J98" s="366"/>
      <c r="K98" s="388"/>
      <c r="L98" s="366"/>
      <c r="M98" s="366"/>
      <c r="N98" s="366"/>
      <c r="O98" s="366"/>
      <c r="P98" s="366"/>
      <c r="Q98" s="366"/>
      <c r="R98" s="366"/>
      <c r="S98" s="389"/>
    </row>
    <row r="99" spans="8:8">
      <c r="B99" s="385"/>
      <c r="C99" s="366"/>
      <c r="D99" s="366"/>
      <c r="E99" s="366"/>
      <c r="F99" s="366"/>
      <c r="G99" s="366"/>
      <c r="H99" s="366"/>
      <c r="I99" s="366"/>
      <c r="J99" s="366"/>
      <c r="K99" s="388"/>
      <c r="L99" s="366"/>
      <c r="M99" s="366"/>
      <c r="N99" s="366"/>
      <c r="O99" s="366"/>
      <c r="P99" s="366"/>
      <c r="Q99" s="366"/>
      <c r="R99" s="366"/>
      <c r="S99" s="389"/>
    </row>
    <row r="100" spans="8:8">
      <c r="B100" s="385"/>
      <c r="C100" s="366"/>
      <c r="D100" s="366"/>
      <c r="E100" s="366"/>
      <c r="F100" s="366"/>
      <c r="G100" s="366"/>
      <c r="H100" s="366"/>
      <c r="I100" s="366"/>
      <c r="J100" s="366"/>
      <c r="K100" s="388"/>
      <c r="L100" s="366"/>
      <c r="M100" s="366"/>
      <c r="N100" s="366"/>
      <c r="O100" s="366"/>
      <c r="P100" s="366"/>
      <c r="Q100" s="366"/>
      <c r="R100" s="366"/>
      <c r="S100" s="389"/>
    </row>
    <row r="101" spans="8:8">
      <c r="B101" s="385"/>
      <c r="C101" s="366"/>
      <c r="D101" s="366"/>
      <c r="E101" s="366"/>
      <c r="F101" s="366"/>
      <c r="G101" s="366"/>
      <c r="H101" s="366"/>
      <c r="I101" s="366"/>
      <c r="J101" s="366"/>
      <c r="K101" s="388" t="s">
        <v>233</v>
      </c>
      <c r="L101" s="366" t="s">
        <v>320</v>
      </c>
      <c r="M101" s="366"/>
      <c r="N101" s="386" t="s">
        <v>235</v>
      </c>
      <c r="O101" s="366" t="s">
        <v>291</v>
      </c>
      <c r="P101" s="366"/>
      <c r="Q101" s="387" t="s">
        <v>236</v>
      </c>
      <c r="R101" s="366" t="s">
        <v>285</v>
      </c>
      <c r="S101" s="389"/>
    </row>
    <row r="102" spans="8:8">
      <c r="B102" s="385" t="s">
        <v>241</v>
      </c>
      <c r="C102" s="366" t="s">
        <v>321</v>
      </c>
      <c r="D102" s="366"/>
      <c r="E102" s="366"/>
      <c r="F102" s="366"/>
      <c r="G102" s="366"/>
      <c r="H102" s="366"/>
      <c r="I102" s="366"/>
      <c r="J102" s="366"/>
      <c r="K102" s="388" t="s">
        <v>136</v>
      </c>
      <c r="L102" s="366" t="s">
        <v>322</v>
      </c>
      <c r="M102" s="366"/>
      <c r="N102" s="366"/>
      <c r="O102" s="366"/>
      <c r="P102" s="366"/>
      <c r="Q102" s="366"/>
      <c r="R102" s="366"/>
      <c r="S102" s="389"/>
    </row>
    <row r="103" spans="8:8" ht="16.35">
      <c r="B103" s="402"/>
      <c r="C103" s="403"/>
      <c r="D103" s="403"/>
      <c r="E103" s="403"/>
      <c r="F103" s="403"/>
      <c r="G103" s="403"/>
      <c r="H103" s="403"/>
      <c r="I103" s="403"/>
      <c r="J103" s="403"/>
      <c r="K103" s="388"/>
      <c r="L103" s="366"/>
      <c r="M103" s="366"/>
      <c r="N103" s="366"/>
      <c r="O103" s="366"/>
      <c r="P103" s="366"/>
      <c r="Q103" s="366"/>
      <c r="R103" s="366"/>
      <c r="S103" s="389"/>
    </row>
    <row r="104" spans="8:8">
      <c r="K104" s="385"/>
      <c r="L104" s="366"/>
      <c r="M104" s="366"/>
      <c r="N104" s="366"/>
      <c r="O104" s="366"/>
      <c r="P104" s="366"/>
      <c r="Q104" s="366"/>
      <c r="R104" s="366"/>
      <c r="S104" s="389"/>
    </row>
    <row r="105" spans="8:8" ht="16.35">
      <c r="K105" s="402"/>
      <c r="L105" s="403"/>
      <c r="M105" s="403"/>
      <c r="N105" s="403"/>
      <c r="O105" s="403"/>
      <c r="P105" s="403"/>
      <c r="Q105" s="403"/>
      <c r="R105" s="403"/>
      <c r="S105" s="404"/>
    </row>
  </sheetData>
  <mergeCells count="201">
    <mergeCell ref="L61:M61"/>
    <mergeCell ref="D14:S14"/>
    <mergeCell ref="D31:S31"/>
    <mergeCell ref="L36:M36"/>
    <mergeCell ref="C47:J47"/>
    <mergeCell ref="D15:S15"/>
    <mergeCell ref="D12:S12"/>
    <mergeCell ref="D2:S2"/>
    <mergeCell ref="K90:K95"/>
    <mergeCell ref="O47:P47"/>
    <mergeCell ref="F40:G40"/>
    <mergeCell ref="B69:B70"/>
    <mergeCell ref="K42:K45"/>
    <mergeCell ref="C37:J38"/>
    <mergeCell ref="K97:K100"/>
    <mergeCell ref="B102:B103"/>
    <mergeCell ref="C36:D36"/>
    <mergeCell ref="K35:S35"/>
    <mergeCell ref="K74:S74"/>
    <mergeCell ref="R64:S64"/>
    <mergeCell ref="R61:S61"/>
    <mergeCell ref="O61:P61"/>
    <mergeCell ref="K48:K49"/>
    <mergeCell ref="B73:S73"/>
    <mergeCell ref="L50:M50"/>
    <mergeCell ref="F81:G81"/>
    <mergeCell ref="C41:J42"/>
    <mergeCell ref="K76:K77"/>
    <mergeCell ref="F68:G68"/>
    <mergeCell ref="C98:J101"/>
    <mergeCell ref="R101:S101"/>
    <mergeCell ref="B34:J34"/>
    <mergeCell ref="K82:K83"/>
    <mergeCell ref="O64:P64"/>
    <mergeCell ref="O81:P81"/>
    <mergeCell ref="L81:M81"/>
    <mergeCell ref="C43:J43"/>
    <mergeCell ref="C90:J93"/>
    <mergeCell ref="B48:J48"/>
    <mergeCell ref="O101:P101"/>
    <mergeCell ref="K102:K105"/>
    <mergeCell ref="B58:B61"/>
    <mergeCell ref="I57:J57"/>
    <mergeCell ref="I78:J78"/>
    <mergeCell ref="K57:K60"/>
    <mergeCell ref="C52:J52"/>
    <mergeCell ref="I97:J97"/>
    <mergeCell ref="C40:D40"/>
    <mergeCell ref="I94:J94"/>
    <mergeCell ref="K65:K68"/>
    <mergeCell ref="B65:B66"/>
    <mergeCell ref="F44:G44"/>
    <mergeCell ref="C69:J70"/>
    <mergeCell ref="L41:M41"/>
    <mergeCell ref="L76:S77"/>
    <mergeCell ref="I36:J36"/>
    <mergeCell ref="L65:S68"/>
    <mergeCell ref="R47:S47"/>
    <mergeCell ref="L42:S45"/>
    <mergeCell ref="C57:D57"/>
    <mergeCell ref="D29:S29"/>
    <mergeCell ref="B41:B42"/>
    <mergeCell ref="I49:J49"/>
    <mergeCell ref="L48:S49"/>
    <mergeCell ref="K51:K54"/>
    <mergeCell ref="F97:G97"/>
    <mergeCell ref="O69:P69"/>
    <mergeCell ref="R78:S78"/>
    <mergeCell ref="R69:S69"/>
    <mergeCell ref="L90:S95"/>
    <mergeCell ref="C76:J77"/>
    <mergeCell ref="C95:J96"/>
    <mergeCell ref="L70:S71"/>
    <mergeCell ref="C81:D81"/>
    <mergeCell ref="O89:P89"/>
    <mergeCell ref="O78:P78"/>
    <mergeCell ref="I84:J84"/>
    <mergeCell ref="F84:G84"/>
    <mergeCell ref="L62:S63"/>
    <mergeCell ref="B82:B83"/>
    <mergeCell ref="L69:M69"/>
    <mergeCell ref="L85:S88"/>
    <mergeCell ref="D20:S20"/>
    <mergeCell ref="C54:J55"/>
    <mergeCell ref="B33:S33"/>
    <mergeCell ref="D13:S13"/>
    <mergeCell ref="D11:S11"/>
    <mergeCell ref="D10:S10"/>
    <mergeCell ref="L57:S60"/>
    <mergeCell ref="D24:S24"/>
    <mergeCell ref="D25:S25"/>
    <mergeCell ref="L51:S54"/>
    <mergeCell ref="L55:S55"/>
    <mergeCell ref="K34:S34"/>
    <mergeCell ref="O41:P41"/>
    <mergeCell ref="R96:S96"/>
    <mergeCell ref="F78:G78"/>
    <mergeCell ref="R75:S75"/>
    <mergeCell ref="I89:J89"/>
    <mergeCell ref="R84:S84"/>
    <mergeCell ref="L89:M89"/>
    <mergeCell ref="K79:K80"/>
    <mergeCell ref="B37:B38"/>
    <mergeCell ref="O36:P36"/>
    <mergeCell ref="B79:B80"/>
    <mergeCell ref="C85:J88"/>
    <mergeCell ref="D19:S19"/>
    <mergeCell ref="L56:M56"/>
    <mergeCell ref="D6:S6"/>
    <mergeCell ref="D4:S4"/>
    <mergeCell ref="B35:J35"/>
    <mergeCell ref="I81:J81"/>
    <mergeCell ref="K70:K71"/>
    <mergeCell ref="F53:G53"/>
    <mergeCell ref="R89:S89"/>
    <mergeCell ref="B90:B93"/>
    <mergeCell ref="L96:M96"/>
    <mergeCell ref="I68:J68"/>
    <mergeCell ref="D9:S9"/>
    <mergeCell ref="D8:S8"/>
    <mergeCell ref="C49:D49"/>
    <mergeCell ref="D16:S16"/>
    <mergeCell ref="D18:S18"/>
    <mergeCell ref="D21:S21"/>
    <mergeCell ref="D28:S28"/>
    <mergeCell ref="D30:S30"/>
    <mergeCell ref="D7:S7"/>
    <mergeCell ref="O56:P56"/>
    <mergeCell ref="C84:D84"/>
    <mergeCell ref="O96:P96"/>
    <mergeCell ref="B76:B77"/>
    <mergeCell ref="R81:S81"/>
    <mergeCell ref="B98:B101"/>
    <mergeCell ref="C56:J56"/>
    <mergeCell ref="L78:M78"/>
    <mergeCell ref="C79:J80"/>
    <mergeCell ref="L82:S83"/>
    <mergeCell ref="D23:S23"/>
    <mergeCell ref="D22:S22"/>
    <mergeCell ref="D17:S17"/>
    <mergeCell ref="D26:S26"/>
    <mergeCell ref="C89:D89"/>
    <mergeCell ref="I53:J53"/>
    <mergeCell ref="F49:G49"/>
    <mergeCell ref="B74:J74"/>
    <mergeCell ref="F94:G94"/>
    <mergeCell ref="B95:B96"/>
    <mergeCell ref="R56:S56"/>
    <mergeCell ref="C39:J39"/>
    <mergeCell ref="R36:S36"/>
    <mergeCell ref="R41:S41"/>
    <mergeCell ref="C53:D53"/>
    <mergeCell ref="R50:S50"/>
    <mergeCell ref="C82:J83"/>
    <mergeCell ref="C45:J46"/>
    <mergeCell ref="C62:J62"/>
    <mergeCell ref="C58:J61"/>
    <mergeCell ref="C64:J64"/>
    <mergeCell ref="I75:J75"/>
    <mergeCell ref="L47:M47"/>
    <mergeCell ref="K85:K88"/>
    <mergeCell ref="C50:J51"/>
    <mergeCell ref="I44:J44"/>
    <mergeCell ref="K62:K63"/>
    <mergeCell ref="C71:J71"/>
    <mergeCell ref="K46:S46"/>
    <mergeCell ref="K37:K40"/>
    <mergeCell ref="F36:G36"/>
    <mergeCell ref="C65:J66"/>
    <mergeCell ref="F75:G75"/>
    <mergeCell ref="L84:M84"/>
    <mergeCell ref="B45:B46"/>
    <mergeCell ref="I40:J40"/>
    <mergeCell ref="B50:B51"/>
    <mergeCell ref="C63:J63"/>
    <mergeCell ref="B85:B88"/>
    <mergeCell ref="B67:J67"/>
    <mergeCell ref="O84:P84"/>
    <mergeCell ref="C75:D75"/>
    <mergeCell ref="C78:D78"/>
    <mergeCell ref="C68:D68"/>
    <mergeCell ref="D5:S5"/>
    <mergeCell ref="B2:C2"/>
    <mergeCell ref="O75:P75"/>
    <mergeCell ref="C44:D44"/>
    <mergeCell ref="F89:G89"/>
    <mergeCell ref="C97:D97"/>
    <mergeCell ref="L101:M101"/>
    <mergeCell ref="D3:S3"/>
    <mergeCell ref="O50:P50"/>
    <mergeCell ref="D27:S27"/>
    <mergeCell ref="L37:S40"/>
    <mergeCell ref="B54:B55"/>
    <mergeCell ref="L79:S80"/>
    <mergeCell ref="C94:D94"/>
    <mergeCell ref="C102:J103"/>
    <mergeCell ref="L64:M64"/>
    <mergeCell ref="F57:G57"/>
    <mergeCell ref="L75:M75"/>
    <mergeCell ref="L102:S105"/>
    <mergeCell ref="L97:S100"/>
  </mergeCells>
  <pageMargins left="0.75" right="0.75" top="1.0" bottom="1.0" header="0.5" footer="0.5"/>
</worksheet>
</file>

<file path=xl/worksheets/sheet6.xml><?xml version="1.0" encoding="utf-8"?>
<worksheet xmlns:r="http://schemas.openxmlformats.org/officeDocument/2006/relationships" xmlns="http://schemas.openxmlformats.org/spreadsheetml/2006/main">
  <dimension ref="A1:AK84"/>
  <sheetViews>
    <sheetView workbookViewId="0">
      <pane ySplit="1" topLeftCell="A2" state="frozen" activePane="bottomLeft"/>
      <selection pane="bottomLeft" activeCell="P5" sqref="P5"/>
    </sheetView>
  </sheetViews>
  <sheetFormatPr defaultRowHeight="15.6" defaultColWidth="9"/>
  <cols>
    <col min="2" max="2" customWidth="1" width="11.5" style="0"/>
  </cols>
  <sheetData>
    <row r="1" spans="8:8">
      <c r="A1" s="405" t="s">
        <v>159</v>
      </c>
      <c r="B1" s="406" t="s">
        <v>323</v>
      </c>
      <c r="C1" s="407"/>
      <c r="D1" s="408" t="s">
        <v>42</v>
      </c>
      <c r="E1" s="409"/>
      <c r="G1" s="410" t="s">
        <v>38</v>
      </c>
      <c r="H1" s="411" t="s">
        <v>324</v>
      </c>
      <c r="I1" s="411" t="s">
        <v>325</v>
      </c>
      <c r="J1" s="412" t="s">
        <v>326</v>
      </c>
      <c r="K1" s="412" t="s">
        <v>327</v>
      </c>
      <c r="L1" s="412" t="s">
        <v>328</v>
      </c>
      <c r="M1" s="411" t="s">
        <v>329</v>
      </c>
    </row>
    <row r="2" spans="8:8">
      <c r="A2" s="413">
        <v>10.0</v>
      </c>
      <c r="B2" s="414">
        <v>12.0</v>
      </c>
      <c r="C2" s="407"/>
      <c r="D2" s="415" t="s">
        <v>125</v>
      </c>
      <c r="E2" s="416"/>
      <c r="G2" s="417" t="s">
        <v>46</v>
      </c>
      <c r="H2">
        <v>0.0</v>
      </c>
      <c r="I2">
        <v>0.0</v>
      </c>
      <c r="J2">
        <v>0.0</v>
      </c>
      <c r="K2">
        <v>10.0</v>
      </c>
      <c r="L2">
        <v>0.0</v>
      </c>
      <c r="M2">
        <v>10.0</v>
      </c>
    </row>
    <row r="3" spans="8:8">
      <c r="A3" s="413">
        <v>20.0</v>
      </c>
      <c r="B3" s="414">
        <v>16.0</v>
      </c>
      <c r="C3" s="407"/>
      <c r="D3" s="415" t="s">
        <v>330</v>
      </c>
      <c r="E3" s="416"/>
      <c r="G3" s="417" t="s">
        <v>163</v>
      </c>
      <c r="H3">
        <v>15.0</v>
      </c>
      <c r="I3">
        <v>15.0</v>
      </c>
      <c r="J3">
        <v>15.0</v>
      </c>
      <c r="K3">
        <v>0.0</v>
      </c>
      <c r="L3">
        <v>0.0</v>
      </c>
      <c r="M3">
        <v>0.0</v>
      </c>
    </row>
    <row r="4" spans="8:8">
      <c r="A4" s="413">
        <v>30.0</v>
      </c>
      <c r="B4" s="414">
        <v>20.0</v>
      </c>
      <c r="C4" s="407"/>
      <c r="D4" s="415" t="s">
        <v>331</v>
      </c>
      <c r="E4" s="416"/>
      <c r="G4" s="417" t="s">
        <v>165</v>
      </c>
      <c r="H4">
        <v>0.0</v>
      </c>
      <c r="I4">
        <v>0.0</v>
      </c>
      <c r="J4">
        <v>0.0</v>
      </c>
      <c r="K4">
        <v>0.0</v>
      </c>
      <c r="L4">
        <v>30.0</v>
      </c>
      <c r="M4">
        <v>0.0</v>
      </c>
    </row>
    <row r="5" spans="8:8">
      <c r="A5" s="413">
        <v>40.0</v>
      </c>
      <c r="B5" s="414">
        <v>24.0</v>
      </c>
      <c r="C5" s="407"/>
      <c r="D5" s="415" t="s">
        <v>332</v>
      </c>
      <c r="E5" s="416"/>
      <c r="G5" s="417" t="s">
        <v>168</v>
      </c>
      <c r="H5">
        <v>0.0</v>
      </c>
      <c r="I5">
        <v>15.0</v>
      </c>
      <c r="J5">
        <v>0.0</v>
      </c>
      <c r="K5">
        <v>15.0</v>
      </c>
      <c r="L5">
        <v>0.0</v>
      </c>
      <c r="M5">
        <v>0.0</v>
      </c>
    </row>
    <row r="6" spans="8:8">
      <c r="A6" s="417"/>
      <c r="B6" s="418"/>
      <c r="C6" s="407"/>
      <c r="D6" s="415" t="s">
        <v>333</v>
      </c>
      <c r="E6" s="416"/>
      <c r="G6" s="419"/>
      <c r="H6" s="420">
        <v>0.0</v>
      </c>
      <c r="I6" s="420">
        <v>0.0</v>
      </c>
      <c r="J6" s="420">
        <v>0.0</v>
      </c>
      <c r="K6" s="420">
        <v>0.0</v>
      </c>
      <c r="L6" s="420">
        <v>0.0</v>
      </c>
      <c r="M6" s="420">
        <v>0.0</v>
      </c>
    </row>
    <row r="7" spans="8:8">
      <c r="A7" s="417"/>
      <c r="B7" s="418"/>
      <c r="C7" s="407"/>
      <c r="D7" s="415" t="s">
        <v>334</v>
      </c>
      <c r="E7" s="416"/>
      <c r="G7" s="421"/>
      <c r="H7" s="420">
        <v>0.0</v>
      </c>
      <c r="I7" s="420">
        <v>0.0</v>
      </c>
      <c r="J7" s="420">
        <v>0.0</v>
      </c>
      <c r="K7" s="420">
        <v>0.0</v>
      </c>
      <c r="L7" s="420">
        <v>0.0</v>
      </c>
      <c r="M7" s="420">
        <v>0.0</v>
      </c>
    </row>
    <row r="8" spans="8:8">
      <c r="A8" s="417"/>
      <c r="B8" s="418"/>
      <c r="C8" s="407"/>
      <c r="D8" s="415" t="s">
        <v>335</v>
      </c>
      <c r="E8" s="416"/>
      <c r="G8" s="422"/>
      <c r="H8" s="420">
        <v>0.0</v>
      </c>
      <c r="I8" s="420">
        <v>0.0</v>
      </c>
      <c r="J8" s="420">
        <v>0.0</v>
      </c>
      <c r="K8" s="420">
        <v>0.0</v>
      </c>
      <c r="L8" s="420">
        <v>0.0</v>
      </c>
      <c r="M8" s="420">
        <v>0.0</v>
      </c>
    </row>
    <row r="9" spans="8:8">
      <c r="A9" s="423"/>
      <c r="B9" s="424"/>
      <c r="C9" s="407"/>
      <c r="D9" s="415" t="s">
        <v>336</v>
      </c>
      <c r="E9" s="416"/>
      <c r="G9" s="422"/>
      <c r="H9" s="420">
        <v>0.0</v>
      </c>
      <c r="I9" s="420">
        <v>0.0</v>
      </c>
      <c r="J9" s="420">
        <v>0.0</v>
      </c>
      <c r="K9" s="420">
        <v>0.0</v>
      </c>
      <c r="L9" s="420">
        <v>0.0</v>
      </c>
      <c r="M9" s="420">
        <v>0.0</v>
      </c>
    </row>
    <row r="10" spans="8:8">
      <c r="A10" s="425"/>
      <c r="B10" s="426" t="s">
        <v>91</v>
      </c>
      <c r="C10" s="407"/>
      <c r="D10" s="415" t="s">
        <v>337</v>
      </c>
      <c r="E10" s="416"/>
      <c r="G10" s="422"/>
      <c r="H10" s="420">
        <v>0.0</v>
      </c>
      <c r="I10" s="420">
        <v>0.0</v>
      </c>
      <c r="J10" s="420">
        <v>0.0</v>
      </c>
      <c r="K10" s="420">
        <v>0.0</v>
      </c>
      <c r="L10" s="420">
        <v>0.0</v>
      </c>
      <c r="M10" s="420">
        <v>0.0</v>
      </c>
    </row>
    <row r="11" spans="8:8">
      <c r="A11" s="425"/>
      <c r="B11" s="426" t="s">
        <v>91</v>
      </c>
      <c r="C11" s="407"/>
      <c r="D11" s="415" t="s">
        <v>338</v>
      </c>
      <c r="E11" s="416"/>
      <c r="G11" s="422"/>
      <c r="H11" s="420">
        <v>0.0</v>
      </c>
      <c r="I11" s="420">
        <v>0.0</v>
      </c>
      <c r="J11" s="420">
        <v>0.0</v>
      </c>
      <c r="K11" s="420">
        <v>0.0</v>
      </c>
      <c r="L11" s="420">
        <v>0.0</v>
      </c>
      <c r="M11" s="420">
        <v>0.0</v>
      </c>
    </row>
    <row r="12" spans="8:8">
      <c r="A12" s="425"/>
      <c r="B12" s="426" t="s">
        <v>91</v>
      </c>
      <c r="C12" s="407"/>
      <c r="D12" s="415" t="s">
        <v>339</v>
      </c>
      <c r="E12" s="416"/>
      <c r="G12" s="422"/>
      <c r="H12" s="420">
        <v>0.0</v>
      </c>
      <c r="I12" s="420">
        <v>0.0</v>
      </c>
      <c r="J12" s="420">
        <v>0.0</v>
      </c>
      <c r="K12" s="420">
        <v>0.0</v>
      </c>
      <c r="L12" s="420">
        <v>0.0</v>
      </c>
      <c r="M12" s="420">
        <v>0.0</v>
      </c>
    </row>
    <row r="13" spans="8:8">
      <c r="A13" s="425"/>
      <c r="B13" s="426" t="s">
        <v>91</v>
      </c>
      <c r="C13" s="407"/>
      <c r="D13" s="415" t="s">
        <v>340</v>
      </c>
      <c r="E13" s="416"/>
      <c r="G13" s="422"/>
      <c r="H13" s="420">
        <v>0.0</v>
      </c>
      <c r="I13" s="420">
        <v>0.0</v>
      </c>
      <c r="J13" s="420">
        <v>0.0</v>
      </c>
      <c r="K13" s="420">
        <v>0.0</v>
      </c>
      <c r="L13" s="420">
        <v>0.0</v>
      </c>
      <c r="M13" s="420">
        <v>0.0</v>
      </c>
    </row>
    <row r="14" spans="8:8" ht="16.35">
      <c r="A14" s="427"/>
      <c r="B14" s="428" t="s">
        <v>91</v>
      </c>
      <c r="C14" s="407"/>
      <c r="D14" s="429" t="s">
        <v>341</v>
      </c>
      <c r="E14" s="430"/>
      <c r="G14" s="422"/>
      <c r="H14" s="420">
        <v>0.0</v>
      </c>
      <c r="I14" s="420">
        <v>0.0</v>
      </c>
      <c r="J14" s="420">
        <v>0.0</v>
      </c>
      <c r="K14" s="420">
        <v>0.0</v>
      </c>
      <c r="L14" s="420">
        <v>0.0</v>
      </c>
      <c r="M14" s="420">
        <v>0.0</v>
      </c>
    </row>
    <row r="15" spans="8:8">
      <c r="A15" s="407"/>
      <c r="B15" s="407"/>
      <c r="C15" s="407"/>
      <c r="D15" s="429" t="s">
        <v>341</v>
      </c>
      <c r="E15" s="430"/>
      <c r="G15" s="422"/>
      <c r="H15" s="420">
        <v>0.0</v>
      </c>
      <c r="I15" s="420">
        <v>0.0</v>
      </c>
      <c r="J15" s="420">
        <v>0.0</v>
      </c>
      <c r="K15" s="420">
        <v>0.0</v>
      </c>
      <c r="L15" s="420">
        <v>0.0</v>
      </c>
      <c r="M15" s="420">
        <v>0.0</v>
      </c>
    </row>
    <row r="16" spans="8:8" ht="16.35">
      <c r="A16" s="407"/>
      <c r="B16" s="407"/>
      <c r="C16" s="407"/>
      <c r="D16" s="429" t="s">
        <v>341</v>
      </c>
      <c r="E16" s="430"/>
      <c r="G16" s="431"/>
      <c r="H16" s="420">
        <v>0.0</v>
      </c>
      <c r="I16" s="420">
        <v>0.0</v>
      </c>
      <c r="J16" s="420">
        <v>0.0</v>
      </c>
      <c r="K16" s="420">
        <v>0.0</v>
      </c>
      <c r="L16" s="420">
        <v>0.0</v>
      </c>
      <c r="M16" s="420">
        <v>0.0</v>
      </c>
    </row>
    <row r="17" spans="8:8">
      <c r="A17" s="432" t="s">
        <v>342</v>
      </c>
      <c r="B17" s="433" t="s">
        <v>343</v>
      </c>
      <c r="C17" s="433" t="s">
        <v>59</v>
      </c>
      <c r="D17" s="429" t="s">
        <v>341</v>
      </c>
      <c r="E17" s="430"/>
      <c r="G17" s="431"/>
      <c r="H17" s="420">
        <v>0.0</v>
      </c>
      <c r="I17" s="420">
        <v>0.0</v>
      </c>
      <c r="J17" s="420">
        <v>0.0</v>
      </c>
      <c r="K17" s="420">
        <v>0.0</v>
      </c>
      <c r="L17" s="420">
        <v>0.0</v>
      </c>
      <c r="M17" s="420">
        <v>0.0</v>
      </c>
    </row>
    <row r="18" spans="8:8">
      <c r="A18" s="423" t="s">
        <v>91</v>
      </c>
      <c r="B18" s="434" t="s">
        <v>344</v>
      </c>
      <c r="C18" s="407" t="s">
        <v>91</v>
      </c>
      <c r="D18" s="429" t="s">
        <v>341</v>
      </c>
      <c r="E18" s="430"/>
      <c r="G18" s="431"/>
      <c r="H18" s="420">
        <v>0.0</v>
      </c>
      <c r="I18" s="420">
        <v>0.0</v>
      </c>
      <c r="J18" s="420">
        <v>0.0</v>
      </c>
      <c r="K18" s="420">
        <v>0.0</v>
      </c>
      <c r="L18" s="420">
        <v>0.0</v>
      </c>
      <c r="M18" s="420">
        <v>0.0</v>
      </c>
    </row>
    <row r="19" spans="8:8" ht="16.35">
      <c r="A19" s="435">
        <v>1.0</v>
      </c>
      <c r="B19" s="436" t="s">
        <v>142</v>
      </c>
      <c r="C19" s="434" t="s">
        <v>167</v>
      </c>
      <c r="D19" s="429" t="s">
        <v>341</v>
      </c>
      <c r="E19" s="430"/>
      <c r="G19" s="437"/>
      <c r="H19" s="438">
        <v>0.0</v>
      </c>
      <c r="I19" s="438">
        <v>0.0</v>
      </c>
      <c r="J19" s="438">
        <v>0.0</v>
      </c>
      <c r="K19" s="438">
        <v>0.0</v>
      </c>
      <c r="L19" s="438">
        <v>0.0</v>
      </c>
      <c r="M19" s="438">
        <v>0.0</v>
      </c>
    </row>
    <row r="20" spans="8:8">
      <c r="A20" s="435">
        <v>2.0</v>
      </c>
      <c r="B20" s="436" t="s">
        <v>135</v>
      </c>
      <c r="C20" s="434" t="s">
        <v>169</v>
      </c>
      <c r="D20" s="429" t="s">
        <v>341</v>
      </c>
      <c r="E20" s="430"/>
    </row>
    <row r="21" spans="8:8">
      <c r="A21" s="435">
        <v>3.0</v>
      </c>
      <c r="B21" s="436" t="s">
        <v>345</v>
      </c>
      <c r="C21" s="434" t="s">
        <v>172</v>
      </c>
      <c r="D21" s="429" t="s">
        <v>341</v>
      </c>
      <c r="E21" s="430"/>
    </row>
    <row r="22" spans="8:8">
      <c r="A22" s="435">
        <v>4.0</v>
      </c>
      <c r="B22" s="436" t="s">
        <v>346</v>
      </c>
      <c r="C22" s="434" t="s">
        <v>172</v>
      </c>
      <c r="D22" s="429" t="s">
        <v>341</v>
      </c>
      <c r="E22" s="430"/>
      <c r="G22" t="s">
        <v>347</v>
      </c>
    </row>
    <row r="23" spans="8:8">
      <c r="A23" s="435">
        <v>5.0</v>
      </c>
      <c r="B23" s="434" t="s">
        <v>348</v>
      </c>
      <c r="C23" s="434" t="s">
        <v>167</v>
      </c>
      <c r="D23" s="429" t="s">
        <v>341</v>
      </c>
      <c r="E23" s="430"/>
      <c r="G23" t="s">
        <v>174</v>
      </c>
      <c r="H23">
        <v>10.0</v>
      </c>
    </row>
    <row r="24" spans="8:8">
      <c r="A24" s="435">
        <v>6.0</v>
      </c>
      <c r="B24" s="434" t="s">
        <v>349</v>
      </c>
      <c r="C24" s="434" t="s">
        <v>169</v>
      </c>
      <c r="D24" s="429" t="s">
        <v>341</v>
      </c>
      <c r="E24" s="430"/>
      <c r="G24" t="s">
        <v>190</v>
      </c>
      <c r="H24">
        <v>9.0</v>
      </c>
    </row>
    <row r="25" spans="8:8" ht="14.25" customHeight="1">
      <c r="A25" s="435">
        <v>7.0</v>
      </c>
      <c r="B25" s="434" t="s">
        <v>350</v>
      </c>
      <c r="C25" s="434" t="s">
        <v>172</v>
      </c>
      <c r="D25" s="429" t="s">
        <v>341</v>
      </c>
      <c r="E25" s="430"/>
      <c r="F25" s="7"/>
      <c r="G25" t="s">
        <v>185</v>
      </c>
      <c r="H25">
        <v>7.0</v>
      </c>
    </row>
    <row r="26" spans="8:8" ht="15.0" customHeight="1">
      <c r="A26" s="439">
        <v>8.0</v>
      </c>
      <c r="B26" s="440" t="s">
        <v>351</v>
      </c>
      <c r="C26" s="440" t="s">
        <v>172</v>
      </c>
      <c r="D26" s="429" t="s">
        <v>341</v>
      </c>
      <c r="E26" s="430"/>
      <c r="F26" s="7"/>
      <c r="G26" t="s">
        <v>172</v>
      </c>
      <c r="H26">
        <v>5.0</v>
      </c>
    </row>
    <row r="27" spans="8:8" ht="14.25" customHeight="1">
      <c r="A27" s="407"/>
      <c r="B27" s="407"/>
      <c r="C27" s="407"/>
      <c r="D27" s="441" t="s">
        <v>341</v>
      </c>
      <c r="E27" s="442"/>
      <c r="F27" s="443"/>
      <c r="G27" t="s">
        <v>189</v>
      </c>
      <c r="H27">
        <v>8.0</v>
      </c>
    </row>
    <row r="28" spans="8:8" ht="15.0" customHeight="1">
      <c r="A28" s="407"/>
      <c r="B28" s="407"/>
      <c r="C28" s="407"/>
      <c r="D28" s="441" t="s">
        <v>341</v>
      </c>
      <c r="E28" s="442"/>
      <c r="G28" t="s">
        <v>184</v>
      </c>
      <c r="H28">
        <v>6.0</v>
      </c>
    </row>
    <row r="29" spans="8:8" ht="14.25" customHeight="1">
      <c r="A29" s="407"/>
      <c r="B29" s="407"/>
      <c r="C29" s="407"/>
      <c r="D29" s="441" t="s">
        <v>341</v>
      </c>
      <c r="E29" s="442"/>
      <c r="G29" t="s">
        <v>169</v>
      </c>
      <c r="H29">
        <v>4.0</v>
      </c>
    </row>
    <row r="30" spans="8:8">
      <c r="A30" s="407"/>
      <c r="B30" s="407"/>
      <c r="C30" s="407"/>
      <c r="D30" s="441" t="s">
        <v>341</v>
      </c>
      <c r="E30" s="442"/>
      <c r="G30" t="s">
        <v>188</v>
      </c>
      <c r="H30">
        <v>7.0</v>
      </c>
    </row>
    <row r="31" spans="8:8">
      <c r="A31" s="407"/>
      <c r="B31" s="407"/>
      <c r="C31" s="407"/>
      <c r="D31" s="441" t="s">
        <v>341</v>
      </c>
      <c r="E31" s="442"/>
      <c r="G31" t="s">
        <v>183</v>
      </c>
      <c r="H31">
        <v>5.0</v>
      </c>
    </row>
    <row r="32" spans="8:8">
      <c r="A32" s="407"/>
      <c r="B32" s="407"/>
      <c r="C32" s="407"/>
      <c r="D32" s="441" t="s">
        <v>341</v>
      </c>
      <c r="E32" s="442"/>
      <c r="G32" t="s">
        <v>167</v>
      </c>
      <c r="H32">
        <v>3.0</v>
      </c>
    </row>
    <row r="33" spans="8:8" ht="14.25" customHeight="1">
      <c r="A33" s="407"/>
      <c r="B33" s="407"/>
      <c r="C33" s="407"/>
      <c r="D33" s="441" t="s">
        <v>341</v>
      </c>
      <c r="E33" s="442"/>
      <c r="G33" t="s">
        <v>187</v>
      </c>
      <c r="H33">
        <v>6.0</v>
      </c>
    </row>
    <row r="34" spans="8:8" ht="16.35">
      <c r="A34" s="407"/>
      <c r="B34" s="407"/>
      <c r="C34" s="407"/>
      <c r="D34" s="444" t="s">
        <v>341</v>
      </c>
      <c r="E34" s="445"/>
      <c r="G34" t="s">
        <v>182</v>
      </c>
      <c r="H34">
        <v>4.0</v>
      </c>
    </row>
    <row r="35" spans="8:8">
      <c r="A35" s="407"/>
      <c r="B35" s="407"/>
      <c r="C35" s="407"/>
      <c r="G35" t="s">
        <v>164</v>
      </c>
      <c r="H35">
        <v>2.0</v>
      </c>
    </row>
    <row r="36" spans="8:8">
      <c r="A36" s="407"/>
      <c r="B36" s="407"/>
      <c r="C36" s="407"/>
      <c r="G36" t="s">
        <v>186</v>
      </c>
      <c r="H36">
        <v>5.0</v>
      </c>
    </row>
    <row r="37" spans="8:8" ht="14.25" customHeight="1">
      <c r="A37" s="407"/>
      <c r="B37" s="407"/>
      <c r="C37" s="407"/>
      <c r="G37" t="s">
        <v>181</v>
      </c>
      <c r="H37">
        <v>3.0</v>
      </c>
    </row>
    <row r="38" spans="8:8">
      <c r="A38" s="407"/>
      <c r="B38" s="407"/>
      <c r="C38" s="407"/>
      <c r="G38" t="s">
        <v>162</v>
      </c>
      <c r="H38">
        <v>1.0</v>
      </c>
    </row>
    <row r="39" spans="8:8">
      <c r="A39" s="407"/>
      <c r="B39" s="407"/>
      <c r="C39" s="407"/>
    </row>
    <row r="40" spans="8:8">
      <c r="A40" s="407"/>
      <c r="B40" s="407"/>
      <c r="C40" s="407"/>
    </row>
    <row r="41" spans="8:8" ht="14.25" customHeight="1">
      <c r="A41" s="407"/>
      <c r="B41" s="407"/>
      <c r="C41" s="407"/>
    </row>
    <row r="42" spans="8:8">
      <c r="A42" s="407"/>
      <c r="B42" s="407"/>
      <c r="C42" s="407"/>
    </row>
    <row r="43" spans="8:8">
      <c r="A43" s="407"/>
      <c r="B43" s="407"/>
      <c r="C43" s="407"/>
    </row>
    <row r="44" spans="8:8">
      <c r="A44" s="407"/>
      <c r="B44" s="407"/>
      <c r="C44" s="407"/>
    </row>
    <row r="45" spans="8:8" ht="14.25" customHeight="1">
      <c r="A45" s="407"/>
      <c r="B45" s="407"/>
      <c r="C45" s="407"/>
    </row>
    <row r="46" spans="8:8">
      <c r="A46" s="407"/>
      <c r="B46" s="407"/>
      <c r="C46" s="407"/>
    </row>
    <row r="47" spans="8:8">
      <c r="A47" s="407"/>
      <c r="B47" s="407"/>
      <c r="C47" s="407"/>
    </row>
    <row r="48" spans="8:8">
      <c r="A48" s="407"/>
      <c r="B48" s="407"/>
      <c r="C48" s="407"/>
    </row>
    <row r="49" spans="8:8">
      <c r="A49" s="407"/>
      <c r="B49" s="407"/>
      <c r="C49" s="407"/>
    </row>
    <row r="50" spans="8:8">
      <c r="A50" s="407"/>
      <c r="B50" s="407"/>
      <c r="C50" s="407"/>
    </row>
    <row r="51" spans="8:8">
      <c r="A51" s="407"/>
      <c r="B51" s="407"/>
      <c r="C51" s="407"/>
    </row>
    <row r="52" spans="8:8" ht="15.0" customHeight="1">
      <c r="A52" s="407"/>
      <c r="B52" s="407"/>
      <c r="C52" s="407"/>
    </row>
    <row r="53" spans="8:8">
      <c r="A53" s="407"/>
      <c r="B53" s="407"/>
      <c r="C53" s="407"/>
    </row>
    <row r="54" spans="8:8">
      <c r="A54" s="407"/>
      <c r="B54" s="407"/>
      <c r="C54" s="407"/>
    </row>
    <row r="55" spans="8:8">
      <c r="A55" s="407"/>
      <c r="B55" s="407"/>
      <c r="C55" s="407"/>
    </row>
    <row r="56" spans="8:8">
      <c r="A56" s="407"/>
      <c r="B56" s="407"/>
      <c r="C56" s="407"/>
    </row>
    <row r="57" spans="8:8">
      <c r="A57" s="407"/>
      <c r="B57" s="407"/>
      <c r="C57" s="407"/>
    </row>
    <row r="58" spans="8:8">
      <c r="A58" s="407"/>
      <c r="B58" s="407"/>
      <c r="C58" s="407"/>
    </row>
    <row r="59" spans="8:8">
      <c r="A59" s="407"/>
      <c r="B59" s="407"/>
      <c r="C59" s="407"/>
    </row>
    <row r="60" spans="8:8">
      <c r="A60" s="407"/>
      <c r="B60" s="407"/>
      <c r="C60" s="407"/>
    </row>
    <row r="61" spans="8:8">
      <c r="A61" s="407"/>
      <c r="B61" s="407"/>
      <c r="C61" s="407"/>
    </row>
    <row r="62" spans="8:8">
      <c r="A62" s="407"/>
      <c r="B62" s="407"/>
      <c r="C62" s="407"/>
    </row>
    <row r="63" spans="8:8">
      <c r="A63" s="407"/>
      <c r="B63" s="407"/>
      <c r="C63" s="407"/>
    </row>
    <row r="64" spans="8:8">
      <c r="A64" s="407"/>
      <c r="B64" s="407"/>
      <c r="C64" s="407"/>
    </row>
    <row r="65" spans="8:8">
      <c r="A65" s="407"/>
      <c r="B65" s="407"/>
      <c r="C65" s="407"/>
    </row>
    <row r="66" spans="8:8">
      <c r="A66" s="407"/>
      <c r="B66" s="407"/>
      <c r="C66" s="407"/>
    </row>
    <row r="69" spans="8:8">
      <c r="B69" s="7"/>
      <c r="C69" s="7"/>
    </row>
    <row r="70" spans="8:8">
      <c r="A70" s="443"/>
      <c r="B70" s="443"/>
      <c r="C70" s="443"/>
    </row>
    <row r="71" spans="8:8">
      <c r="B71" s="443"/>
      <c r="C71" s="443"/>
    </row>
    <row r="72" spans="8:8">
      <c r="B72" s="443"/>
      <c r="C72" s="443"/>
    </row>
    <row r="74" spans="8:8">
      <c r="A74" s="443"/>
      <c r="B74" s="443"/>
      <c r="C74" s="443"/>
    </row>
    <row r="75" spans="8:8">
      <c r="B75" s="443"/>
      <c r="C75" s="443"/>
    </row>
    <row r="76" spans="8:8">
      <c r="B76" s="443"/>
      <c r="C76" s="443"/>
    </row>
    <row r="78" spans="8:8">
      <c r="A78" s="443"/>
      <c r="B78" s="443"/>
      <c r="C78" s="443"/>
    </row>
    <row r="79" spans="8:8">
      <c r="B79" s="443"/>
      <c r="C79" s="443"/>
    </row>
    <row r="80" spans="8:8">
      <c r="B80" s="443"/>
      <c r="C80" s="443"/>
    </row>
    <row r="82" spans="8:8">
      <c r="A82" s="443"/>
      <c r="B82" s="443"/>
      <c r="C82" s="443"/>
    </row>
    <row r="83" spans="8:8">
      <c r="B83" s="443"/>
      <c r="C83" s="443"/>
    </row>
    <row r="84" spans="8:8">
      <c r="B84" s="443"/>
      <c r="C84" s="443"/>
    </row>
  </sheetData>
  <mergeCells count="34">
    <mergeCell ref="D34:E34"/>
    <mergeCell ref="D20:E20"/>
    <mergeCell ref="D1:E1"/>
    <mergeCell ref="D12:E12"/>
    <mergeCell ref="D18:E18"/>
    <mergeCell ref="D33:E33"/>
    <mergeCell ref="D32:E32"/>
    <mergeCell ref="D21:E21"/>
    <mergeCell ref="D23:E23"/>
    <mergeCell ref="D19:E19"/>
    <mergeCell ref="D30:E30"/>
    <mergeCell ref="D17:E17"/>
    <mergeCell ref="D16:E16"/>
    <mergeCell ref="D31:E31"/>
    <mergeCell ref="D22:E22"/>
    <mergeCell ref="D24:E24"/>
    <mergeCell ref="D26:E26"/>
    <mergeCell ref="D28:E28"/>
    <mergeCell ref="D29:E29"/>
    <mergeCell ref="D25:E25"/>
    <mergeCell ref="D27:E27"/>
    <mergeCell ref="D15:E15"/>
    <mergeCell ref="D2:E2"/>
    <mergeCell ref="D3:E3"/>
    <mergeCell ref="D13:E13"/>
    <mergeCell ref="D7:E7"/>
    <mergeCell ref="D14:E14"/>
    <mergeCell ref="D4:E4"/>
    <mergeCell ref="D11:E11"/>
    <mergeCell ref="D5:E5"/>
    <mergeCell ref="D9:E9"/>
    <mergeCell ref="D8:E8"/>
    <mergeCell ref="D10:E10"/>
    <mergeCell ref="D6:E6"/>
  </mergeCells>
  <conditionalFormatting sqref="H6:M19">
    <cfRule type="cellIs" operator="notEqual" priority="2" dxfId="15">
      <formula>0</formula>
    </cfRule>
  </conditionalFormatting>
  <conditionalFormatting sqref="H2:M5">
    <cfRule type="cellIs" operator="notEqual" priority="1" dxfId="16">
      <formula>0</formula>
    </cfRule>
  </conditionalFormatting>
  <pageMargins left="0.75" right="0.75" top="1.0" bottom="1.0" header="0.511805555555556" footer="0.511805555555556"/>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萱萱</cp:lastModifiedBy>
  <dcterms:created xsi:type="dcterms:W3CDTF">2017-08-09T19:16:00Z</dcterms:created>
  <dcterms:modified xsi:type="dcterms:W3CDTF">2025-10-07T04:33:55Z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9A7844EAF62C4F5594C0BB9D8EC14E6C_13</vt:lpwstr>
  </property>
</Properties>
</file>