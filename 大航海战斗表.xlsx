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png" ContentType="image/png"/>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vmlDrawing3.vml" ContentType="application/vnd.openxmlformats-officedocument.vmlDrawing"/>
  <Override PartName="/xl/comments3.xml" ContentType="application/vnd.openxmlformats-officedocument.spreadsheetml.comments+xml"/>
  <Override PartName="/xl/worksheets/sheet4.xml" ContentType="application/vnd.openxmlformats-officedocument.spreadsheetml.worksheet+xml"/>
  <Override PartName="/xl/drawings/drawing4.xml" ContentType="application/vnd.openxmlformats-officedocument.drawing+xml"/>
  <Override PartName="/xl/drawings/vmlDrawing4.vml" ContentType="application/vnd.openxmlformats-officedocument.vmlDrawing"/>
  <Override PartName="/xl/comments4.xml" ContentType="application/vnd.openxmlformats-officedocument.spreadsheetml.comments+xml"/>
  <Override PartName="/xl/worksheets/sheet5.xml" ContentType="application/vnd.openxmlformats-officedocument.spreadsheetml.worksheet+xml"/>
  <Override PartName="/xl/drawings/vmlDrawing5.vml" ContentType="application/vnd.openxmlformats-officedocument.vmlDrawing"/>
  <Override PartName="/xl/comments5.xml" ContentType="application/vnd.openxmlformats-officedocument.spreadsheetml.comments+xml"/>
  <Override PartName="/xl/worksheets/sheet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5" rupBuild="29426"/>
  <workbookPr defaultThemeVersion="153222"/>
  <bookViews>
    <workbookView xWindow="1630" yWindow="1340" windowWidth="22570" windowHeight="13450" firstSheet="2" activeTab="3"/>
  </bookViews>
  <sheets>
    <sheet name="前言" sheetId="1" r:id="rId2"/>
    <sheet name="說明" sheetId="2" r:id="rId3"/>
    <sheet name="战斗计算（新）" sheetId="3" r:id="rId4"/>
    <sheet name="双方战斗表（新）" sheetId="4" r:id="rId5"/>
    <sheet name="三方混戰五人版" sheetId="5" r:id="rId6" state="hidden"/>
    <sheet name="测试" sheetId="6" r:id="rId7" state="hidden"/>
  </sheets>
  <externalReferences>
    <externalReference r:id="rId1"/>
  </externalReferences>
  <definedNames>
    <definedName name="_xlnm._FilterDatabase" localSheetId="4" hidden="1">#REF!</definedName>
    <definedName name="保有技能">'[1]技能或寶具'!$C$51:$C$250</definedName>
    <definedName name="寶具">'[1]技能或寶具'!$C$351:$C$1002</definedName>
    <definedName name="參戰者" localSheetId="5">#REF!</definedName>
    <definedName name="參戰者" localSheetId="4">'战斗计算（新）'!$C$5:$C$68</definedName>
    <definedName name="參戰者">#REF!</definedName>
    <definedName name="技能類型">'[1]技能或寶具'!$B$2:$B$1002</definedName>
    <definedName name="無">'[1]技能或寶具'!$C$2</definedName>
    <definedName name="職階技能">'[1]技能或寶具'!$C$3:$C$50</definedName>
    <definedName name="自創技能">'[1]技能或寶具'!$C$251:$C$350</definedName>
  </definedNames>
  <calcPr calcId="191029"/>
</workbook>
</file>

<file path=xl/comments3.xml><?xml version="1.0" encoding="utf-8"?>
<comments xmlns="http://schemas.openxmlformats.org/spreadsheetml/2006/main">
  <authors>
    <author>T</author>
  </authors>
  <commentList>
    <comment ref="C6" authorId="0">
      <text>
        <r>
          <rPr>
            <sz val="9"/>
            <rFont val="宋体"/>
            <family val="3"/>
            <charset val="134"/>
          </rPr>
          <t xml:space="preserve">T:
木桩人用于挨打</t>
        </r>
      </text>
    </comment>
  </commentList>
</comments>
</file>

<file path=xl/comments4.xml><?xml version="1.0" encoding="utf-8"?>
<comments xmlns="http://schemas.openxmlformats.org/spreadsheetml/2006/main">
  <authors>
    <author>T</author>
    <author>admin</author>
  </authors>
  <commentList>
    <comment ref="T14" authorId="0">
      <text>
        <r>
          <rPr>
            <sz val="9"/>
            <rFont val="宋体"/>
            <family val="3"/>
            <charset val="134"/>
          </rPr>
          <t xml:space="preserve">T:
算上所有消耗后，当前剩余的魔力</t>
        </r>
      </text>
    </comment>
    <comment ref="T15" authorId="0">
      <text>
        <r>
          <rPr>
            <sz val="9"/>
            <rFont val="宋体"/>
            <family val="3"/>
            <charset val="134"/>
          </rPr>
          <t xml:space="preserve">T:
负魔力情况下，应该扣除多少属性</t>
        </r>
      </text>
    </comment>
    <comment ref="T16" authorId="0">
      <text>
        <r>
          <rPr>
            <sz val="9"/>
            <rFont val="宋体"/>
            <family val="3"/>
            <charset val="134"/>
          </rPr>
          <t xml:space="preserve">T:
负魔力且有单独行动的情况下，应该扣除多少属性</t>
        </r>
      </text>
    </comment>
    <comment ref="T17" authorId="0">
      <text>
        <r>
          <rPr>
            <sz val="9"/>
            <rFont val="宋体"/>
            <family val="3"/>
            <charset val="134"/>
          </rPr>
          <t xml:space="preserve">T:
输入单个角色的保底，自动计算保有胜率</t>
        </r>
      </text>
    </comment>
    <comment ref="O18" authorId="1">
      <text>
        <r>
          <rPr>
            <sz val="9"/>
            <rFont val="宋体"/>
            <family val="3"/>
            <charset val="134"/>
          </rPr>
          <t xml:space="preserve">admin:
单独行动 A B C D 类别:一般 发动时机:平时
在使用所类型情报侦察时成功率会获得[15%]并且魔力下限改为[-150]，且就算失去了御
主，不会在4/3/2/1天内消耗现界魔力，但魔力不足达到[-150]时，还是会消灭。
而且在供给不足带来的惩罚会变成[每魔力不足[-20]，将会受到全能力[-5]的惩罚。</t>
        </r>
      </text>
    </comment>
    <comment ref="O20" authorId="1">
      <text>
        <r>
          <rPr>
            <sz val="9"/>
            <rFont val="宋体"/>
            <family val="3"/>
            <charset val="134"/>
          </rPr>
          <t xml:space="preserve">admin:
单独行动 A B C D 类别:一般 发动时机:平时
在使用所类型情报侦察时成功率会获得[15%]并且魔力下限改为[-150]，且就算失去了御
主，不会在4/3/2/1天内消耗现界魔力，但魔力不足达到[-150]时，还是会消灭。
而且在供给不足带来的惩罚会变成[每魔力不足[-20]，将会受到全能力[-5]的惩罚。</t>
        </r>
      </text>
    </comment>
    <comment ref="O22" authorId="1">
      <text>
        <r>
          <rPr>
            <sz val="9"/>
            <rFont val="宋体"/>
            <family val="3"/>
            <charset val="134"/>
          </rPr>
          <t xml:space="preserve">admin:
单独行动 A B C D 类别:一般 发动时机:平时
在使用所类型情报侦察时成功率会获得[15%]并且魔力下限改为[-150]，且就算失去了御
主，不会在4/3/2/1天内消耗现界魔力，但魔力不足达到[-150]时，还是会消灭。
而且在供给不足带来的惩罚会变成[每魔力不足[-20]，将会受到全能力[-5]的惩罚。</t>
        </r>
      </text>
    </comment>
    <comment ref="T22" authorId="0">
      <text>
        <r>
          <rPr>
            <sz val="9"/>
            <rFont val="宋体"/>
            <family val="3"/>
            <charset val="134"/>
          </rPr>
          <t xml:space="preserve">T:
用来帮助处理，某某人，在某某工序，做了某某事</t>
        </r>
      </text>
    </comment>
    <comment ref="T23" authorId="0">
      <text>
        <r>
          <rPr>
            <sz val="9"/>
            <rFont val="宋体"/>
            <family val="3"/>
            <charset val="134"/>
          </rPr>
          <t xml:space="preserve">T:
直接输入xx放了什么技能，指定哪方什么属性即可</t>
        </r>
      </text>
    </comment>
    <comment ref="AB23" authorId="0">
      <text>
        <r>
          <rPr>
            <sz val="9"/>
            <rFont val="宋体"/>
            <family val="3"/>
            <charset val="134"/>
          </rPr>
          <t xml:space="preserve">T:
绿色方代表不在战斗位上的一方</t>
        </r>
      </text>
    </comment>
    <comment ref="O24" authorId="1">
      <text>
        <r>
          <rPr>
            <sz val="9"/>
            <rFont val="宋体"/>
            <family val="3"/>
            <charset val="134"/>
          </rPr>
          <t xml:space="preserve">admin:
单独行动 A B C D 类别:一般 发动时机:平时
在使用所类型情报侦察时成功率会获得[15%]并且魔力下限改为[-150]，且就算失去了御
主，不会在4/3/2/1天内消耗现界魔力，但魔力不足达到[-150]时，还是会消灭。
而且在供给不足带来的惩罚会变成[每魔力不足[-20]，将会受到全能力[-5]的惩罚。</t>
        </r>
      </text>
    </comment>
    <comment ref="B27" authorId="0">
      <text>
        <r>
          <rPr>
            <sz val="9"/>
            <rFont val="宋体"/>
            <family val="3"/>
            <charset val="134"/>
          </rPr>
          <t xml:space="preserve">T:
胜率惩罚填的是别人惩罚你的值</t>
        </r>
      </text>
    </comment>
    <comment ref="H44" authorId="0">
      <text>
        <r>
          <rPr>
            <sz val="9"/>
            <rFont val="宋体"/>
            <family val="3"/>
            <charset val="134"/>
          </rPr>
          <t xml:space="preserve">T:
这里的等级显示的是主力等级，而非等级总和</t>
        </r>
      </text>
    </comment>
    <comment ref="B52" authorId="0">
      <text>
        <r>
          <rPr>
            <sz val="9"/>
            <rFont val="宋体"/>
            <family val="3"/>
            <charset val="134"/>
          </rPr>
          <t xml:space="preserve">T:
胜率惩罚填的是别人惩罚你的值</t>
        </r>
      </text>
    </comment>
    <comment ref="G57" authorId="0">
      <text>
        <r>
          <rPr>
            <sz val="9"/>
            <rFont val="宋体"/>
            <family val="3"/>
            <charset val="134"/>
          </rPr>
          <t xml:space="preserve">T:
令咒效果会直接加在属性数值上，不需要再填了</t>
        </r>
      </text>
    </comment>
    <comment ref="H57" authorId="0">
      <text>
        <r>
          <rPr>
            <sz val="9"/>
            <rFont val="宋体"/>
            <family val="3"/>
            <charset val="134"/>
          </rPr>
          <t xml:space="preserve">T:
请在这个部分填入正值</t>
        </r>
      </text>
    </comment>
    <comment ref="I57" authorId="0">
      <text>
        <r>
          <rPr>
            <sz val="9"/>
            <rFont val="宋体"/>
            <family val="3"/>
            <charset val="134"/>
          </rPr>
          <t xml:space="preserve">T:
请在这个部分填入负值</t>
        </r>
      </text>
    </comment>
    <comment ref="G58" authorId="0">
      <text>
        <r>
          <rPr>
            <sz val="9"/>
            <rFont val="宋体"/>
            <family val="3"/>
            <charset val="134"/>
          </rPr>
          <t xml:space="preserve">T:
在这个颜色的框内，填入用于属性补正的令咒个数</t>
        </r>
      </text>
    </comment>
    <comment ref="B59" authorId="0">
      <text>
        <r>
          <rPr>
            <sz val="9"/>
            <rFont val="宋体"/>
            <family val="3"/>
            <charset val="134"/>
          </rPr>
          <t xml:space="preserve">T:
在此处可以隐藏某个角色的某个属性，但不能隐藏补正</t>
        </r>
      </text>
    </comment>
    <comment ref="G59" authorId="0">
      <text>
        <r>
          <rPr>
            <sz val="9"/>
            <rFont val="宋体"/>
            <family val="3"/>
            <charset val="134"/>
          </rPr>
          <t xml:space="preserve">T:
在这个框内，请填写宝外属性补正</t>
        </r>
      </text>
    </comment>
    <comment ref="G60" authorId="0">
      <text>
        <r>
          <rPr>
            <sz val="9"/>
            <rFont val="宋体"/>
            <family val="3"/>
            <charset val="134"/>
          </rPr>
          <t xml:space="preserve">T:
在这个框内，请填入全属性补正</t>
        </r>
      </text>
    </comment>
    <comment ref="D73" authorId="0">
      <text>
        <r>
          <rPr>
            <sz val="9"/>
            <rFont val="宋体"/>
            <family val="3"/>
            <charset val="134"/>
          </rPr>
          <t xml:space="preserve">T:
在此处可以隐藏“某个属性”本身</t>
        </r>
      </text>
    </comment>
    <comment ref="H73" authorId="0">
      <text>
        <r>
          <rPr>
            <sz val="9"/>
            <rFont val="宋体"/>
            <family val="3"/>
            <charset val="134"/>
          </rPr>
          <t xml:space="preserve">T:
请在这个部分填入正值</t>
        </r>
      </text>
    </comment>
    <comment ref="I73" authorId="0">
      <text>
        <r>
          <rPr>
            <sz val="9"/>
            <rFont val="宋体"/>
            <family val="3"/>
            <charset val="134"/>
          </rPr>
          <t xml:space="preserve">T:
请在这个部分填入负值</t>
        </r>
      </text>
    </comment>
    <comment ref="K89" authorId="0">
      <text>
        <r>
          <rPr>
            <sz val="9"/>
            <rFont val="宋体"/>
            <family val="3"/>
            <charset val="134"/>
          </rPr>
          <t xml:space="preserve">T:
自动处理优劣判定</t>
        </r>
      </text>
    </comment>
    <comment ref="D91" authorId="0">
      <text>
        <r>
          <rPr>
            <sz val="9"/>
            <rFont val="宋体"/>
            <family val="3"/>
            <charset val="134"/>
          </rPr>
          <t xml:space="preserve">T:
用于自动判定属性优劣，别删</t>
        </r>
      </text>
    </comment>
    <comment ref="E96" authorId="0">
      <text>
        <r>
          <rPr>
            <sz val="9"/>
            <rFont val="宋体"/>
            <family val="3"/>
            <charset val="134"/>
          </rPr>
          <t xml:space="preserve">T:
暂时停止使用
原本用于处理共斗惩罚
</t>
        </r>
      </text>
    </comment>
    <comment ref="D97" authorId="1">
      <text>
        <r>
          <rPr>
            <sz val="9"/>
            <rFont val="宋体"/>
            <family val="3"/>
            <charset val="134"/>
          </rPr>
          <t xml:space="preserve">admin:
星之开拓者 EX 类别:一般 发动时机:平时
战斗时，所面对的对手等级若高于自己，则给予自身[等级差值]的胜率补正，并且
将战斗时的[等级逆差]固定为[0%]，并且在面对等级高于自身的敌人时，给予
[+15%]的胜率补正。</t>
        </r>
      </text>
    </comment>
    <comment ref="K97" authorId="1">
      <text>
        <r>
          <rPr>
            <sz val="9"/>
            <rFont val="宋体"/>
            <family val="3"/>
            <charset val="134"/>
          </rPr>
          <t xml:space="preserve">admin:
方便输入一些不会减半的胜率补正
</t>
        </r>
      </text>
    </comment>
    <comment ref="N97" authorId="0">
      <text>
        <r>
          <rPr>
            <sz val="9"/>
            <rFont val="宋体"/>
            <family val="3"/>
            <charset val="134"/>
          </rPr>
          <t xml:space="preserve">T:
提供了自动计算保底的部分，但因为计算并不麻烦，暂时还是手动保底</t>
        </r>
      </text>
    </comment>
  </commentList>
</comments>
</file>

<file path=xl/comments5.xml><?xml version="1.0" encoding="utf-8"?>
<comments xmlns="http://schemas.openxmlformats.org/spreadsheetml/2006/main">
  <authors>
    <author>admin</author>
    <author>T</author>
  </authors>
  <commentList>
    <comment ref="A5" authorId="0">
      <text>
        <r>
          <rPr>
            <sz val="9"/>
            <rFont val="宋体"/>
            <family val="3"/>
            <charset val="134"/>
          </rPr>
          <t xml:space="preserve">admin:
魔力不足扣减属性，最低为0</t>
        </r>
      </text>
    </comment>
    <comment ref="B5" authorId="0">
      <text>
        <r>
          <rPr>
            <sz val="9"/>
            <rFont val="宋体"/>
            <family val="3"/>
            <charset val="134"/>
          </rPr>
          <t xml:space="preserve">admin:
魔力不足扣减属性，最低为0</t>
        </r>
      </text>
    </comment>
    <comment ref="C5" authorId="0">
      <text>
        <r>
          <rPr>
            <sz val="9"/>
            <rFont val="宋体"/>
            <family val="3"/>
            <charset val="134"/>
          </rPr>
          <t xml:space="preserve">admin:
魔力不足扣减属性，最低为0</t>
        </r>
      </text>
    </comment>
    <comment ref="D5" authorId="0">
      <text>
        <r>
          <rPr>
            <sz val="9"/>
            <rFont val="宋体"/>
            <family val="3"/>
            <charset val="134"/>
          </rPr>
          <t xml:space="preserve">admin:
魔力不足扣减属性，最低为0</t>
        </r>
      </text>
    </comment>
    <comment ref="E5" authorId="0">
      <text>
        <r>
          <rPr>
            <sz val="9"/>
            <rFont val="宋体"/>
            <family val="3"/>
            <charset val="134"/>
          </rPr>
          <t xml:space="preserve">admin:
魔力不足扣减属性，最低为0</t>
        </r>
      </text>
    </comment>
    <comment ref="F5" authorId="0">
      <text>
        <r>
          <rPr>
            <sz val="9"/>
            <rFont val="宋体"/>
            <family val="3"/>
            <charset val="134"/>
          </rPr>
          <t xml:space="preserve">admin:
魔力不足扣减属性，最低为0</t>
        </r>
      </text>
    </comment>
    <comment ref="H5" authorId="0">
      <text>
        <r>
          <rPr>
            <sz val="9"/>
            <rFont val="宋体"/>
            <family val="3"/>
            <charset val="134"/>
          </rPr>
          <t xml:space="preserve">admin:
魔力不足扣减属性，最低为0</t>
        </r>
      </text>
    </comment>
    <comment ref="I5" authorId="0">
      <text>
        <r>
          <rPr>
            <sz val="9"/>
            <rFont val="宋体"/>
            <family val="3"/>
            <charset val="134"/>
          </rPr>
          <t xml:space="preserve">admin:
魔力不足扣减属性，最低为0</t>
        </r>
      </text>
    </comment>
    <comment ref="J5" authorId="0">
      <text>
        <r>
          <rPr>
            <sz val="9"/>
            <rFont val="宋体"/>
            <family val="3"/>
            <charset val="134"/>
          </rPr>
          <t xml:space="preserve">admin:
魔力不足扣减属性，最低为0</t>
        </r>
      </text>
    </comment>
    <comment ref="K5" authorId="0">
      <text>
        <r>
          <rPr>
            <sz val="9"/>
            <rFont val="宋体"/>
            <family val="3"/>
            <charset val="134"/>
          </rPr>
          <t xml:space="preserve">admin:
魔力不足扣减属性，最低为0</t>
        </r>
      </text>
    </comment>
    <comment ref="L5" authorId="0">
      <text>
        <r>
          <rPr>
            <sz val="9"/>
            <rFont val="宋体"/>
            <family val="3"/>
            <charset val="134"/>
          </rPr>
          <t xml:space="preserve">admin:
魔力不足扣减属性，最低为0</t>
        </r>
      </text>
    </comment>
    <comment ref="N5" authorId="0">
      <text>
        <r>
          <rPr>
            <sz val="9"/>
            <rFont val="宋体"/>
            <family val="3"/>
            <charset val="134"/>
          </rPr>
          <t xml:space="preserve">admin:
魔力不足扣减属性，最低为0</t>
        </r>
      </text>
    </comment>
    <comment ref="O5" authorId="0">
      <text>
        <r>
          <rPr>
            <sz val="9"/>
            <rFont val="宋体"/>
            <family val="3"/>
            <charset val="134"/>
          </rPr>
          <t xml:space="preserve">admin:
魔力不足扣减属性，最低为0</t>
        </r>
      </text>
    </comment>
    <comment ref="P5" authorId="0">
      <text>
        <r>
          <rPr>
            <sz val="9"/>
            <rFont val="宋体"/>
            <family val="3"/>
            <charset val="134"/>
          </rPr>
          <t xml:space="preserve">admin:
魔力不足扣减属性，最低为0</t>
        </r>
      </text>
    </comment>
    <comment ref="Q5" authorId="0">
      <text>
        <r>
          <rPr>
            <sz val="9"/>
            <rFont val="宋体"/>
            <family val="3"/>
            <charset val="134"/>
          </rPr>
          <t xml:space="preserve">admin:
魔力不足扣减属性，最低为0</t>
        </r>
      </text>
    </comment>
    <comment ref="R5" authorId="0">
      <text>
        <r>
          <rPr>
            <sz val="9"/>
            <rFont val="宋体"/>
            <family val="3"/>
            <charset val="134"/>
          </rPr>
          <t xml:space="preserve">admin:
魔力不足扣减属性，最低为0</t>
        </r>
      </text>
    </comment>
    <comment ref="T5" authorId="0">
      <text>
        <r>
          <rPr>
            <sz val="9"/>
            <rFont val="宋体"/>
            <family val="3"/>
            <charset val="134"/>
          </rPr>
          <t xml:space="preserve">admin:
单独行动 A B C D 类别:一般 发动时机:平时
在使用所类型情报侦察时成功率会获得[15%]并且魔力下限改为[-150]，且就算失去了御
主，不会在4/3/2/1天内消耗现界魔力，但魔力不足达到[-150]时，还是会消灭。
而且在供给不足带来的惩罚会变成[每魔力不足[-20]，将会受到全能力[-5]的惩罚。</t>
        </r>
      </text>
    </comment>
    <comment ref="T7" authorId="0">
      <text>
        <r>
          <rPr>
            <sz val="9"/>
            <rFont val="宋体"/>
            <family val="3"/>
            <charset val="134"/>
          </rPr>
          <t xml:space="preserve">admin:
单独行动 A B C D 类别:一般 发动时机:平时
在使用所类型情报侦察时成功率会获得[15%]并且魔力下限改为[-150]，且就算失去了御
主，不会在4/3/2/1天内消耗现界魔力，但魔力不足达到[-150]时，还是会消灭。
而且在供给不足带来的惩罚会变成[每魔力不足[-20]，将会受到全能力[-5]的惩罚。</t>
        </r>
      </text>
    </comment>
    <comment ref="T9" authorId="0">
      <text>
        <r>
          <rPr>
            <sz val="9"/>
            <rFont val="宋体"/>
            <family val="3"/>
            <charset val="134"/>
          </rPr>
          <t xml:space="preserve">admin:
单独行动 A B C D 类别:一般 发动时机:平时
在使用所类型情报侦察时成功率会获得[15%]并且魔力下限改为[-150]，且就算失去了御
主，不会在4/3/2/1天内消耗现界魔力，但魔力不足达到[-150]时，还是会消灭。
而且在供给不足带来的惩罚会变成[每魔力不足[-20]，将会受到全能力[-5]的惩罚。</t>
        </r>
      </text>
    </comment>
    <comment ref="T11" authorId="0">
      <text>
        <r>
          <rPr>
            <sz val="9"/>
            <rFont val="宋体"/>
            <family val="3"/>
            <charset val="134"/>
          </rPr>
          <t xml:space="preserve">admin:
单独行动 A B C D 类别:一般 发动时机:平时
在使用所类型情报侦察时成功率会获得[15%]并且魔力下限改为[-150]，且就算失去了御
主，不会在4/3/2/1天内消耗现界魔力，但魔力不足达到[-150]时，还是会消灭。
而且在供给不足带来的惩罚会变成[每魔力不足[-20]，将会受到全能力[-5]的惩罚。</t>
        </r>
      </text>
    </comment>
    <comment ref="G46" authorId="1">
      <text>
        <r>
          <rPr>
            <sz val="9"/>
            <rFont val="宋体"/>
            <family val="3"/>
            <charset val="134"/>
          </rPr>
          <t xml:space="preserve">T:
令咒效果会直接加在属性数值上，不需要再填了</t>
        </r>
      </text>
    </comment>
    <comment ref="H46" authorId="1">
      <text>
        <r>
          <rPr>
            <sz val="9"/>
            <rFont val="宋体"/>
            <family val="3"/>
            <charset val="134"/>
          </rPr>
          <t xml:space="preserve">T:
胜率惩罚请在主力位格子里写负数即可</t>
        </r>
      </text>
    </comment>
    <comment ref="B100" authorId="0">
      <text>
        <r>
          <rPr>
            <sz val="9"/>
            <rFont val="宋体"/>
            <family val="3"/>
            <charset val="134"/>
          </rPr>
          <t xml:space="preserve">admin:
星之开拓者 EX 类别:一般 发动时机:平时
战斗时，所面对的对手等级若高于自己，则给予自身[等级差值]的胜率补正，并且
将战斗时的[等级逆差]固定为[0%]，并且在面对等级高于自身的敌人时，给予
[+15%]的胜率补正。</t>
        </r>
      </text>
    </comment>
    <comment ref="G100" authorId="1">
      <text>
        <r>
          <rPr>
            <sz val="9"/>
            <rFont val="宋体"/>
            <family val="3"/>
            <charset val="134"/>
          </rPr>
          <t xml:space="preserve">T:
无需减半的胜补/惩罚请填在这里
</t>
        </r>
      </text>
    </comment>
    <comment ref="H100" authorId="0">
      <text>
        <r>
          <rPr>
            <sz val="9"/>
            <rFont val="宋体"/>
            <family val="3"/>
            <charset val="134"/>
          </rPr>
          <t xml:space="preserve">admin:
方便输入一些不会减半的胜率补正
</t>
        </r>
      </text>
    </comment>
  </commentList>
</comments>
</file>

<file path=xl/sharedStrings.xml><?xml version="1.0" encoding="utf-8"?>
<sst xmlns="http://schemas.openxmlformats.org/spreadsheetml/2006/main" uniqueCount="272" count="272">
  <si>
    <t>如你所见，这是一个建立在旧战斗表基础上的战斗表。</t>
  </si>
  <si>
    <t>更新日志</t>
  </si>
  <si>
    <t>战斗表主体完成</t>
  </si>
  <si>
    <t>追加内容：</t>
  </si>
  <si>
    <t>五人战斗位</t>
  </si>
  <si>
    <t>三方混战</t>
  </si>
  <si>
    <t>战斗中胜率结算展示</t>
  </si>
  <si>
    <t>修复了一定bug</t>
  </si>
  <si>
    <t>调整了版面格式，现在版面更舒服了</t>
  </si>
  <si>
    <t>增设战斗计算内容</t>
  </si>
  <si>
    <t>增设战斗开始时的属性补正表</t>
  </si>
  <si>
    <t>更新记录</t>
  </si>
  <si>
    <t>分开了心算版跟详细版，预计未来主要更新详细版。除非有规则上的大改动。</t>
  </si>
  <si>
    <t>加入了HP规则的数值计算</t>
  </si>
  <si>
    <t>将文字全转成简体</t>
  </si>
  <si>
    <t>为初始工序也增加了计算属性的栏位</t>
  </si>
  <si>
    <t>帮撒退率、暴击率等加上「%」号</t>
  </si>
  <si>
    <t>因应更新的单独行动,魔力不足扣减属性增加-5的选择</t>
  </si>
  <si>
    <t>加入「星之开拓者」的等差处理</t>
  </si>
  <si>
    <t>胜率补正多开一行,预计是用来填写DEBUFF。</t>
  </si>
  <si>
    <t>將不好看的格子修改了</t>
  </si>
  <si>
    <t>加入三方戰鬥的計算</t>
  </si>
  <si>
    <t>屬性將不會因為debuff的因素降至0以下</t>
  </si>
  <si>
    <t>加入對應三方戰鬥的勝率基準值與計算表</t>
  </si>
  <si>
    <t>支援隱藏情報用的技能，為每工序、每角色都加了「隱藏」屬性的選擇</t>
  </si>
  <si>
    <t>試作性的採用了一套保有勝率分配。但已廢棄</t>
  </si>
  <si>
    <t>三方混戰，採用比例分配的方試分配保有勝率</t>
  </si>
  <si>
    <t>混戰的基準值原來可以自動..那麼自動了</t>
  </si>
  <si>
    <t>隱藏情報的規則調了一下，任一項隱藏後會連總值也藏</t>
  </si>
  <si>
    <t>保底的計算出包，改了新的</t>
  </si>
  <si>
    <t>耐力部份的魔力不足，原來出了很多年包…已搶救</t>
  </si>
  <si>
    <t>在頂部加了一片能拉申，能填文字的空白。有什麼怕忘記的可以用那裡當筆記。</t>
  </si>
  <si>
    <t>开团前要准备的事</t>
  </si>
  <si>
    <t>在右则的角色属性处，将参与圣杯角色的属性、名字填上</t>
  </si>
  <si>
    <t>视情况，可以将一些常驻补正、必开的属性补正也预先填在右方，让开团后的计算减少</t>
  </si>
  <si>
    <t>将自己用不到的功能，用左方的+号摺起，营造最适合自己的环境(需要先解除工作表保护)</t>
  </si>
  <si>
    <t>20/6/30:499已经完成的部分：神性类；透化初战类；魔放类；常驻加成类等
（总之，写在传统技能表内的技能，应该都可以运作了</t>
  </si>
  <si>
    <t>6/31：修正了复合效果的几个BUG；追加了军略与阵地的计算</t>
  </si>
  <si>
    <t>7/1：除了有特殊标记的，所有表内技能都可使用；也可根据表追加新的数据；如果有BUG，联系499（1176720684）</t>
  </si>
  <si>
    <t>填写角色的须知：在角色表的类型位置填写；从者需填写[从者]和职阶；御主需要填写[御主]；协力者也填[御主]；非玩家单位填[人偶]；
合体人请填写合体目标的名字，本计算表采用唯一姓名索引，所以不要写重复名字。
如果有合体单位的，请填入人物表，并注明[人偶]（一般都是人偶，你要合体从者也可以，但是不会有从者的技能)
如果你要合体还有技能的，请直接写成新单位，注明[合体]</t>
  </si>
  <si>
    <t>7/6：又修复了好多bug。现在[透化][无冠的武艺]会正常计入初始工序了；无辜的怪物没有计入初始工序，而是计入主要工序（反正也看不到）
7/8:现在可以正常将宝具纳入计算了
7/23:修复了技能数值追加工序错误的问题；
【尚待修复的问题：神性/情报抹消/龙种等拓展性；宝具数值追加工序错误的问题；自我暗示类技能】
一键清空追加中……</t>
  </si>
  <si>
    <t>照着例子填就行</t>
  </si>
  <si>
    <t>特注：保菌请把宝具填在礼装栏里</t>
  </si>
  <si>
    <t>一些图例</t>
  </si>
  <si>
    <t>本计算表是为圣杯战争跑团准备的战斗计算表。 对该规则有兴趣,或想进行相关讨论可以加群424815329</t>
  </si>
  <si>
    <t>该圣杯战争跑团规则大部分采用了日本现在较流行的男爵圣杯规则作为基底，进行魔改的TRPG规则，在游戏上简约了战斗部分，以实际扮演为主体的游戏方式。</t>
  </si>
  <si>
    <t>另外若计算表发现错误联系我急救...2592616838</t>
  </si>
  <si>
    <t>等级</t>
  </si>
  <si>
    <t>筋力</t>
  </si>
  <si>
    <t>耐力</t>
  </si>
  <si>
    <t>敏捷</t>
  </si>
  <si>
    <t>魔力</t>
  </si>
  <si>
    <t>幸运</t>
  </si>
  <si>
    <t>宝具</t>
  </si>
  <si>
    <t>等级补正</t>
  </si>
  <si>
    <t>筋力补正</t>
  </si>
  <si>
    <t>耐力补正</t>
  </si>
  <si>
    <t>敏捷补正</t>
  </si>
  <si>
    <t>魔力补正</t>
  </si>
  <si>
    <t>幸运补正</t>
  </si>
  <si>
    <t>宝具补正</t>
  </si>
  <si>
    <t>基础等级</t>
  </si>
  <si>
    <t>基础筋力</t>
  </si>
  <si>
    <t>基础耐力</t>
  </si>
  <si>
    <t>基础敏捷</t>
  </si>
  <si>
    <t>基础魔力</t>
  </si>
  <si>
    <t>基础幸运</t>
  </si>
  <si>
    <t>基础宝具</t>
  </si>
  <si>
    <t>常驻等级</t>
  </si>
  <si>
    <t>常驻筋力</t>
  </si>
  <si>
    <t>常驻耐力</t>
  </si>
  <si>
    <t>常驻敏捷</t>
  </si>
  <si>
    <t>常驻魔力</t>
  </si>
  <si>
    <t>常驻幸运</t>
  </si>
  <si>
    <t>常驻宝具</t>
  </si>
  <si>
    <t>初始等级</t>
  </si>
  <si>
    <t>初始筋力</t>
  </si>
  <si>
    <t>初始耐力</t>
  </si>
  <si>
    <t>初始敏捷</t>
  </si>
  <si>
    <t>初始魔力</t>
  </si>
  <si>
    <t>初始幸运</t>
  </si>
  <si>
    <t>初始宝具</t>
  </si>
  <si>
    <t>编号</t>
  </si>
  <si>
    <t>角色名</t>
  </si>
  <si>
    <t>无</t>
  </si>
  <si>
    <t>战斗开始时</t>
  </si>
  <si>
    <t>决定参战人选</t>
  </si>
  <si>
    <t>↓本部分用于帮助GM计算魔力消耗</t>
  </si>
  <si>
    <t>组别</t>
  </si>
  <si>
    <t>宝外补惩</t>
  </si>
  <si>
    <t>全属补惩</t>
  </si>
  <si>
    <t>上三补惩</t>
  </si>
  <si>
    <t>当前魔力</t>
  </si>
  <si>
    <t>主力位</t>
  </si>
  <si>
    <t>辅助位</t>
  </si>
  <si>
    <t>礼装补充</t>
  </si>
  <si>
    <t>令咒补充</t>
  </si>
  <si>
    <t>消耗1</t>
  </si>
  <si>
    <t>消耗2</t>
  </si>
  <si>
    <t>消耗3</t>
  </si>
  <si>
    <t>消耗4</t>
  </si>
  <si>
    <t>消耗5</t>
  </si>
  <si>
    <t>最终魔力</t>
  </si>
  <si>
    <t>属性扣除</t>
  </si>
  <si>
    <t>总值</t>
  </si>
  <si>
    <t>魔力不足</t>
  </si>
  <si>
    <t>单独扣除</t>
  </si>
  <si>
    <t>高于-20</t>
  </si>
  <si>
    <t>角色保底</t>
  </si>
  <si>
    <t>/</t>
  </si>
  <si>
    <t>单独行动-20</t>
  </si>
  <si>
    <t>角色保穿</t>
  </si>
  <si>
    <t>低于-20</t>
  </si>
  <si>
    <t>最终</t>
  </si>
  <si>
    <t>单独行动-60</t>
  </si>
  <si>
    <t>低于-40</t>
  </si>
  <si>
    <t>单独行动-100</t>
  </si>
  <si>
    <t>技能、宝具提醒器</t>
  </si>
  <si>
    <t>低于-60</t>
  </si>
  <si>
    <t>蓝色方</t>
  </si>
  <si>
    <t>黄色方</t>
  </si>
  <si>
    <t>绿色方</t>
  </si>
  <si>
    <t>单独行动-140</t>
  </si>
  <si>
    <t>低于-80</t>
  </si>
  <si>
    <t>战前胜补</t>
  </si>
  <si>
    <t>战前胜惩</t>
  </si>
  <si>
    <t>单位</t>
  </si>
  <si>
    <t>胜率补正</t>
  </si>
  <si>
    <t>胜率惩罚</t>
  </si>
  <si>
    <t>属性结算</t>
  </si>
  <si>
    <t>对应胜率</t>
  </si>
  <si>
    <t>组别A</t>
  </si>
  <si>
    <t>属性补正</t>
  </si>
  <si>
    <t>3优</t>
  </si>
  <si>
    <t>2优1平</t>
  </si>
  <si>
    <t>补正一</t>
  </si>
  <si>
    <t>2优1劣</t>
  </si>
  <si>
    <t>补正二</t>
  </si>
  <si>
    <t>1优2平</t>
  </si>
  <si>
    <t>3平</t>
  </si>
  <si>
    <t>1优1平1劣</t>
  </si>
  <si>
    <t>2平1劣</t>
  </si>
  <si>
    <t>1优2劣</t>
  </si>
  <si>
    <t>1平2劣</t>
  </si>
  <si>
    <t>3劣</t>
  </si>
  <si>
    <t>组别B</t>
  </si>
  <si>
    <t>属性A</t>
  </si>
  <si>
    <t>属性B</t>
  </si>
  <si>
    <t>随机</t>
  </si>
  <si>
    <t>全属性补正</t>
  </si>
  <si>
    <t>总值一</t>
  </si>
  <si>
    <t>手动优劣调整</t>
  </si>
  <si>
    <t>总值二</t>
  </si>
  <si>
    <t>自动优劣调整</t>
  </si>
  <si>
    <t>总战力↑</t>
  </si>
  <si>
    <t>↑总补正↑</t>
  </si>
  <si>
    <t>↑总惩罚↑</t>
  </si>
  <si>
    <t>最终工序</t>
  </si>
  <si>
    <t>计算胜率</t>
  </si>
  <si>
    <t>辅助胜率正常</t>
  </si>
  <si>
    <t>最终工序正常</t>
  </si>
  <si>
    <t>双方总等级</t>
  </si>
  <si>
    <t>主力等级</t>
  </si>
  <si>
    <t>基础胜率</t>
  </si>
  <si>
    <t>战斗属性</t>
  </si>
  <si>
    <t>战前胜率</t>
  </si>
  <si>
    <t>初始胜率</t>
  </si>
  <si>
    <t>主要胜率</t>
  </si>
  <si>
    <t>补充胜率</t>
  </si>
  <si>
    <t>双方胜率</t>
  </si>
  <si>
    <t>胜率差值</t>
  </si>
  <si>
    <t>底限胜率</t>
  </si>
  <si>
    <t>最终胜率</t>
  </si>
  <si>
    <t>差值减半</t>
  </si>
  <si>
    <t>减半胜率</t>
  </si>
  <si>
    <t>总等级不直接影响最终胜率</t>
  </si>
  <si>
    <t>初始工序</t>
  </si>
  <si>
    <t>主力</t>
  </si>
  <si>
    <t>辅助一(减半)</t>
  </si>
  <si>
    <t>辅助二(减半)</t>
  </si>
  <si>
    <t>高于-80</t>
  </si>
  <si>
    <t>魔力不足扣减属性</t>
  </si>
  <si>
    <t>计算补正属性</t>
  </si>
  <si>
    <t>不用这部份的话，自行摺起，别删</t>
  </si>
  <si>
    <t>等级+/-</t>
  </si>
  <si>
    <t>筋+/-</t>
  </si>
  <si>
    <t>耐+/-</t>
  </si>
  <si>
    <t>敏+/-</t>
  </si>
  <si>
    <t>魔+/-</t>
  </si>
  <si>
    <t>运+/-</t>
  </si>
  <si>
    <t>宝+/-</t>
  </si>
  <si>
    <t>辅一(減半)</t>
  </si>
  <si>
    <t>辅二(减半)</t>
  </si>
  <si>
    <t>辅一(减半)</t>
  </si>
  <si>
    <t>主要工序</t>
  </si>
  <si>
    <t>决定战斗属性，与补正属性</t>
  </si>
  <si>
    <t>选择属性(A)</t>
  </si>
  <si>
    <t>选择属性(B)</t>
  </si>
  <si>
    <t>选择属性(C)</t>
  </si>
  <si>
    <t>随机属性</t>
  </si>
  <si>
    <t>令咒使用</t>
  </si>
  <si>
    <t>《《彩色方格用于在最终工序填最终胜率</t>
  </si>
  <si>
    <t>四维优劣：</t>
  </si>
  <si>
    <t>ABC三方为例，某一属性对抗中，共有3种情况：</t>
  </si>
  <si>
    <t>一优二劣：优方获30基础胜率，另两方0胜率</t>
  </si>
  <si>
    <t>二平一劣：平方各获15基础胜率，另一方0胜率</t>
  </si>
  <si>
    <t>三平：三方各获10基础胜率</t>
  </si>
  <si>
    <t>每方的四维优劣=四个属性对抗结果相加，再+10</t>
  </si>
  <si>
    <t>组别C</t>
  </si>
  <si>
    <t>总值三</t>
  </si>
  <si>
    <t>星之開拓者</t>
  </si>
  <si>
    <t>可选星之开拓者↓</t>
  </si>
  <si>
    <t>等级差加乘</t>
  </si>
  <si>
    <t>四维优劣(基础胜率</t>
  </si>
  <si>
    <t>战力差加乘</t>
  </si>
  <si>
    <t>胜率</t>
  </si>
  <si>
    <t>自动胜补</t>
  </si>
  <si>
    <t>最终胜率2</t>
  </si>
  <si>
    <t>保有胜率</t>
  </si>
  <si>
    <t>計算保有勝率</t>
  </si>
  <si>
    <t>^^不用填了^^</t>
  </si>
  <si>
    <t>^^这个要自己填^^</t>
  </si>
  <si>
    <t>當三方中有勝率為負時，排除掉後以下方的作最後勝率</t>
  </si>
  <si>
    <t>暂时停用</t>
  </si>
  <si>
    <t>蓝色保底</t>
  </si>
  <si>
    <t>橙色保底</t>
  </si>
  <si>
    <t>蓝色魔耗</t>
  </si>
  <si>
    <t>橙色魔耗</t>
  </si>
  <si>
    <t>统合胜率计算表：按顺序填入蓝色方胜率</t>
  </si>
  <si>
    <t>以下是计算部分</t>
  </si>
  <si>
    <t>蓝方必胜</t>
  </si>
  <si>
    <t>橙方必胜</t>
  </si>
  <si>
    <t>蓝胜平均</t>
  </si>
  <si>
    <t>橙胜平均</t>
  </si>
  <si>
    <t>标准偏差</t>
  </si>
  <si>
    <t>最终蓝胜</t>
  </si>
  <si>
    <t>最终橙胜</t>
  </si>
  <si>
    <t>胜率比</t>
  </si>
  <si>
    <t>魔耗比</t>
  </si>
  <si>
    <t>偏差度</t>
  </si>
  <si>
    <t>宝钟马琳</t>
  </si>
  <si>
    <t>利维坦</t>
  </si>
  <si>
    <t>尼奥尔德</t>
  </si>
  <si>
    <t>杰克.斯帕罗</t>
  </si>
  <si>
    <t>周瑜</t>
  </si>
  <si>
    <t>圣地亚哥</t>
  </si>
  <si>
    <t>赛德娜</t>
  </si>
  <si>
    <t>卢明</t>
  </si>
  <si>
    <t>洛拉米亚</t>
  </si>
  <si>
    <t>洛丽喵</t>
  </si>
  <si>
    <t>井上雪原</t>
  </si>
  <si>
    <t>露帕</t>
  </si>
  <si>
    <t>岸优子</t>
  </si>
  <si>
    <t>剑</t>
  </si>
  <si>
    <t>枪</t>
  </si>
  <si>
    <t>弓</t>
  </si>
  <si>
    <t>骑</t>
  </si>
  <si>
    <t>术</t>
  </si>
  <si>
    <t>杀</t>
  </si>
  <si>
    <t>狂</t>
  </si>
  <si>
    <t>剑召唤物</t>
  </si>
  <si>
    <t>弓召唤物</t>
  </si>
  <si>
    <t>狂召唤物</t>
  </si>
  <si>
    <t>术召唤物</t>
  </si>
  <si>
    <t>随船海员</t>
  </si>
  <si>
    <t>高达采集者</t>
  </si>
  <si>
    <t>莫特</t>
  </si>
  <si>
    <t>多尔希爵士</t>
  </si>
  <si>
    <t>醉枭赌徒</t>
  </si>
  <si>
    <t>机甲少女</t>
  </si>
  <si>
    <t>焰狼</t>
  </si>
  <si>
    <t>哈基米嗷</t>
  </si>
</sst>
</file>

<file path=xl/styles.xml><?xml version="1.0" encoding="utf-8"?>
<styleSheet xmlns="http://schemas.openxmlformats.org/spreadsheetml/2006/main">
  <numFmts count="13">
    <numFmt numFmtId="0" formatCode="General"/>
    <numFmt numFmtId="14" formatCode="yyyy/m/d"/>
    <numFmt numFmtId="166" formatCode="[&gt;0]&quot;+&quot;?;[&lt;0]&quot;-&quot;?;General"/>
    <numFmt numFmtId="169" formatCode="[&gt;0]&quot;全属+&quot;?;[&lt;0]&quot;全属-&quot;?;General"/>
    <numFmt numFmtId="170" formatCode="[&gt;0]&quot;上三+&quot;?;[&lt;0]&quot;上三-&quot;?;General"/>
    <numFmt numFmtId="171" formatCode="[&gt;0]&quot;宝外+&quot;?;[&lt;0]&quot;宝外-&quot;?;General"/>
    <numFmt numFmtId="172" formatCode="[&gt;0]&quot;咒&quot;?;[&lt;=0]&quot;咒&quot;?;General"/>
    <numFmt numFmtId="173" formatCode="[&gt;0]&quot;宝外+&quot;?;[&lt;=0]&quot;宝外-&quot;?;General"/>
    <numFmt numFmtId="174" formatCode="[&gt;0]&quot;全属+&quot;?;[&lt;=0]&quot;全属-&quot;?;General"/>
    <numFmt numFmtId="165" formatCode="0.00_ "/>
    <numFmt numFmtId="167" formatCode="&quot;TOTAL︰&quot;@"/>
    <numFmt numFmtId="168" formatCode="@&quot;勝&quot;&quot;率&quot;&quot;負&quot;"/>
    <numFmt numFmtId="164" formatCode="0.000_ "/>
  </numFmts>
  <fonts count="45">
    <font>
      <name val="宋体"/>
      <sz val="11"/>
    </font>
    <font>
      <name val="宋体"/>
      <charset val="134"/>
      <sz val="11"/>
    </font>
    <font>
      <name val="宋体"/>
      <charset val="134"/>
      <sz val="11"/>
      <color rgb="FF000000"/>
    </font>
    <font>
      <name val="宋体"/>
      <b/>
      <charset val="134"/>
      <sz val="11"/>
      <color rgb="FF000000"/>
    </font>
    <font>
      <name val="宋体"/>
      <b/>
      <charset val="134"/>
      <sz val="16"/>
      <color rgb="FF000000"/>
    </font>
    <font>
      <name val="楷体"/>
      <charset val="134"/>
      <sz val="11"/>
      <color rgb="FF000000"/>
    </font>
    <font>
      <name val="楷体"/>
      <charset val="134"/>
      <sz val="11"/>
    </font>
    <font>
      <name val="楷体"/>
      <charset val="134"/>
      <sz val="12"/>
      <color rgb="FF000000"/>
    </font>
    <font>
      <name val="楷体"/>
      <charset val="134"/>
      <sz val="12"/>
    </font>
    <font>
      <name val="汉仪半舫家书 W"/>
      <b/>
      <charset val="134"/>
      <sz val="20"/>
      <color rgb="FF000000"/>
    </font>
    <font>
      <name val="汉仪半舫家书 W"/>
      <charset val="134"/>
      <sz val="16"/>
      <color rgb="FF000000"/>
    </font>
    <font>
      <name val="楷体"/>
      <b/>
      <charset val="134"/>
      <sz val="11"/>
      <color rgb="FF435369"/>
    </font>
    <font>
      <name val="楷体"/>
      <b/>
      <charset val="134"/>
      <sz val="11"/>
      <color rgb="FF000000"/>
    </font>
    <font>
      <name val="楷体"/>
      <b/>
      <charset val="134"/>
      <sz val="12"/>
      <color rgb="FF000000"/>
    </font>
    <font>
      <name val="楷体"/>
      <charset val="134"/>
      <sz val="11"/>
      <color rgb="FFFF0000"/>
    </font>
    <font>
      <name val="楷体"/>
      <charset val="134"/>
      <sz val="13"/>
      <color rgb="FF000000"/>
    </font>
    <font>
      <name val="楷体"/>
      <b/>
      <charset val="134"/>
      <sz val="16"/>
      <color rgb="FF000000"/>
    </font>
    <font>
      <name val="楷体"/>
      <charset val="134"/>
      <sz val="16"/>
      <color rgb="FF000000"/>
    </font>
    <font>
      <name val="楷体"/>
      <charset val="134"/>
      <sz val="16"/>
    </font>
    <font>
      <name val="汉仪半舫家书 W"/>
      <b/>
      <charset val="134"/>
      <sz val="22"/>
      <color rgb="FF000000"/>
    </font>
    <font>
      <name val="汉仪半舫家书 W"/>
      <charset val="134"/>
      <sz val="22"/>
      <color rgb="FF000000"/>
    </font>
    <font>
      <name val="汉仪半舫家书 W"/>
      <charset val="134"/>
      <sz val="12"/>
      <color rgb="FF000000"/>
    </font>
    <font>
      <name val="楷体"/>
      <b/>
      <charset val="134"/>
      <sz val="14"/>
      <color rgb="FF000000"/>
    </font>
    <font>
      <name val="楷体"/>
      <b/>
      <charset val="134"/>
      <sz val="11"/>
      <color rgb="FFFF0000"/>
    </font>
    <font>
      <name val="楷体"/>
      <b/>
      <charset val="134"/>
      <sz val="12"/>
      <color rgb="FFFF0000"/>
    </font>
    <font>
      <name val="楷体"/>
      <charset val="134"/>
      <sz val="10"/>
      <color rgb="FF000000"/>
    </font>
    <font>
      <name val="Microsoft YaHei"/>
      <charset val="134"/>
      <sz val="10"/>
      <color rgb="FF000000"/>
    </font>
    <font>
      <name val="Microsoft YaHei"/>
      <b/>
      <charset val="134"/>
      <sz val="11"/>
      <color rgb="FF000000"/>
    </font>
    <font>
      <name val="楷体"/>
      <charset val="134"/>
      <sz val="10"/>
    </font>
    <font>
      <name val="Microsoft YaHei"/>
      <charset val="134"/>
      <sz val="10"/>
      <color rgb="FFFF0000"/>
    </font>
    <font>
      <name val="Microsoft YaHei"/>
      <charset val="134"/>
      <sz val="10"/>
    </font>
    <font>
      <name val="宋体"/>
      <b/>
      <charset val="134"/>
      <sz val="22"/>
      <color rgb="FF000000"/>
    </font>
    <font>
      <name val="宋体"/>
      <charset val="134"/>
      <sz val="20"/>
      <color rgb="FF000000"/>
    </font>
    <font>
      <name val="宋体"/>
      <charset val="134"/>
      <sz val="13"/>
      <color rgb="FF000000"/>
    </font>
    <font>
      <name val="微软雅黑"/>
      <charset val="134"/>
      <sz val="18"/>
      <color rgb="FF000000"/>
    </font>
    <font>
      <name val="宋体"/>
      <b/>
      <charset val="134"/>
      <sz val="11"/>
      <color rgb="FF435369"/>
    </font>
    <font>
      <name val="宋体"/>
      <b/>
      <charset val="134"/>
      <sz val="14"/>
      <color rgb="FF000000"/>
    </font>
    <font>
      <name val="宋体"/>
      <charset val="134"/>
      <sz val="22"/>
      <color rgb="FF000000"/>
    </font>
    <font>
      <name val="標楷體"/>
      <sz val="14"/>
      <color rgb="FF000000"/>
    </font>
    <font>
      <name val="微软雅黑"/>
      <b/>
      <charset val="134"/>
      <sz val="11"/>
      <color rgb="FF000000"/>
    </font>
    <font>
      <name val="Arial Black"/>
      <b/>
      <sz val="12"/>
      <color rgb="FFFF0000"/>
    </font>
    <font>
      <name val="Arial Black"/>
      <b/>
      <sz val="18"/>
      <color rgb="FFFF0000"/>
    </font>
    <font>
      <name val="宋体"/>
      <b/>
      <charset val="134"/>
      <sz val="8"/>
      <color rgb="FFFFFFFF"/>
    </font>
    <font>
      <name val="宋体"/>
      <charset val="134"/>
      <sz val="8"/>
      <color rgb="FF000000"/>
    </font>
    <font>
      <name val="宋体"/>
      <charset val="134"/>
      <sz val="10"/>
      <color rgb="FF000000"/>
    </font>
  </fonts>
  <fills count="29">
    <fill>
      <patternFill patternType="none"/>
    </fill>
    <fill>
      <patternFill patternType="gray125"/>
    </fill>
    <fill>
      <patternFill patternType="solid">
        <fgColor rgb="FFF2F2F2"/>
        <bgColor indexed="64"/>
      </patternFill>
    </fill>
    <fill>
      <patternFill patternType="solid">
        <fgColor rgb="FFBFBFBF"/>
        <bgColor indexed="64"/>
      </patternFill>
    </fill>
    <fill>
      <patternFill patternType="solid">
        <fgColor rgb="FFFFFF00"/>
        <bgColor indexed="64"/>
      </patternFill>
    </fill>
    <fill>
      <patternFill patternType="solid">
        <fgColor rgb="FFD9E3F3"/>
        <bgColor indexed="64"/>
      </patternFill>
    </fill>
    <fill>
      <patternFill patternType="solid">
        <fgColor rgb="FFDDEBF7"/>
        <bgColor indexed="64"/>
      </patternFill>
    </fill>
    <fill>
      <patternFill patternType="solid">
        <fgColor rgb="FFFCE4D6"/>
        <bgColor indexed="64"/>
      </patternFill>
    </fill>
    <fill>
      <patternFill patternType="solid">
        <fgColor rgb="FF8FABDB"/>
        <bgColor indexed="64"/>
      </patternFill>
    </fill>
    <fill>
      <patternFill patternType="solid">
        <fgColor rgb="FFFFD865"/>
        <bgColor indexed="64"/>
      </patternFill>
    </fill>
    <fill>
      <patternFill patternType="solid">
        <fgColor rgb="FFFFF2CB"/>
        <bgColor indexed="64"/>
      </patternFill>
    </fill>
    <fill>
      <patternFill patternType="solid">
        <fgColor rgb="FFFFF2CC"/>
        <bgColor indexed="64"/>
      </patternFill>
    </fill>
    <fill>
      <patternFill patternType="solid">
        <fgColor rgb="FFB4C6E7"/>
        <bgColor indexed="64"/>
      </patternFill>
    </fill>
    <fill>
      <patternFill patternType="solid">
        <fgColor rgb="FFFFE699"/>
        <bgColor indexed="64"/>
      </patternFill>
    </fill>
    <fill>
      <patternFill patternType="solid">
        <fgColor rgb="FFFFFFFF"/>
        <bgColor indexed="64"/>
      </patternFill>
    </fill>
    <fill>
      <patternFill patternType="solid">
        <fgColor rgb="FFD9E1F2"/>
        <bgColor indexed="64"/>
      </patternFill>
    </fill>
    <fill>
      <patternFill patternType="solid">
        <fgColor rgb="FFDEEAF6"/>
        <bgColor indexed="64"/>
      </patternFill>
    </fill>
    <fill>
      <patternFill patternType="solid">
        <fgColor rgb="FFC6E0B4"/>
        <bgColor indexed="64"/>
      </patternFill>
    </fill>
    <fill>
      <patternFill patternType="solid">
        <fgColor rgb="FF8EA9DB"/>
        <bgColor indexed="64"/>
      </patternFill>
    </fill>
    <fill>
      <patternFill patternType="lightGray">
        <fgColor rgb="FF8EA9DB"/>
      </patternFill>
    </fill>
    <fill>
      <patternFill patternType="lightDown">
        <fgColor rgb="FFD9D9D9"/>
      </patternFill>
    </fill>
    <fill>
      <patternFill patternType="solid">
        <fgColor rgb="FFFFD966"/>
        <bgColor indexed="64"/>
      </patternFill>
    </fill>
    <fill>
      <patternFill patternType="lightGray">
        <fgColor rgb="FFFFD966"/>
      </patternFill>
    </fill>
    <fill>
      <patternFill patternType="solid">
        <fgColor rgb="FFDBDBDB"/>
        <bgColor indexed="64"/>
      </patternFill>
    </fill>
    <fill>
      <patternFill patternType="darkGrid">
        <bgColor rgb="FFFFFFFF"/>
      </patternFill>
    </fill>
    <fill>
      <patternFill patternType="solid">
        <fgColor rgb="FFF8CBAD"/>
        <bgColor indexed="64"/>
      </patternFill>
    </fill>
    <fill>
      <patternFill patternType="solid">
        <fgColor rgb="FFF4B084"/>
        <bgColor indexed="64"/>
      </patternFill>
    </fill>
    <fill>
      <patternFill patternType="solid">
        <fgColor rgb="FFF4B083"/>
        <bgColor indexed="64"/>
      </patternFill>
    </fill>
    <fill>
      <patternFill patternType="solid">
        <fgColor rgb="FFFBE4D5"/>
        <bgColor indexed="64"/>
      </patternFill>
    </fill>
  </fills>
  <borders count="8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dotted">
        <color indexed="64"/>
      </top>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style="medium">
        <color indexed="64"/>
      </left>
      <right style="medium">
        <color indexed="64"/>
      </right>
      <top style="dotted">
        <color indexed="64"/>
      </top>
      <bottom/>
      <diagonal/>
    </border>
    <border>
      <left/>
      <right style="medium">
        <color indexed="64"/>
      </right>
      <top style="dotted">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dotted">
        <color indexed="64"/>
      </top>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dotted">
        <color indexed="64"/>
      </top>
      <bottom style="thin">
        <color indexed="64"/>
      </bottom>
      <diagonal/>
    </border>
    <border>
      <left style="medium">
        <color indexed="64"/>
      </left>
      <right/>
      <top style="thin">
        <color indexed="64"/>
      </top>
      <bottom/>
      <diagonal/>
    </border>
    <border>
      <left style="thin">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top style="thin">
        <color indexed="64"/>
      </top>
      <bottom style="thin">
        <color indexed="64"/>
      </bottom>
      <diagonal/>
    </border>
  </borders>
  <cellStyleXfs count="2">
    <xf numFmtId="0" fontId="0" fillId="0" borderId="0">
      <alignment vertical="center"/>
    </xf>
    <xf numFmtId="0" fontId="35" fillId="0" borderId="0">
      <alignment vertical="bottom"/>
      <protection locked="0" hidden="0"/>
    </xf>
  </cellStyleXfs>
  <cellXfs count="580">
    <xf numFmtId="0" fontId="0" fillId="0" borderId="0" xfId="0">
      <alignment vertical="center"/>
    </xf>
    <xf numFmtId="14" fontId="1" fillId="0" borderId="0" xfId="0" applyNumberFormat="1">
      <alignment vertical="center"/>
    </xf>
    <xf numFmtId="0" fontId="2" fillId="0" borderId="0" xfId="0" applyFont="1">
      <alignment vertical="center"/>
    </xf>
    <xf numFmtId="0" fontId="2" fillId="0" borderId="0" xfId="0" applyFont="1" applyAlignment="1">
      <alignment horizontal="center" vertical="center"/>
    </xf>
    <xf numFmtId="0" fontId="3" fillId="0" borderId="0" xfId="0" applyFont="1">
      <alignment vertical="center"/>
    </xf>
    <xf numFmtId="0" fontId="3" fillId="0" borderId="0" xfId="0" applyFont="1" applyAlignment="1">
      <alignment horizontal="center" vertical="center" wrapText="1"/>
    </xf>
    <xf numFmtId="0" fontId="2" fillId="0" borderId="0" xfId="0" applyFont="1" applyAlignment="1">
      <alignment vertical="center" wrapText="1"/>
    </xf>
    <xf numFmtId="0" fontId="1" fillId="0" borderId="0" xfId="0" applyAlignment="1">
      <alignment vertical="center" wrapText="1"/>
    </xf>
    <xf numFmtId="0" fontId="4" fillId="0" borderId="0" xfId="0" applyFont="1" applyAlignment="1">
      <alignment horizontal="center" vertical="center"/>
    </xf>
    <xf numFmtId="0" fontId="5" fillId="2" borderId="1" xfId="0" applyFont="1" applyFill="1" applyBorder="1">
      <alignment vertical="center"/>
      <protection locked="0" hidden="0"/>
    </xf>
    <xf numFmtId="0" fontId="5" fillId="2" borderId="2" xfId="0" applyFont="1" applyFill="1" applyBorder="1">
      <alignment vertical="center"/>
      <protection locked="0" hidden="0"/>
    </xf>
    <xf numFmtId="0" fontId="5" fillId="2" borderId="2" xfId="0" applyFont="1" applyFill="1" applyBorder="1" applyAlignment="1">
      <alignment horizontal="center" vertical="center"/>
      <protection locked="0" hidden="0"/>
    </xf>
    <xf numFmtId="0" fontId="5" fillId="2" borderId="2" xfId="0" applyFont="1" applyFill="1" applyBorder="1" applyAlignment="1">
      <alignment horizontal="center" vertical="center"/>
    </xf>
    <xf numFmtId="0" fontId="5" fillId="0" borderId="2" xfId="0" applyFont="1" applyBorder="1">
      <alignment vertical="center"/>
      <protection locked="0" hidden="0"/>
    </xf>
    <xf numFmtId="0" fontId="5" fillId="0" borderId="3" xfId="0" applyFont="1" applyBorder="1">
      <alignment vertical="center"/>
      <protection locked="0" hidden="0"/>
    </xf>
    <xf numFmtId="0" fontId="5" fillId="0" borderId="0" xfId="0" applyFont="1">
      <alignment vertical="center"/>
    </xf>
    <xf numFmtId="0" fontId="5" fillId="0" borderId="4" xfId="0" applyFont="1" applyBorder="1">
      <alignment vertical="center"/>
      <protection locked="0" hidden="0"/>
    </xf>
    <xf numFmtId="0" fontId="5" fillId="2" borderId="0" xfId="0" applyFont="1" applyFill="1" applyAlignment="1">
      <alignment horizontal="center" vertical="center"/>
    </xf>
    <xf numFmtId="0" fontId="6" fillId="0" borderId="0" xfId="0" applyFont="1" applyAlignment="1">
      <alignment horizontal="center" vertical="center"/>
    </xf>
    <xf numFmtId="0" fontId="5" fillId="3" borderId="0" xfId="0" applyFont="1" applyFill="1">
      <alignment vertical="center"/>
    </xf>
    <xf numFmtId="0" fontId="7" fillId="2" borderId="0" xfId="0" applyFont="1" applyFill="1" applyAlignment="1">
      <alignment horizontal="center" vertical="center"/>
    </xf>
    <xf numFmtId="0" fontId="8" fillId="0" borderId="0" xfId="0" applyFont="1" applyAlignment="1">
      <alignment horizontal="center" vertical="center"/>
    </xf>
    <xf numFmtId="0" fontId="5" fillId="0" borderId="0" xfId="0" applyFont="1">
      <alignment vertical="center"/>
      <protection locked="0" hidden="0"/>
    </xf>
    <xf numFmtId="0" fontId="6" fillId="0" borderId="0" xfId="0" applyFont="1">
      <alignment vertical="center"/>
    </xf>
    <xf numFmtId="0" fontId="2" fillId="0" borderId="0" xfId="0" applyFont="1">
      <alignment vertical="center"/>
      <protection locked="0" hidden="0"/>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10" fillId="4" borderId="6" xfId="0" applyFont="1" applyFill="1" applyBorder="1" applyAlignment="1">
      <alignment horizontal="center" vertical="center"/>
    </xf>
    <xf numFmtId="0" fontId="10" fillId="4" borderId="7"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8"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9" xfId="0" applyFont="1" applyFill="1" applyBorder="1" applyAlignment="1">
      <alignment horizontal="center" vertical="center"/>
    </xf>
    <xf numFmtId="0" fontId="5" fillId="5" borderId="10" xfId="0" applyFont="1" applyFill="1" applyBorder="1" applyAlignment="1">
      <alignment horizontal="center" vertical="center"/>
    </xf>
    <xf numFmtId="0" fontId="11" fillId="5" borderId="11" xfId="1" applyFont="1" applyFill="1" applyBorder="1" applyAlignment="1">
      <alignment horizontal="center" vertical="center"/>
    </xf>
    <xf numFmtId="0" fontId="11" fillId="5" borderId="12" xfId="1" applyFont="1" applyFill="1" applyBorder="1" applyAlignment="1">
      <alignment horizontal="center" vertical="center"/>
    </xf>
    <xf numFmtId="166" fontId="5" fillId="6" borderId="13" xfId="0" applyNumberFormat="1" applyFont="1" applyFill="1" applyBorder="1" applyAlignment="1">
      <alignment horizontal="center" vertical="center"/>
      <protection locked="0" hidden="0"/>
    </xf>
    <xf numFmtId="169" fontId="5" fillId="6" borderId="7" xfId="0" applyNumberFormat="1" applyFont="1" applyFill="1" applyBorder="1" applyAlignment="1">
      <alignment horizontal="center" vertical="center"/>
      <protection locked="0" hidden="0"/>
    </xf>
    <xf numFmtId="170" fontId="5" fillId="6" borderId="7" xfId="0" applyNumberFormat="1" applyFont="1" applyFill="1" applyBorder="1" applyAlignment="1">
      <alignment horizontal="center" vertical="center"/>
      <protection locked="0" hidden="0"/>
    </xf>
    <xf numFmtId="0" fontId="5" fillId="7" borderId="14" xfId="0" applyFont="1" applyFill="1" applyBorder="1" applyAlignment="1">
      <alignment horizontal="center" vertical="center"/>
      <protection locked="0" hidden="0"/>
    </xf>
    <xf numFmtId="0" fontId="5" fillId="8" borderId="15" xfId="0" applyFont="1" applyFill="1" applyBorder="1" applyAlignment="1">
      <alignment horizontal="center" vertical="center"/>
      <protection locked="0" hidden="0"/>
    </xf>
    <xf numFmtId="0" fontId="5" fillId="8" borderId="16" xfId="0" applyFont="1" applyFill="1" applyBorder="1" applyAlignment="1">
      <alignment horizontal="center" vertical="center"/>
      <protection locked="0" hidden="0"/>
    </xf>
    <xf numFmtId="0" fontId="5" fillId="8" borderId="17" xfId="0" applyFont="1" applyFill="1" applyBorder="1" applyAlignment="1">
      <alignment horizontal="center" vertical="center"/>
      <protection locked="0" hidden="0"/>
    </xf>
    <xf numFmtId="0" fontId="5" fillId="9" borderId="18" xfId="0" applyFont="1" applyFill="1" applyBorder="1" applyAlignment="1">
      <alignment horizontal="center" vertical="center"/>
      <protection locked="0" hidden="0"/>
    </xf>
    <xf numFmtId="0" fontId="5" fillId="9" borderId="16" xfId="0" applyFont="1" applyFill="1" applyBorder="1" applyAlignment="1">
      <alignment horizontal="center" vertical="center"/>
      <protection locked="0" hidden="0"/>
    </xf>
    <xf numFmtId="0" fontId="5" fillId="9" borderId="19" xfId="0" applyFont="1" applyFill="1" applyBorder="1" applyAlignment="1">
      <alignment horizontal="center" vertical="center"/>
      <protection locked="0" hidden="0"/>
    </xf>
    <xf numFmtId="0" fontId="5" fillId="5" borderId="20" xfId="0" applyFont="1" applyFill="1" applyBorder="1" applyAlignment="1">
      <alignment horizontal="center" vertical="center"/>
    </xf>
    <xf numFmtId="166" fontId="5" fillId="0" borderId="21" xfId="0" applyNumberFormat="1" applyFont="1" applyBorder="1" applyAlignment="1">
      <alignment horizontal="center" vertical="center"/>
      <protection locked="0" hidden="0"/>
    </xf>
    <xf numFmtId="166" fontId="5" fillId="0" borderId="22" xfId="0" applyNumberFormat="1" applyFont="1" applyBorder="1" applyAlignment="1">
      <alignment horizontal="center" vertical="center"/>
      <protection locked="0" hidden="0"/>
    </xf>
    <xf numFmtId="171" fontId="12" fillId="6" borderId="23" xfId="0" applyNumberFormat="1" applyFont="1" applyFill="1" applyBorder="1" applyAlignment="1">
      <alignment horizontal="center" vertical="center"/>
      <protection locked="0" hidden="0"/>
    </xf>
    <xf numFmtId="169" fontId="12" fillId="6" borderId="24" xfId="0" applyNumberFormat="1" applyFont="1" applyFill="1" applyBorder="1" applyAlignment="1">
      <alignment horizontal="center" vertical="center"/>
      <protection locked="0" hidden="0"/>
    </xf>
    <xf numFmtId="170" fontId="12" fillId="6" borderId="24" xfId="0" applyNumberFormat="1" applyFont="1" applyFill="1" applyBorder="1" applyAlignment="1">
      <alignment horizontal="center" vertical="center"/>
      <protection locked="0" hidden="0"/>
    </xf>
    <xf numFmtId="0" fontId="5" fillId="7" borderId="25" xfId="0" applyFont="1" applyFill="1" applyBorder="1" applyAlignment="1">
      <alignment horizontal="center" vertical="center"/>
      <protection locked="0" hidden="0"/>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27" xfId="0" applyFont="1" applyBorder="1" applyAlignment="1">
      <alignment horizontal="center" vertical="center"/>
      <protection locked="0" hidden="0"/>
    </xf>
    <xf numFmtId="0" fontId="5" fillId="0" borderId="30" xfId="0" applyFont="1" applyBorder="1" applyAlignment="1">
      <alignment horizontal="center" vertical="center"/>
      <protection locked="0" hidden="0"/>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5" fillId="0" borderId="35" xfId="0" applyFont="1" applyBorder="1" applyAlignment="1">
      <alignment horizontal="center" vertical="center"/>
      <protection locked="0" hidden="0"/>
    </xf>
    <xf numFmtId="0" fontId="5" fillId="0" borderId="36" xfId="0" applyFont="1" applyBorder="1" applyAlignment="1">
      <alignment horizontal="center" vertical="center"/>
      <protection locked="0" hidden="0"/>
    </xf>
    <xf numFmtId="0" fontId="6" fillId="0" borderId="25" xfId="0" applyFont="1" applyBorder="1" applyAlignment="1">
      <alignment horizontal="center" vertical="center"/>
    </xf>
    <xf numFmtId="0" fontId="5" fillId="0" borderId="29" xfId="0" applyFont="1" applyBorder="1" applyAlignment="1">
      <alignment horizontal="center" vertical="center"/>
      <protection locked="0" hidden="0"/>
    </xf>
    <xf numFmtId="171" fontId="12" fillId="6" borderId="37" xfId="0" applyNumberFormat="1" applyFont="1" applyFill="1" applyBorder="1" applyAlignment="1">
      <alignment horizontal="center" vertical="center"/>
      <protection locked="0" hidden="0"/>
    </xf>
    <xf numFmtId="169" fontId="12" fillId="6" borderId="38" xfId="0" applyNumberFormat="1" applyFont="1" applyFill="1" applyBorder="1" applyAlignment="1">
      <alignment horizontal="center" vertical="center"/>
      <protection locked="0" hidden="0"/>
    </xf>
    <xf numFmtId="170" fontId="12" fillId="6" borderId="38" xfId="0" applyNumberFormat="1" applyFont="1" applyFill="1" applyBorder="1" applyAlignment="1">
      <alignment horizontal="center" vertical="center"/>
      <protection locked="0" hidden="0"/>
    </xf>
    <xf numFmtId="0" fontId="6" fillId="0" borderId="39" xfId="0" applyFont="1" applyBorder="1" applyAlignment="1">
      <alignment horizontal="center" vertical="center"/>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5" fillId="0" borderId="43" xfId="0" applyFont="1" applyBorder="1" applyAlignment="1">
      <alignment horizontal="center" vertical="center"/>
      <protection locked="0" hidden="0"/>
    </xf>
    <xf numFmtId="0" fontId="5" fillId="0" borderId="44" xfId="0" applyFont="1" applyBorder="1" applyAlignment="1">
      <alignment horizontal="center" vertical="center"/>
      <protection locked="0" hidden="0"/>
    </xf>
    <xf numFmtId="0" fontId="5" fillId="10" borderId="10" xfId="0" applyFont="1" applyFill="1" applyBorder="1" applyAlignment="1">
      <alignment horizontal="center" vertical="center"/>
    </xf>
    <xf numFmtId="166" fontId="5" fillId="0" borderId="11" xfId="0" applyNumberFormat="1" applyFont="1" applyBorder="1" applyAlignment="1">
      <alignment horizontal="center" vertical="center"/>
      <protection locked="0" hidden="0"/>
    </xf>
    <xf numFmtId="166" fontId="5" fillId="0" borderId="45" xfId="0" applyNumberFormat="1" applyFont="1" applyBorder="1" applyAlignment="1">
      <alignment horizontal="center" vertical="center"/>
      <protection locked="0" hidden="0"/>
    </xf>
    <xf numFmtId="171" fontId="12" fillId="11" borderId="13" xfId="0" applyNumberFormat="1" applyFont="1" applyFill="1" applyBorder="1" applyAlignment="1">
      <alignment horizontal="center" vertical="center"/>
      <protection locked="0" hidden="0"/>
    </xf>
    <xf numFmtId="169" fontId="12" fillId="11" borderId="7" xfId="0" applyNumberFormat="1" applyFont="1" applyFill="1" applyBorder="1" applyAlignment="1">
      <alignment horizontal="center" vertical="center"/>
      <protection locked="0" hidden="0"/>
    </xf>
    <xf numFmtId="170" fontId="12" fillId="11" borderId="7" xfId="0" applyNumberFormat="1" applyFont="1" applyFill="1" applyBorder="1" applyAlignment="1">
      <alignment horizontal="center" vertical="center"/>
      <protection locked="0" hidden="0"/>
    </xf>
    <xf numFmtId="0" fontId="5" fillId="10" borderId="20" xfId="0" applyFont="1" applyFill="1" applyBorder="1" applyAlignment="1">
      <alignment horizontal="center" vertical="center"/>
    </xf>
    <xf numFmtId="166" fontId="5" fillId="0" borderId="21" xfId="0" applyNumberFormat="1" applyFont="1" applyBorder="1" applyAlignment="1">
      <alignment horizontal="center" vertical="center" wrapText="1"/>
      <protection locked="0" hidden="0"/>
    </xf>
    <xf numFmtId="166" fontId="5" fillId="0" borderId="46" xfId="0" applyNumberFormat="1" applyFont="1" applyBorder="1" applyAlignment="1">
      <alignment horizontal="center" vertical="center"/>
      <protection locked="0" hidden="0"/>
    </xf>
    <xf numFmtId="171" fontId="12" fillId="11" borderId="23" xfId="0" applyNumberFormat="1" applyFont="1" applyFill="1" applyBorder="1" applyAlignment="1">
      <alignment horizontal="center" vertical="center"/>
      <protection locked="0" hidden="0"/>
    </xf>
    <xf numFmtId="169" fontId="12" fillId="11" borderId="24" xfId="0" applyNumberFormat="1" applyFont="1" applyFill="1" applyBorder="1" applyAlignment="1">
      <alignment horizontal="center" vertical="center"/>
      <protection locked="0" hidden="0"/>
    </xf>
    <xf numFmtId="170" fontId="12" fillId="11" borderId="24" xfId="0" applyNumberFormat="1" applyFont="1" applyFill="1" applyBorder="1" applyAlignment="1">
      <alignment horizontal="center" vertical="center"/>
      <protection locked="0" hidden="0"/>
    </xf>
    <xf numFmtId="0" fontId="6" fillId="0" borderId="43" xfId="0" applyFont="1" applyBorder="1" applyAlignment="1">
      <alignment horizontal="center" vertical="center"/>
    </xf>
    <xf numFmtId="0" fontId="6" fillId="0" borderId="47" xfId="0" applyFont="1" applyBorder="1" applyAlignment="1">
      <alignment horizontal="center" vertical="center"/>
    </xf>
    <xf numFmtId="0" fontId="6" fillId="0" borderId="48" xfId="0" applyFont="1" applyBorder="1" applyAlignment="1">
      <alignment horizontal="center" vertical="center"/>
    </xf>
    <xf numFmtId="0" fontId="6" fillId="0" borderId="49" xfId="0" applyFont="1" applyBorder="1" applyAlignment="1">
      <alignment horizontal="center" vertical="center"/>
    </xf>
    <xf numFmtId="0" fontId="6" fillId="0" borderId="50" xfId="0" applyFont="1" applyBorder="1" applyAlignment="1">
      <alignment horizontal="center" vertical="center"/>
    </xf>
    <xf numFmtId="0" fontId="6" fillId="0" borderId="51" xfId="0" applyFont="1" applyBorder="1" applyAlignment="1">
      <alignment horizontal="center" vertical="center"/>
    </xf>
    <xf numFmtId="0" fontId="5" fillId="0" borderId="52" xfId="0" applyFont="1" applyBorder="1" applyAlignment="1">
      <alignment horizontal="center" vertical="center"/>
      <protection locked="0" hidden="0"/>
    </xf>
    <xf numFmtId="0" fontId="6" fillId="0" borderId="53" xfId="0" applyFont="1" applyBorder="1" applyAlignment="1">
      <alignment horizontal="center" vertical="center"/>
    </xf>
    <xf numFmtId="0" fontId="6" fillId="12" borderId="54" xfId="0" applyFont="1" applyFill="1" applyBorder="1" applyAlignment="1">
      <alignment horizontal="center" vertical="center"/>
    </xf>
    <xf numFmtId="0" fontId="6" fillId="12" borderId="3" xfId="0" applyFont="1" applyFill="1" applyBorder="1" applyAlignment="1">
      <alignment horizontal="center" vertical="center"/>
    </xf>
    <xf numFmtId="0" fontId="6" fillId="13" borderId="54" xfId="0" applyFont="1" applyFill="1" applyBorder="1" applyAlignment="1">
      <alignment horizontal="center" vertical="center"/>
    </xf>
    <xf numFmtId="0" fontId="6" fillId="13" borderId="3" xfId="0" applyFont="1" applyFill="1" applyBorder="1" applyAlignment="1">
      <alignment horizontal="center" vertical="center"/>
    </xf>
    <xf numFmtId="0" fontId="5" fillId="10" borderId="55" xfId="0" applyFont="1" applyFill="1" applyBorder="1" applyAlignment="1">
      <alignment horizontal="center" vertical="center"/>
    </xf>
    <xf numFmtId="166" fontId="5" fillId="0" borderId="56" xfId="0" applyNumberFormat="1" applyFont="1" applyBorder="1" applyAlignment="1">
      <alignment horizontal="center" vertical="center"/>
      <protection locked="0" hidden="0"/>
    </xf>
    <xf numFmtId="166" fontId="5" fillId="0" borderId="57" xfId="0" applyNumberFormat="1" applyFont="1" applyBorder="1" applyAlignment="1">
      <alignment horizontal="center" vertical="center"/>
      <protection locked="0" hidden="0"/>
    </xf>
    <xf numFmtId="171" fontId="12" fillId="11" borderId="37" xfId="0" applyNumberFormat="1" applyFont="1" applyFill="1" applyBorder="1" applyAlignment="1">
      <alignment horizontal="center" vertical="center"/>
      <protection locked="0" hidden="0"/>
    </xf>
    <xf numFmtId="169" fontId="12" fillId="11" borderId="38" xfId="0" applyNumberFormat="1" applyFont="1" applyFill="1" applyBorder="1" applyAlignment="1">
      <alignment horizontal="center" vertical="center"/>
      <protection locked="0" hidden="0"/>
    </xf>
    <xf numFmtId="170" fontId="12" fillId="11" borderId="38" xfId="0" applyNumberFormat="1" applyFont="1" applyFill="1" applyBorder="1" applyAlignment="1">
      <alignment horizontal="center" vertical="center"/>
      <protection locked="0" hidden="0"/>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5" fillId="14" borderId="10" xfId="0" applyFont="1" applyFill="1" applyBorder="1" applyAlignment="1">
      <alignment horizontal="center" vertical="center"/>
    </xf>
    <xf numFmtId="0" fontId="7" fillId="8" borderId="11" xfId="0" applyFont="1" applyFill="1" applyBorder="1" applyAlignment="1">
      <alignment horizontal="center" vertical="center"/>
      <protection locked="0" hidden="0"/>
    </xf>
    <xf numFmtId="0" fontId="13" fillId="8" borderId="12" xfId="0" applyFont="1" applyFill="1" applyBorder="1" applyAlignment="1">
      <alignment horizontal="center" vertical="center"/>
      <protection locked="0" hidden="0"/>
    </xf>
    <xf numFmtId="0" fontId="7" fillId="9" borderId="10" xfId="0" applyFont="1" applyFill="1" applyBorder="1" applyAlignment="1">
      <alignment horizontal="center" vertical="center"/>
      <protection locked="0" hidden="0"/>
    </xf>
    <xf numFmtId="0" fontId="7" fillId="9" borderId="11" xfId="0" applyFont="1" applyFill="1" applyBorder="1" applyAlignment="1">
      <alignment horizontal="center" vertical="center"/>
      <protection locked="0" hidden="0"/>
    </xf>
    <xf numFmtId="0" fontId="13" fillId="9" borderId="45" xfId="0" applyFont="1" applyFill="1" applyBorder="1" applyAlignment="1">
      <alignment horizontal="center" vertical="center"/>
      <protection locked="0" hidden="0"/>
    </xf>
    <xf numFmtId="0" fontId="5" fillId="0" borderId="0" xfId="0" applyFont="1" applyAlignment="1">
      <alignment vertical="center" wrapText="1"/>
      <protection locked="0" hidden="0"/>
    </xf>
    <xf numFmtId="0" fontId="6" fillId="0" borderId="30" xfId="0" applyFont="1" applyBorder="1" applyAlignment="1">
      <alignment horizontal="center" vertical="center"/>
    </xf>
    <xf numFmtId="0" fontId="5" fillId="14" borderId="58" xfId="0" applyFont="1" applyFill="1" applyBorder="1" applyAlignment="1">
      <alignment horizontal="center" vertical="center"/>
    </xf>
    <xf numFmtId="0" fontId="5" fillId="14" borderId="59" xfId="0" applyFont="1" applyFill="1" applyBorder="1" applyAlignment="1">
      <alignment horizontal="center" vertical="center" wrapText="1"/>
      <protection locked="0" hidden="0"/>
    </xf>
    <xf numFmtId="0" fontId="5" fillId="0" borderId="60" xfId="0" applyFont="1" applyBorder="1" applyAlignment="1">
      <alignment horizontal="center" vertical="center"/>
    </xf>
    <xf numFmtId="0" fontId="5" fillId="14" borderId="58" xfId="0" applyFont="1" applyFill="1" applyBorder="1" applyAlignment="1">
      <alignment horizontal="center" vertical="center" wrapText="1"/>
      <protection locked="0" hidden="0"/>
    </xf>
    <xf numFmtId="0" fontId="5" fillId="0" borderId="61" xfId="0" applyFont="1" applyBorder="1" applyAlignment="1">
      <alignment horizontal="center" vertical="center"/>
    </xf>
    <xf numFmtId="0" fontId="12" fillId="0" borderId="0" xfId="0" applyFont="1" applyAlignment="1">
      <alignment vertical="center" wrapText="1"/>
      <protection locked="0" hidden="0"/>
    </xf>
    <xf numFmtId="0" fontId="5" fillId="0" borderId="31" xfId="0" applyFont="1" applyBorder="1" applyAlignment="1">
      <alignment horizontal="center" vertical="center"/>
      <protection locked="0" hidden="0"/>
    </xf>
    <xf numFmtId="0" fontId="5" fillId="0" borderId="33" xfId="0" applyFont="1" applyBorder="1" applyAlignment="1">
      <alignment horizontal="center" vertical="center"/>
      <protection locked="0" hidden="0"/>
    </xf>
    <xf numFmtId="0" fontId="14" fillId="7" borderId="53" xfId="0" applyFont="1" applyFill="1" applyBorder="1" applyAlignment="1">
      <alignment horizontal="center" vertical="center" wrapText="1"/>
    </xf>
    <xf numFmtId="0" fontId="15" fillId="0" borderId="62" xfId="0" applyFont="1" applyBorder="1" applyAlignment="1">
      <alignment horizontal="center" vertical="center"/>
      <protection locked="0" hidden="0"/>
    </xf>
    <xf numFmtId="0" fontId="15" fillId="0" borderId="11" xfId="0" applyFont="1" applyBorder="1" applyAlignment="1">
      <alignment horizontal="center" vertical="center"/>
      <protection locked="0" hidden="0"/>
    </xf>
    <xf numFmtId="0" fontId="5" fillId="0" borderId="12" xfId="0" applyFont="1" applyBorder="1" applyAlignment="1">
      <alignment horizontal="center" vertical="center"/>
    </xf>
    <xf numFmtId="0" fontId="15" fillId="0" borderId="10" xfId="0" applyFont="1" applyBorder="1" applyAlignment="1">
      <alignment horizontal="center" vertical="center"/>
      <protection locked="0" hidden="0"/>
    </xf>
    <xf numFmtId="0" fontId="5" fillId="0" borderId="45" xfId="0" applyFont="1" applyBorder="1" applyAlignment="1">
      <alignment horizontal="center" vertical="center"/>
    </xf>
    <xf numFmtId="0" fontId="5" fillId="0" borderId="39" xfId="0" applyFont="1" applyBorder="1" applyAlignment="1">
      <alignment horizontal="center" vertical="center"/>
      <protection locked="0" hidden="0"/>
    </xf>
    <xf numFmtId="0" fontId="5" fillId="0" borderId="41" xfId="0" applyFont="1" applyBorder="1" applyAlignment="1">
      <alignment horizontal="center" vertical="center"/>
      <protection locked="0" hidden="0"/>
    </xf>
    <xf numFmtId="0" fontId="5" fillId="14" borderId="31"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11" xfId="0" applyFont="1" applyFill="1" applyBorder="1" applyAlignment="1">
      <alignment horizontal="center" vertical="center"/>
    </xf>
    <xf numFmtId="0" fontId="5" fillId="8" borderId="62" xfId="0" applyFont="1" applyFill="1" applyBorder="1" applyAlignment="1">
      <alignment horizontal="center" vertical="center"/>
    </xf>
    <xf numFmtId="0" fontId="5" fillId="9" borderId="5" xfId="0" applyFont="1" applyFill="1" applyBorder="1" applyAlignment="1">
      <alignment horizontal="center" vertical="center"/>
    </xf>
    <xf numFmtId="0" fontId="5" fillId="9" borderId="11" xfId="0" applyFont="1" applyFill="1" applyBorder="1" applyAlignment="1">
      <alignment horizontal="center" vertical="center"/>
    </xf>
    <xf numFmtId="0" fontId="5" fillId="9" borderId="62" xfId="0" applyFont="1" applyFill="1" applyBorder="1" applyAlignment="1">
      <alignment horizontal="center" vertical="center"/>
    </xf>
    <xf numFmtId="0" fontId="6" fillId="15" borderId="63" xfId="0" applyFont="1" applyFill="1" applyBorder="1" applyAlignment="1">
      <alignment horizontal="center" vertical="center"/>
    </xf>
    <xf numFmtId="0" fontId="6" fillId="15" borderId="64" xfId="0" applyFont="1" applyFill="1" applyBorder="1" applyAlignment="1">
      <alignment horizontal="center" vertical="center"/>
    </xf>
    <xf numFmtId="0" fontId="6" fillId="15" borderId="65" xfId="0" applyFont="1" applyFill="1" applyBorder="1" applyAlignment="1">
      <alignment horizontal="center" vertical="center"/>
    </xf>
    <xf numFmtId="0" fontId="5" fillId="11" borderId="63" xfId="0" applyFont="1" applyFill="1" applyBorder="1" applyAlignment="1">
      <alignment horizontal="center" vertical="center"/>
    </xf>
    <xf numFmtId="0" fontId="5" fillId="11" borderId="64" xfId="0" applyFont="1" applyFill="1" applyBorder="1" applyAlignment="1">
      <alignment horizontal="center" vertical="center"/>
    </xf>
    <xf numFmtId="0" fontId="5" fillId="11" borderId="65" xfId="0" applyFont="1" applyFill="1" applyBorder="1" applyAlignment="1">
      <alignment horizontal="center" vertical="center"/>
    </xf>
    <xf numFmtId="0" fontId="5" fillId="0" borderId="39" xfId="0" applyFont="1" applyBorder="1" applyAlignment="1">
      <alignment horizontal="center" vertical="center"/>
    </xf>
    <xf numFmtId="0" fontId="5" fillId="16" borderId="0" xfId="0" applyFont="1" applyFill="1" applyAlignment="1">
      <alignment horizontal="center" vertical="center"/>
    </xf>
    <xf numFmtId="0" fontId="5" fillId="16" borderId="59" xfId="0" applyFont="1" applyFill="1" applyBorder="1" applyAlignment="1">
      <alignment horizontal="center" vertical="center"/>
    </xf>
    <xf numFmtId="0" fontId="5" fillId="16" borderId="66" xfId="0" applyFont="1" applyFill="1" applyBorder="1" applyAlignment="1">
      <alignment horizontal="center" vertical="center"/>
    </xf>
    <xf numFmtId="0" fontId="5" fillId="10" borderId="67" xfId="0" applyFont="1" applyFill="1" applyBorder="1" applyAlignment="1">
      <alignment horizontal="center" vertical="center"/>
    </xf>
    <xf numFmtId="0" fontId="5" fillId="10" borderId="59" xfId="0" applyFont="1" applyFill="1" applyBorder="1" applyAlignment="1">
      <alignment horizontal="center" vertical="center"/>
    </xf>
    <xf numFmtId="0" fontId="5" fillId="10" borderId="66" xfId="0" applyFont="1" applyFill="1" applyBorder="1" applyAlignment="1">
      <alignment horizontal="center" vertical="center"/>
    </xf>
    <xf numFmtId="0" fontId="5" fillId="8" borderId="0" xfId="0" applyFont="1" applyFill="1" applyAlignment="1">
      <alignment horizontal="center" vertical="center"/>
    </xf>
    <xf numFmtId="0" fontId="5" fillId="8" borderId="59" xfId="0" applyFont="1" applyFill="1" applyBorder="1" applyAlignment="1">
      <alignment horizontal="center" vertical="center"/>
    </xf>
    <xf numFmtId="0" fontId="5" fillId="8" borderId="66" xfId="0" applyFont="1" applyFill="1" applyBorder="1" applyAlignment="1">
      <alignment horizontal="center" vertical="center"/>
    </xf>
    <xf numFmtId="0" fontId="5" fillId="9" borderId="67" xfId="0" applyFont="1" applyFill="1" applyBorder="1" applyAlignment="1">
      <alignment horizontal="center" vertical="center"/>
    </xf>
    <xf numFmtId="0" fontId="5" fillId="9" borderId="59" xfId="0" applyFont="1" applyFill="1" applyBorder="1" applyAlignment="1">
      <alignment horizontal="center" vertical="center"/>
    </xf>
    <xf numFmtId="0" fontId="5" fillId="9" borderId="66" xfId="0" applyFont="1" applyFill="1" applyBorder="1" applyAlignment="1">
      <alignment horizontal="center" vertical="center"/>
    </xf>
    <xf numFmtId="0" fontId="16" fillId="4" borderId="68" xfId="0" applyFont="1" applyFill="1" applyBorder="1" applyAlignment="1">
      <alignment horizontal="center" vertical="center"/>
      <protection locked="0" hidden="0"/>
    </xf>
    <xf numFmtId="0" fontId="16" fillId="4" borderId="69" xfId="0" applyFont="1" applyFill="1" applyBorder="1" applyAlignment="1">
      <alignment horizontal="center" vertical="center"/>
      <protection locked="0" hidden="0"/>
    </xf>
    <xf numFmtId="0" fontId="16" fillId="4" borderId="70" xfId="0" applyFont="1" applyFill="1" applyBorder="1" applyAlignment="1">
      <alignment horizontal="center" vertical="center"/>
      <protection locked="0" hidden="0"/>
    </xf>
    <xf numFmtId="0" fontId="17" fillId="12" borderId="18" xfId="0" applyFont="1" applyFill="1" applyBorder="1" applyAlignment="1">
      <alignment horizontal="center" vertical="center"/>
      <protection locked="0" hidden="0"/>
    </xf>
    <xf numFmtId="0" fontId="17" fillId="12" borderId="16" xfId="0" applyFont="1" applyFill="1" applyBorder="1" applyAlignment="1">
      <alignment horizontal="center" vertical="center"/>
      <protection locked="0" hidden="0"/>
    </xf>
    <xf numFmtId="0" fontId="17" fillId="12" borderId="19" xfId="0" applyFont="1" applyFill="1" applyBorder="1" applyAlignment="1">
      <alignment horizontal="center" vertical="center"/>
      <protection locked="0" hidden="0"/>
    </xf>
    <xf numFmtId="0" fontId="17" fillId="13" borderId="18" xfId="0" applyFont="1" applyFill="1" applyBorder="1" applyAlignment="1">
      <alignment horizontal="center" vertical="center"/>
      <protection locked="0" hidden="0"/>
    </xf>
    <xf numFmtId="0" fontId="17" fillId="13" borderId="16" xfId="0" applyFont="1" applyFill="1" applyBorder="1" applyAlignment="1">
      <alignment horizontal="center" vertical="center"/>
      <protection locked="0" hidden="0"/>
    </xf>
    <xf numFmtId="0" fontId="17" fillId="13" borderId="19" xfId="0" applyFont="1" applyFill="1" applyBorder="1" applyAlignment="1">
      <alignment horizontal="center" vertical="center"/>
      <protection locked="0" hidden="0"/>
    </xf>
    <xf numFmtId="0" fontId="18" fillId="17" borderId="18" xfId="0" applyFont="1" applyFill="1" applyBorder="1" applyAlignment="1">
      <alignment horizontal="center" vertical="center"/>
    </xf>
    <xf numFmtId="0" fontId="18" fillId="17" borderId="16" xfId="0" applyFont="1" applyFill="1" applyBorder="1" applyAlignment="1">
      <alignment horizontal="center" vertical="center"/>
    </xf>
    <xf numFmtId="0" fontId="18" fillId="17" borderId="19" xfId="0" applyFont="1" applyFill="1" applyBorder="1" applyAlignment="1">
      <alignment horizontal="center" vertical="center"/>
    </xf>
    <xf numFmtId="0" fontId="17" fillId="0" borderId="43" xfId="0" applyFont="1" applyBorder="1" applyAlignment="1">
      <alignment horizontal="center" vertical="center"/>
      <protection locked="0" hidden="0"/>
    </xf>
    <xf numFmtId="0" fontId="17" fillId="0" borderId="41" xfId="0" applyFont="1" applyBorder="1" applyAlignment="1">
      <alignment horizontal="center" vertical="center"/>
      <protection locked="0" hidden="0"/>
    </xf>
    <xf numFmtId="0" fontId="17" fillId="0" borderId="44" xfId="0" applyFont="1" applyBorder="1" applyAlignment="1">
      <alignment horizontal="center" vertical="center"/>
      <protection locked="0" hidden="0"/>
    </xf>
    <xf numFmtId="0" fontId="5" fillId="0" borderId="47" xfId="0" applyFont="1" applyBorder="1" applyAlignment="1">
      <alignment horizontal="center" vertical="center"/>
    </xf>
    <xf numFmtId="0" fontId="5" fillId="8" borderId="8" xfId="0" applyFont="1" applyFill="1" applyBorder="1" applyAlignment="1">
      <alignment horizontal="center" vertical="center"/>
    </xf>
    <xf numFmtId="0" fontId="5" fillId="8" borderId="71" xfId="0" applyFont="1" applyFill="1" applyBorder="1" applyAlignment="1">
      <alignment horizontal="center" vertical="center"/>
    </xf>
    <xf numFmtId="0" fontId="5" fillId="8" borderId="72" xfId="0" applyFont="1" applyFill="1" applyBorder="1" applyAlignment="1">
      <alignment horizontal="center" vertical="center"/>
    </xf>
    <xf numFmtId="0" fontId="5" fillId="9" borderId="4" xfId="0" applyFont="1" applyFill="1" applyBorder="1" applyAlignment="1">
      <alignment horizontal="center" vertical="center"/>
    </xf>
    <xf numFmtId="0" fontId="5" fillId="9" borderId="71" xfId="0" applyFont="1" applyFill="1" applyBorder="1" applyAlignment="1">
      <alignment horizontal="center" vertical="center"/>
    </xf>
    <xf numFmtId="0" fontId="5" fillId="9" borderId="72" xfId="0" applyFont="1" applyFill="1" applyBorder="1" applyAlignment="1">
      <alignment horizontal="center" vertical="center"/>
    </xf>
    <xf numFmtId="0" fontId="5" fillId="0" borderId="53" xfId="0" applyFont="1" applyBorder="1" applyAlignment="1">
      <alignment horizontal="center" vertical="center"/>
      <protection locked="0" hidden="0"/>
    </xf>
    <xf numFmtId="166" fontId="5" fillId="6" borderId="72" xfId="0" applyNumberFormat="1" applyFont="1" applyFill="1" applyBorder="1" applyAlignment="1">
      <alignment horizontal="center" vertical="center"/>
      <protection locked="0" hidden="0"/>
    </xf>
    <xf numFmtId="166" fontId="5" fillId="6" borderId="71" xfId="0" applyNumberFormat="1" applyFont="1" applyFill="1" applyBorder="1" applyAlignment="1">
      <alignment horizontal="center" vertical="center"/>
      <protection locked="0" hidden="0"/>
    </xf>
    <xf numFmtId="166" fontId="5" fillId="6" borderId="73" xfId="0" applyNumberFormat="1" applyFont="1" applyFill="1" applyBorder="1" applyAlignment="1">
      <alignment horizontal="center" vertical="center"/>
      <protection locked="0" hidden="0"/>
    </xf>
    <xf numFmtId="0" fontId="5" fillId="12" borderId="8" xfId="0" applyFont="1" applyFill="1" applyBorder="1" applyAlignment="1">
      <alignment horizontal="center" vertical="center"/>
    </xf>
    <xf numFmtId="166" fontId="5" fillId="11" borderId="74" xfId="0" applyNumberFormat="1" applyFont="1" applyFill="1" applyBorder="1" applyAlignment="1">
      <alignment horizontal="center" vertical="center"/>
      <protection locked="0" hidden="0"/>
    </xf>
    <xf numFmtId="166" fontId="5" fillId="11" borderId="71" xfId="0" applyNumberFormat="1" applyFont="1" applyFill="1" applyBorder="1" applyAlignment="1">
      <alignment horizontal="center" vertical="center"/>
      <protection locked="0" hidden="0"/>
    </xf>
    <xf numFmtId="166" fontId="5" fillId="11" borderId="73" xfId="0" applyNumberFormat="1" applyFont="1" applyFill="1" applyBorder="1" applyAlignment="1">
      <alignment horizontal="center" vertical="center"/>
      <protection locked="0" hidden="0"/>
    </xf>
    <xf numFmtId="0" fontId="5" fillId="13" borderId="9" xfId="0" applyFont="1" applyFill="1" applyBorder="1" applyAlignment="1">
      <alignment horizontal="center" vertical="center"/>
    </xf>
    <xf numFmtId="166" fontId="5" fillId="6" borderId="54" xfId="0" applyNumberFormat="1" applyFont="1" applyFill="1" applyBorder="1" applyAlignment="1">
      <alignment horizontal="center" vertical="center"/>
      <protection locked="0" hidden="0"/>
    </xf>
    <xf numFmtId="166" fontId="5" fillId="6" borderId="69" xfId="0" applyNumberFormat="1" applyFont="1" applyFill="1" applyBorder="1" applyAlignment="1">
      <alignment horizontal="center" vertical="center"/>
      <protection locked="0" hidden="0"/>
    </xf>
    <xf numFmtId="166" fontId="5" fillId="6" borderId="70" xfId="0" applyNumberFormat="1" applyFont="1" applyFill="1" applyBorder="1" applyAlignment="1">
      <alignment horizontal="center" vertical="center"/>
      <protection locked="0" hidden="0"/>
    </xf>
    <xf numFmtId="0" fontId="5" fillId="12" borderId="2" xfId="0" applyFont="1" applyFill="1" applyBorder="1" applyAlignment="1">
      <alignment horizontal="center" vertical="center"/>
    </xf>
    <xf numFmtId="166" fontId="5" fillId="11" borderId="68" xfId="0" applyNumberFormat="1" applyFont="1" applyFill="1" applyBorder="1" applyAlignment="1">
      <alignment horizontal="center" vertical="center"/>
      <protection locked="0" hidden="0"/>
    </xf>
    <xf numFmtId="166" fontId="5" fillId="11" borderId="69" xfId="0" applyNumberFormat="1" applyFont="1" applyFill="1" applyBorder="1" applyAlignment="1">
      <alignment horizontal="center" vertical="center"/>
      <protection locked="0" hidden="0"/>
    </xf>
    <xf numFmtId="166" fontId="5" fillId="11" borderId="70" xfId="0" applyNumberFormat="1" applyFont="1" applyFill="1" applyBorder="1" applyAlignment="1">
      <alignment horizontal="center" vertical="center"/>
      <protection locked="0" hidden="0"/>
    </xf>
    <xf numFmtId="0" fontId="5" fillId="13" borderId="3" xfId="0" applyFont="1" applyFill="1" applyBorder="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166" fontId="2" fillId="0" borderId="0" xfId="0" applyNumberFormat="1" applyFont="1" applyAlignment="1">
      <alignment horizontal="center" vertical="center"/>
      <protection locked="0" hidden="0"/>
    </xf>
    <xf numFmtId="0" fontId="19" fillId="0" borderId="8" xfId="0" applyFont="1" applyBorder="1" applyAlignment="1">
      <alignment horizontal="center" vertical="center"/>
    </xf>
    <xf numFmtId="0" fontId="21" fillId="0" borderId="8" xfId="0" applyFont="1" applyBorder="1" applyAlignment="1">
      <alignment horizontal="center" vertical="center"/>
    </xf>
    <xf numFmtId="0" fontId="11" fillId="5" borderId="45" xfId="1" applyFont="1" applyFill="1" applyBorder="1" applyAlignment="1">
      <alignment horizontal="center" vertical="center"/>
    </xf>
    <xf numFmtId="166" fontId="5" fillId="6" borderId="7" xfId="0" applyNumberFormat="1" applyFont="1" applyFill="1" applyBorder="1" applyAlignment="1">
      <alignment horizontal="center" vertical="center"/>
      <protection locked="0" hidden="0"/>
    </xf>
    <xf numFmtId="171" fontId="12" fillId="6" borderId="24" xfId="0" applyNumberFormat="1" applyFont="1" applyFill="1" applyBorder="1" applyAlignment="1">
      <alignment horizontal="center" vertical="center"/>
      <protection locked="0" hidden="0"/>
    </xf>
    <xf numFmtId="0" fontId="5" fillId="0" borderId="5" xfId="0" applyFont="1" applyBorder="1" applyAlignment="1">
      <alignment horizontal="center" vertical="center"/>
    </xf>
    <xf numFmtId="0" fontId="5" fillId="8" borderId="10" xfId="0" applyFont="1" applyFill="1" applyBorder="1" applyAlignment="1">
      <alignment horizontal="center" vertical="center"/>
    </xf>
    <xf numFmtId="0" fontId="12" fillId="8" borderId="12" xfId="0" applyFont="1" applyFill="1" applyBorder="1" applyAlignment="1">
      <alignment horizontal="center" vertical="center"/>
    </xf>
    <xf numFmtId="0" fontId="5" fillId="9" borderId="10" xfId="0" applyFont="1" applyFill="1" applyBorder="1" applyAlignment="1">
      <alignment horizontal="center" vertical="center"/>
    </xf>
    <xf numFmtId="0" fontId="12" fillId="9" borderId="45" xfId="0" applyFont="1" applyFill="1" applyBorder="1" applyAlignment="1">
      <alignment horizontal="center" vertical="center"/>
    </xf>
    <xf numFmtId="0" fontId="22" fillId="0" borderId="0" xfId="0" applyFont="1" applyAlignment="1">
      <alignment horizontal="center" vertical="center" wrapText="1"/>
    </xf>
    <xf numFmtId="0" fontId="5" fillId="0" borderId="75" xfId="0" applyFont="1" applyBorder="1" applyAlignment="1">
      <alignment horizontal="center" vertical="center"/>
    </xf>
    <xf numFmtId="0" fontId="5" fillId="5" borderId="58" xfId="0" applyFont="1" applyFill="1" applyBorder="1" applyAlignment="1">
      <alignment horizontal="center" vertical="center"/>
    </xf>
    <xf numFmtId="0" fontId="5" fillId="5" borderId="59" xfId="0" applyFont="1" applyFill="1" applyBorder="1" applyAlignment="1">
      <alignment horizontal="center" vertical="center"/>
    </xf>
    <xf numFmtId="0" fontId="5" fillId="5" borderId="60" xfId="0" applyFont="1" applyFill="1" applyBorder="1" applyAlignment="1">
      <alignment horizontal="center" vertical="center"/>
    </xf>
    <xf numFmtId="0" fontId="5" fillId="10" borderId="58" xfId="0" applyFont="1" applyFill="1" applyBorder="1" applyAlignment="1">
      <alignment horizontal="center" vertical="center"/>
    </xf>
    <xf numFmtId="0" fontId="5" fillId="10" borderId="61" xfId="0" applyFont="1" applyFill="1" applyBorder="1" applyAlignment="1">
      <alignment horizontal="center" vertical="center"/>
    </xf>
    <xf numFmtId="0" fontId="5" fillId="14" borderId="76" xfId="0" applyFont="1" applyFill="1" applyBorder="1" applyAlignment="1">
      <alignment horizontal="center" vertical="center"/>
    </xf>
    <xf numFmtId="0" fontId="5" fillId="8" borderId="58" xfId="0" applyFont="1" applyFill="1" applyBorder="1" applyAlignment="1">
      <alignment horizontal="center" vertical="center"/>
    </xf>
    <xf numFmtId="0" fontId="12" fillId="8" borderId="60" xfId="0" applyFont="1" applyFill="1" applyBorder="1" applyAlignment="1">
      <alignment horizontal="center" vertical="center"/>
    </xf>
    <xf numFmtId="0" fontId="5" fillId="9" borderId="58" xfId="0" applyFont="1" applyFill="1" applyBorder="1" applyAlignment="1">
      <alignment horizontal="center" vertical="center"/>
    </xf>
    <xf numFmtId="0" fontId="12" fillId="9" borderId="61" xfId="0" applyFont="1" applyFill="1" applyBorder="1" applyAlignment="1">
      <alignment horizontal="center" vertical="center"/>
    </xf>
    <xf numFmtId="0" fontId="5" fillId="0" borderId="76" xfId="0" applyFont="1" applyBorder="1" applyAlignment="1">
      <alignment horizontal="center" vertical="center"/>
    </xf>
    <xf numFmtId="0" fontId="5" fillId="16" borderId="58" xfId="0" applyFont="1" applyFill="1" applyBorder="1" applyAlignment="1">
      <alignment horizontal="center" vertical="center"/>
    </xf>
    <xf numFmtId="0" fontId="12" fillId="16" borderId="60" xfId="0" applyFont="1" applyFill="1" applyBorder="1" applyAlignment="1">
      <alignment horizontal="center" vertical="center"/>
    </xf>
    <xf numFmtId="0" fontId="12" fillId="10" borderId="61" xfId="0" applyFont="1" applyFill="1" applyBorder="1" applyAlignment="1">
      <alignment horizontal="center" vertical="center"/>
    </xf>
    <xf numFmtId="0" fontId="5" fillId="0" borderId="63" xfId="0" applyFont="1" applyBorder="1" applyAlignment="1">
      <alignment horizontal="center" vertical="center"/>
    </xf>
    <xf numFmtId="0" fontId="5" fillId="8" borderId="74" xfId="0" applyFont="1" applyFill="1" applyBorder="1" applyAlignment="1">
      <alignment horizontal="center" vertical="center"/>
    </xf>
    <xf numFmtId="0" fontId="12" fillId="8" borderId="77" xfId="0" applyFont="1" applyFill="1" applyBorder="1" applyAlignment="1">
      <alignment horizontal="center" vertical="center"/>
    </xf>
    <xf numFmtId="0" fontId="5" fillId="9" borderId="74" xfId="0" applyFont="1" applyFill="1" applyBorder="1" applyAlignment="1">
      <alignment horizontal="center" vertical="center"/>
    </xf>
    <xf numFmtId="0" fontId="12" fillId="9" borderId="73" xfId="0" applyFont="1" applyFill="1" applyBorder="1" applyAlignment="1">
      <alignment horizontal="center" vertical="center"/>
    </xf>
    <xf numFmtId="0" fontId="19" fillId="0" borderId="0" xfId="0" applyFont="1" applyAlignment="1">
      <alignment horizontal="center" vertical="center"/>
    </xf>
    <xf numFmtId="0" fontId="21" fillId="0" borderId="0" xfId="0" applyFont="1" applyAlignment="1">
      <alignment horizontal="center" vertical="center"/>
    </xf>
    <xf numFmtId="0" fontId="5" fillId="0" borderId="0" xfId="0" applyFont="1" applyAlignment="1">
      <alignment horizontal="center" vertical="center"/>
      <protection locked="0" hidden="0"/>
    </xf>
    <xf numFmtId="0" fontId="5" fillId="0" borderId="18" xfId="0" applyFont="1" applyBorder="1" applyAlignment="1">
      <alignment horizontal="center" vertical="center"/>
      <protection locked="0" hidden="0"/>
    </xf>
    <xf numFmtId="0" fontId="6" fillId="0" borderId="19" xfId="0" applyFont="1" applyBorder="1" applyAlignment="1">
      <alignment horizontal="center" vertical="center"/>
    </xf>
    <xf numFmtId="0" fontId="12" fillId="18" borderId="68" xfId="0" applyFont="1" applyFill="1" applyBorder="1" applyAlignment="1">
      <alignment horizontal="center" vertical="center"/>
    </xf>
    <xf numFmtId="0" fontId="5" fillId="18" borderId="69" xfId="0" applyFont="1" applyFill="1" applyBorder="1" applyAlignment="1">
      <alignment horizontal="center" vertical="center"/>
    </xf>
    <xf numFmtId="0" fontId="5" fillId="18" borderId="69" xfId="0" applyFont="1" applyFill="1" applyBorder="1" applyAlignment="1">
      <alignment horizontal="center" vertical="center"/>
      <protection locked="0" hidden="0"/>
    </xf>
    <xf numFmtId="0" fontId="5" fillId="18" borderId="1" xfId="0" applyFont="1" applyFill="1" applyBorder="1" applyAlignment="1">
      <alignment horizontal="center" vertical="center"/>
    </xf>
    <xf numFmtId="166" fontId="5" fillId="18" borderId="13" xfId="0" applyNumberFormat="1" applyFont="1" applyFill="1" applyBorder="1" applyAlignment="1">
      <alignment horizontal="center" vertical="center"/>
      <protection locked="0" hidden="0"/>
    </xf>
    <xf numFmtId="166" fontId="5" fillId="18" borderId="53" xfId="0" applyNumberFormat="1" applyFont="1" applyFill="1" applyBorder="1" applyAlignment="1">
      <alignment horizontal="center" vertical="center"/>
      <protection locked="0" hidden="0"/>
    </xf>
    <xf numFmtId="0" fontId="6" fillId="0" borderId="44" xfId="0" applyFont="1" applyBorder="1" applyAlignment="1">
      <alignment horizontal="center" vertical="center"/>
    </xf>
    <xf numFmtId="0" fontId="5" fillId="5" borderId="35" xfId="0" applyFont="1" applyFill="1" applyBorder="1" applyAlignment="1">
      <alignment horizontal="center" vertical="center"/>
    </xf>
    <xf numFmtId="0" fontId="12" fillId="5" borderId="33" xfId="0" applyFont="1" applyFill="1" applyBorder="1" applyAlignment="1">
      <alignment horizontal="center" vertical="center"/>
    </xf>
    <xf numFmtId="0" fontId="12" fillId="5" borderId="41" xfId="0" applyFont="1" applyFill="1" applyBorder="1" applyAlignment="1">
      <alignment horizontal="center" vertical="center"/>
    </xf>
    <xf numFmtId="172" fontId="12" fillId="5" borderId="75" xfId="0" applyNumberFormat="1" applyFont="1" applyFill="1" applyBorder="1" applyAlignment="1">
      <alignment horizontal="center" vertical="center"/>
    </xf>
    <xf numFmtId="166" fontId="5" fillId="15" borderId="47" xfId="0" applyNumberFormat="1" applyFont="1" applyFill="1" applyBorder="1" applyAlignment="1">
      <alignment horizontal="center" vertical="center"/>
      <protection locked="0" hidden="0"/>
    </xf>
    <xf numFmtId="0" fontId="12" fillId="5" borderId="43" xfId="0" applyFont="1" applyFill="1" applyBorder="1" applyAlignment="1">
      <alignment horizontal="center" vertical="center"/>
      <protection locked="0" hidden="0"/>
    </xf>
    <xf numFmtId="0" fontId="5" fillId="5" borderId="41" xfId="0" applyFont="1" applyFill="1" applyBorder="1" applyAlignment="1">
      <alignment horizontal="center" vertical="center"/>
      <protection locked="0" hidden="0"/>
    </xf>
    <xf numFmtId="166" fontId="5" fillId="0" borderId="42" xfId="0" applyNumberFormat="1" applyFont="1" applyBorder="1" applyAlignment="1">
      <alignment horizontal="center" vertical="center"/>
      <protection locked="0" hidden="0"/>
    </xf>
    <xf numFmtId="173" fontId="12" fillId="19" borderId="76" xfId="0" applyNumberFormat="1" applyFont="1" applyFill="1" applyBorder="1" applyAlignment="1">
      <alignment horizontal="center" vertical="center"/>
      <protection locked="0" hidden="0"/>
    </xf>
    <xf numFmtId="166" fontId="5" fillId="15" borderId="23" xfId="0" applyNumberFormat="1" applyFont="1" applyFill="1" applyBorder="1" applyAlignment="1">
      <alignment horizontal="center" vertical="center"/>
      <protection locked="0" hidden="0"/>
    </xf>
    <xf numFmtId="0" fontId="5" fillId="0" borderId="43" xfId="0" applyFont="1" applyBorder="1" applyAlignment="1">
      <alignment horizontal="center" vertical="center"/>
    </xf>
    <xf numFmtId="0" fontId="5" fillId="5" borderId="43" xfId="0" applyFont="1" applyFill="1" applyBorder="1" applyAlignment="1">
      <alignment horizontal="center" vertical="center"/>
    </xf>
    <xf numFmtId="166" fontId="5" fillId="0" borderId="41" xfId="0" applyNumberFormat="1" applyFont="1" applyBorder="1" applyAlignment="1">
      <alignment horizontal="center" vertical="center"/>
      <protection locked="0" hidden="0"/>
    </xf>
    <xf numFmtId="174" fontId="23" fillId="20" borderId="76" xfId="0" applyNumberFormat="1" applyFont="1" applyFill="1" applyBorder="1" applyAlignment="1">
      <alignment horizontal="center" vertical="center"/>
      <protection locked="0" hidden="0"/>
    </xf>
    <xf numFmtId="166" fontId="5" fillId="15" borderId="78" xfId="0" applyNumberFormat="1" applyFont="1" applyFill="1" applyBorder="1" applyAlignment="1">
      <alignment horizontal="center" vertical="center"/>
      <protection locked="0" hidden="0"/>
    </xf>
    <xf numFmtId="0" fontId="5" fillId="5" borderId="41" xfId="0" applyFont="1" applyFill="1" applyBorder="1" applyAlignment="1">
      <alignment horizontal="center" vertical="center"/>
    </xf>
    <xf numFmtId="172" fontId="12" fillId="5" borderId="76" xfId="0" applyNumberFormat="1" applyFont="1" applyFill="1" applyBorder="1" applyAlignment="1">
      <alignment horizontal="center" vertical="center"/>
    </xf>
    <xf numFmtId="166" fontId="5" fillId="5" borderId="41" xfId="0" applyNumberFormat="1" applyFont="1" applyFill="1" applyBorder="1" applyAlignment="1">
      <alignment horizontal="center" vertical="center"/>
      <protection locked="0" hidden="0"/>
    </xf>
    <xf numFmtId="173" fontId="12" fillId="19" borderId="76" xfId="0" applyNumberFormat="1" applyFont="1" applyFill="1" applyBorder="1" applyAlignment="1">
      <alignment horizontal="center" vertical="center"/>
    </xf>
    <xf numFmtId="174" fontId="23" fillId="20" borderId="76" xfId="0" applyNumberFormat="1" applyFont="1" applyFill="1" applyBorder="1" applyAlignment="1">
      <alignment horizontal="center" vertical="center"/>
    </xf>
    <xf numFmtId="0" fontId="5" fillId="0" borderId="29" xfId="0" applyFont="1" applyBorder="1" applyAlignment="1">
      <alignment horizontal="center" vertical="center"/>
    </xf>
    <xf numFmtId="0" fontId="5" fillId="5" borderId="51" xfId="0" applyFont="1" applyFill="1" applyBorder="1" applyAlignment="1">
      <alignment horizontal="center" vertical="center"/>
    </xf>
    <xf numFmtId="166" fontId="5" fillId="5" borderId="49" xfId="0" applyNumberFormat="1" applyFont="1" applyFill="1" applyBorder="1" applyAlignment="1">
      <alignment horizontal="center" vertical="center"/>
      <protection locked="0" hidden="0"/>
    </xf>
    <xf numFmtId="166" fontId="5" fillId="0" borderId="49" xfId="0" applyNumberFormat="1" applyFont="1" applyBorder="1" applyAlignment="1">
      <alignment horizontal="center" vertical="center"/>
      <protection locked="0" hidden="0"/>
    </xf>
    <xf numFmtId="166" fontId="5" fillId="0" borderId="50" xfId="0" applyNumberFormat="1" applyFont="1" applyBorder="1" applyAlignment="1">
      <alignment horizontal="center" vertical="center"/>
      <protection locked="0" hidden="0"/>
    </xf>
    <xf numFmtId="174" fontId="23" fillId="20" borderId="79" xfId="0" applyNumberFormat="1" applyFont="1" applyFill="1" applyBorder="1" applyAlignment="1">
      <alignment horizontal="center" vertical="center"/>
    </xf>
    <xf numFmtId="166" fontId="5" fillId="15" borderId="37" xfId="0" applyNumberFormat="1" applyFont="1" applyFill="1" applyBorder="1" applyAlignment="1">
      <alignment horizontal="center" vertical="center"/>
      <protection locked="0" hidden="0"/>
    </xf>
    <xf numFmtId="0" fontId="12" fillId="21" borderId="68" xfId="0" applyFont="1" applyFill="1" applyBorder="1" applyAlignment="1">
      <alignment horizontal="center" vertical="center"/>
    </xf>
    <xf numFmtId="0" fontId="5" fillId="21" borderId="69" xfId="0" applyFont="1" applyFill="1" applyBorder="1" applyAlignment="1">
      <alignment horizontal="center" vertical="center"/>
    </xf>
    <xf numFmtId="0" fontId="5" fillId="21" borderId="80" xfId="0" applyFont="1" applyFill="1" applyBorder="1" applyAlignment="1">
      <alignment horizontal="center" vertical="center"/>
    </xf>
    <xf numFmtId="0" fontId="5" fillId="21" borderId="1" xfId="0" applyFont="1" applyFill="1" applyBorder="1" applyAlignment="1">
      <alignment horizontal="center" vertical="center"/>
    </xf>
    <xf numFmtId="166" fontId="5" fillId="21" borderId="53" xfId="0" applyNumberFormat="1" applyFont="1" applyFill="1" applyBorder="1" applyAlignment="1">
      <alignment horizontal="center" vertical="center"/>
      <protection locked="0" hidden="0"/>
    </xf>
    <xf numFmtId="0" fontId="5" fillId="10" borderId="35" xfId="0" applyFont="1" applyFill="1" applyBorder="1" applyAlignment="1">
      <alignment horizontal="center" vertical="center"/>
    </xf>
    <xf numFmtId="0" fontId="12" fillId="10" borderId="33" xfId="0" applyFont="1" applyFill="1" applyBorder="1" applyAlignment="1">
      <alignment horizontal="center" vertical="center"/>
    </xf>
    <xf numFmtId="172" fontId="12" fillId="10" borderId="75" xfId="0" applyNumberFormat="1" applyFont="1" applyFill="1" applyBorder="1" applyAlignment="1">
      <alignment horizontal="center" vertical="center"/>
    </xf>
    <xf numFmtId="166" fontId="5" fillId="11" borderId="81" xfId="0" applyNumberFormat="1" applyFont="1" applyFill="1" applyBorder="1" applyAlignment="1">
      <alignment horizontal="center" vertical="center"/>
      <protection locked="0" hidden="0"/>
    </xf>
    <xf numFmtId="0" fontId="12" fillId="10" borderId="43" xfId="0" applyFont="1" applyFill="1" applyBorder="1" applyAlignment="1">
      <alignment horizontal="center" vertical="center"/>
      <protection locked="0" hidden="0"/>
    </xf>
    <xf numFmtId="166" fontId="5" fillId="10" borderId="41" xfId="0" applyNumberFormat="1" applyFont="1" applyFill="1" applyBorder="1" applyAlignment="1">
      <alignment horizontal="center" vertical="center"/>
      <protection locked="0" hidden="0"/>
    </xf>
    <xf numFmtId="173" fontId="12" fillId="22" borderId="76" xfId="0" applyNumberFormat="1" applyFont="1" applyFill="1" applyBorder="1" applyAlignment="1">
      <alignment horizontal="center" vertical="center"/>
    </xf>
    <xf numFmtId="166" fontId="5" fillId="11" borderId="23" xfId="0" applyNumberFormat="1" applyFont="1" applyFill="1" applyBorder="1" applyAlignment="1">
      <alignment horizontal="center" vertical="center"/>
      <protection locked="0" hidden="0"/>
    </xf>
    <xf numFmtId="0" fontId="5" fillId="10" borderId="43" xfId="0" applyFont="1" applyFill="1" applyBorder="1" applyAlignment="1">
      <alignment horizontal="center" vertical="center"/>
    </xf>
    <xf numFmtId="166" fontId="5" fillId="11" borderId="78" xfId="0" applyNumberFormat="1" applyFont="1" applyFill="1" applyBorder="1" applyAlignment="1">
      <alignment horizontal="center" vertical="center"/>
      <protection locked="0" hidden="0"/>
    </xf>
    <xf numFmtId="0" fontId="5" fillId="10" borderId="41" xfId="0" applyFont="1" applyFill="1" applyBorder="1" applyAlignment="1">
      <alignment horizontal="center" vertical="center"/>
    </xf>
    <xf numFmtId="0" fontId="12" fillId="10" borderId="41" xfId="0" applyFont="1" applyFill="1" applyBorder="1" applyAlignment="1">
      <alignment horizontal="center" vertical="center"/>
    </xf>
    <xf numFmtId="172" fontId="12" fillId="10" borderId="76" xfId="0" applyNumberFormat="1" applyFont="1" applyFill="1" applyBorder="1" applyAlignment="1">
      <alignment horizontal="center" vertical="center"/>
    </xf>
    <xf numFmtId="166" fontId="5" fillId="11" borderId="47" xfId="0" applyNumberFormat="1" applyFont="1" applyFill="1" applyBorder="1" applyAlignment="1">
      <alignment horizontal="center" vertical="center"/>
      <protection locked="0" hidden="0"/>
    </xf>
    <xf numFmtId="166" fontId="5" fillId="10" borderId="41" xfId="0" applyNumberFormat="1" applyFont="1" applyFill="1" applyBorder="1" applyAlignment="1">
      <alignment horizontal="center" vertical="center"/>
    </xf>
    <xf numFmtId="0" fontId="5" fillId="0" borderId="0" xfId="0" applyFont="1" applyAlignment="1">
      <alignment horizontal="center" vertical="center"/>
    </xf>
    <xf numFmtId="165" fontId="2" fillId="0" borderId="0" xfId="0" applyNumberFormat="1" applyFont="1">
      <alignment vertical="center"/>
      <protection locked="0" hidden="0"/>
    </xf>
    <xf numFmtId="165" fontId="5" fillId="0" borderId="0" xfId="0" applyNumberFormat="1" applyFont="1">
      <alignment vertical="center"/>
      <protection locked="0" hidden="0"/>
    </xf>
    <xf numFmtId="0" fontId="5" fillId="10" borderId="51" xfId="0" applyFont="1" applyFill="1" applyBorder="1" applyAlignment="1">
      <alignment horizontal="center" vertical="center"/>
    </xf>
    <xf numFmtId="166" fontId="5" fillId="10" borderId="49" xfId="0" applyNumberFormat="1" applyFont="1" applyFill="1" applyBorder="1" applyAlignment="1">
      <alignment horizontal="center" vertical="center"/>
    </xf>
    <xf numFmtId="0" fontId="12" fillId="8" borderId="18" xfId="0" applyFont="1" applyFill="1" applyBorder="1" applyAlignment="1">
      <alignment horizontal="center" vertical="center"/>
      <protection locked="0" hidden="0"/>
    </xf>
    <xf numFmtId="0" fontId="24" fillId="5" borderId="16" xfId="0" applyFont="1" applyFill="1" applyBorder="1" applyAlignment="1">
      <alignment horizontal="center" vertical="center"/>
    </xf>
    <xf numFmtId="0" fontId="5" fillId="12" borderId="16" xfId="0" applyFont="1" applyFill="1" applyBorder="1" applyAlignment="1">
      <alignment horizontal="center" vertical="center"/>
    </xf>
    <xf numFmtId="0" fontId="5" fillId="12" borderId="19" xfId="0" applyFont="1" applyFill="1" applyBorder="1" applyAlignment="1">
      <alignment horizontal="center" vertical="center"/>
    </xf>
    <xf numFmtId="165" fontId="5" fillId="4" borderId="5" xfId="0" applyNumberFormat="1" applyFont="1" applyFill="1" applyBorder="1" applyAlignment="1">
      <alignment horizontal="center" vertical="center"/>
      <protection locked="0" hidden="0"/>
    </xf>
    <xf numFmtId="165" fontId="5" fillId="4" borderId="6" xfId="0" applyNumberFormat="1" applyFont="1" applyFill="1" applyBorder="1" applyAlignment="1">
      <alignment horizontal="center" vertical="center"/>
      <protection locked="0" hidden="0"/>
    </xf>
    <xf numFmtId="165" fontId="5" fillId="4" borderId="7" xfId="0" applyNumberFormat="1" applyFont="1" applyFill="1" applyBorder="1" applyAlignment="1">
      <alignment horizontal="center" vertical="center"/>
      <protection locked="0" hidden="0"/>
    </xf>
    <xf numFmtId="0" fontId="12" fillId="9" borderId="29" xfId="0" applyFont="1" applyFill="1" applyBorder="1" applyAlignment="1">
      <alignment horizontal="center" vertical="center"/>
      <protection locked="0" hidden="0"/>
    </xf>
    <xf numFmtId="0" fontId="24" fillId="10" borderId="27" xfId="0" applyFont="1" applyFill="1" applyBorder="1" applyAlignment="1">
      <alignment horizontal="center" vertical="center"/>
    </xf>
    <xf numFmtId="0" fontId="5" fillId="13" borderId="27" xfId="0" applyFont="1" applyFill="1" applyBorder="1" applyAlignment="1">
      <alignment horizontal="center" vertical="center"/>
    </xf>
    <xf numFmtId="0" fontId="5" fillId="13" borderId="30" xfId="0" applyFont="1" applyFill="1" applyBorder="1" applyAlignment="1">
      <alignment horizontal="center" vertical="center"/>
    </xf>
    <xf numFmtId="0" fontId="5" fillId="0" borderId="53" xfId="0" applyFont="1" applyBorder="1" applyAlignment="1">
      <alignment horizontal="center" vertical="center"/>
    </xf>
    <xf numFmtId="0" fontId="25" fillId="7" borderId="4" xfId="0" applyFont="1" applyFill="1" applyBorder="1" applyAlignment="1">
      <alignment horizontal="center" vertical="center"/>
    </xf>
    <xf numFmtId="0" fontId="25" fillId="7" borderId="72" xfId="0" applyFont="1" applyFill="1" applyBorder="1" applyAlignment="1">
      <alignment horizontal="center" vertical="center"/>
    </xf>
    <xf numFmtId="0" fontId="25" fillId="23" borderId="82" xfId="0" applyFont="1" applyFill="1" applyBorder="1" applyAlignment="1">
      <alignment horizontal="center" vertical="center"/>
    </xf>
    <xf numFmtId="0" fontId="25" fillId="0" borderId="73" xfId="0" applyFont="1" applyBorder="1" applyAlignment="1">
      <alignment horizontal="center" vertical="center"/>
    </xf>
    <xf numFmtId="0" fontId="25" fillId="7" borderId="9" xfId="0" applyFont="1" applyFill="1" applyBorder="1" applyAlignment="1">
      <alignment horizontal="center" vertical="center"/>
      <protection locked="0" hidden="0"/>
    </xf>
    <xf numFmtId="0" fontId="25" fillId="7" borderId="53" xfId="0" applyFont="1" applyFill="1" applyBorder="1" applyAlignment="1">
      <alignment horizontal="center" vertical="center"/>
      <protection locked="0" hidden="0"/>
    </xf>
    <xf numFmtId="0" fontId="5" fillId="0" borderId="74" xfId="0" applyFont="1" applyBorder="1" applyAlignment="1">
      <alignment horizontal="center" vertical="center"/>
    </xf>
    <xf numFmtId="0" fontId="5" fillId="0" borderId="71" xfId="0" applyFont="1" applyBorder="1" applyAlignment="1">
      <alignment horizontal="center" vertical="center"/>
    </xf>
    <xf numFmtId="0" fontId="5" fillId="0" borderId="73" xfId="0" applyFont="1" applyBorder="1" applyAlignment="1">
      <alignment horizontal="center" vertical="center"/>
    </xf>
    <xf numFmtId="0" fontId="26" fillId="0" borderId="0" xfId="0" applyFont="1" applyAlignment="1">
      <alignment horizontal="center" vertical="center" wrapText="1"/>
      <protection locked="0" hidden="0"/>
    </xf>
    <xf numFmtId="0" fontId="2" fillId="0" borderId="0" xfId="0" applyFont="1" applyAlignment="1">
      <alignment horizontal="center" vertical="center"/>
    </xf>
    <xf numFmtId="0" fontId="2" fillId="0" borderId="0" xfId="0" applyFont="1" applyAlignment="1">
      <alignment horizontal="center" vertical="center"/>
      <protection locked="0" hidden="0"/>
    </xf>
    <xf numFmtId="0" fontId="27" fillId="0" borderId="0" xfId="0" applyFont="1" applyAlignment="1">
      <alignment horizontal="center" vertical="center" wrapText="1"/>
      <protection locked="0" hidden="0"/>
    </xf>
    <xf numFmtId="0" fontId="19" fillId="4" borderId="5"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4" borderId="7" xfId="0" applyFont="1" applyFill="1" applyBorder="1" applyAlignment="1">
      <alignment horizontal="center" vertical="center" wrapText="1"/>
    </xf>
    <xf numFmtId="0" fontId="25" fillId="0" borderId="0" xfId="0" applyFont="1" applyAlignment="1">
      <alignment horizontal="center" vertical="center" wrapText="1"/>
      <protection locked="0" hidden="0"/>
    </xf>
    <xf numFmtId="0" fontId="25" fillId="0" borderId="0" xfId="0" applyFont="1" applyAlignment="1">
      <alignment horizontal="center" vertical="center" wrapText="1"/>
    </xf>
    <xf numFmtId="0" fontId="19" fillId="4" borderId="4"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2" fillId="0" borderId="10" xfId="0" applyFont="1" applyBorder="1" applyAlignment="1">
      <alignment horizontal="center" vertical="center"/>
      <protection locked="0" hidden="0"/>
    </xf>
    <xf numFmtId="0" fontId="5" fillId="0" borderId="11" xfId="0" applyFont="1" applyBorder="1" applyAlignment="1">
      <alignment horizontal="center" vertical="center"/>
      <protection locked="0" hidden="0"/>
    </xf>
    <xf numFmtId="0" fontId="25" fillId="24" borderId="11" xfId="0" applyFont="1" applyFill="1" applyBorder="1" applyAlignment="1">
      <alignment horizontal="center" vertical="center" wrapText="1"/>
    </xf>
    <xf numFmtId="0" fontId="28" fillId="25" borderId="11" xfId="0" applyFont="1" applyFill="1" applyBorder="1" applyAlignment="1">
      <alignment horizontal="center" vertical="center" wrapText="1"/>
    </xf>
    <xf numFmtId="0" fontId="25" fillId="0" borderId="60" xfId="0" applyFont="1" applyBorder="1" applyAlignment="1">
      <alignment horizontal="center" vertical="center" wrapText="1"/>
    </xf>
    <xf numFmtId="0" fontId="12" fillId="0" borderId="18"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6" xfId="0" applyFont="1" applyBorder="1" applyAlignment="1">
      <alignment horizontal="center" vertical="center" wrapText="1"/>
      <protection locked="0" hidden="0"/>
    </xf>
    <xf numFmtId="0" fontId="5" fillId="0" borderId="16" xfId="0" applyFont="1" applyBorder="1" applyAlignment="1">
      <alignment horizontal="center" vertical="center" wrapText="1"/>
    </xf>
    <xf numFmtId="0" fontId="5" fillId="0" borderId="16" xfId="0" applyFont="1" applyBorder="1" applyAlignment="1">
      <alignment horizontal="center" vertical="center"/>
      <protection locked="0" hidden="0"/>
    </xf>
    <xf numFmtId="0" fontId="5" fillId="4" borderId="16" xfId="0" applyFont="1" applyFill="1" applyBorder="1" applyAlignment="1">
      <alignment horizontal="center" vertical="center" wrapText="1"/>
    </xf>
    <xf numFmtId="0" fontId="5" fillId="0" borderId="19" xfId="0" applyFont="1" applyBorder="1" applyAlignment="1">
      <alignment horizontal="center" vertical="center" wrapText="1"/>
    </xf>
    <xf numFmtId="0" fontId="25" fillId="5" borderId="43" xfId="0" applyFont="1" applyFill="1" applyBorder="1" applyAlignment="1">
      <alignment horizontal="center" vertical="center" wrapText="1"/>
    </xf>
    <xf numFmtId="0" fontId="25" fillId="5" borderId="41" xfId="0" applyFont="1" applyFill="1" applyBorder="1" applyAlignment="1">
      <alignment horizontal="center" vertical="center" wrapText="1"/>
    </xf>
    <xf numFmtId="165" fontId="25" fillId="5" borderId="41" xfId="0" applyNumberFormat="1" applyFont="1" applyFill="1" applyBorder="1" applyAlignment="1">
      <alignment horizontal="center" vertical="center" wrapText="1"/>
    </xf>
    <xf numFmtId="165" fontId="25" fillId="14" borderId="41" xfId="0" applyNumberFormat="1" applyFont="1" applyFill="1" applyBorder="1" applyAlignment="1">
      <alignment horizontal="center" vertical="center" wrapText="1"/>
    </xf>
    <xf numFmtId="0" fontId="28" fillId="5" borderId="41" xfId="0" applyFont="1" applyFill="1" applyBorder="1" applyAlignment="1">
      <alignment horizontal="center" vertical="center" wrapText="1"/>
    </xf>
    <xf numFmtId="0" fontId="28" fillId="5" borderId="44" xfId="0" applyFont="1" applyFill="1" applyBorder="1" applyAlignment="1">
      <alignment horizontal="center" vertical="center" wrapText="1"/>
    </xf>
    <xf numFmtId="0" fontId="25" fillId="10" borderId="29" xfId="0" applyFont="1" applyFill="1" applyBorder="1" applyAlignment="1">
      <alignment horizontal="center" vertical="center" wrapText="1"/>
    </xf>
    <xf numFmtId="0" fontId="25" fillId="10" borderId="27" xfId="0" applyFont="1" applyFill="1" applyBorder="1" applyAlignment="1">
      <alignment horizontal="center" vertical="center" wrapText="1"/>
    </xf>
    <xf numFmtId="165" fontId="25" fillId="10" borderId="27" xfId="0" applyNumberFormat="1" applyFont="1" applyFill="1" applyBorder="1" applyAlignment="1">
      <alignment horizontal="center" vertical="center" wrapText="1"/>
    </xf>
    <xf numFmtId="165" fontId="25" fillId="14" borderId="27" xfId="0" applyNumberFormat="1" applyFont="1" applyFill="1" applyBorder="1" applyAlignment="1">
      <alignment horizontal="center" vertical="center" wrapText="1"/>
    </xf>
    <xf numFmtId="0" fontId="28" fillId="10" borderId="27" xfId="0" applyFont="1" applyFill="1" applyBorder="1" applyAlignment="1">
      <alignment horizontal="center" vertical="center" wrapText="1"/>
    </xf>
    <xf numFmtId="0" fontId="28" fillId="10" borderId="30" xfId="0" applyFont="1" applyFill="1" applyBorder="1" applyAlignment="1">
      <alignment horizontal="center" vertical="center" wrapText="1"/>
    </xf>
    <xf numFmtId="0" fontId="29" fillId="0" borderId="0" xfId="0" applyFont="1" applyAlignment="1">
      <alignment horizontal="center" vertical="center"/>
      <protection locked="0" hidden="0"/>
    </xf>
    <xf numFmtId="0" fontId="26" fillId="0" borderId="0" xfId="0" applyFont="1" applyAlignment="1">
      <alignment horizontal="center" vertical="center" wrapText="1"/>
    </xf>
    <xf numFmtId="0" fontId="30" fillId="0" borderId="0" xfId="0" applyFont="1" applyAlignment="1">
      <alignment horizontal="center" vertical="center" wrapText="1"/>
    </xf>
    <xf numFmtId="0" fontId="1" fillId="0" borderId="0" xfId="0"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xf numFmtId="0" fontId="2" fillId="14" borderId="0" xfId="0" applyFont="1" applyFill="1">
      <alignment vertical="center"/>
    </xf>
    <xf numFmtId="0" fontId="2" fillId="8" borderId="0" xfId="0" applyFont="1" applyFill="1">
      <alignment vertical="center"/>
      <protection locked="0" hidden="0"/>
    </xf>
    <xf numFmtId="0" fontId="3" fillId="8" borderId="0" xfId="0" applyFont="1" applyFill="1">
      <alignment vertical="center"/>
      <protection locked="0" hidden="0"/>
    </xf>
    <xf numFmtId="0" fontId="2" fillId="9" borderId="0" xfId="0" applyFont="1" applyFill="1">
      <alignment vertical="center"/>
      <protection locked="0" hidden="0"/>
    </xf>
    <xf numFmtId="0" fontId="3" fillId="9" borderId="0" xfId="0" applyFont="1" applyFill="1">
      <alignment vertical="center"/>
      <protection locked="0" hidden="0"/>
    </xf>
    <xf numFmtId="0" fontId="2" fillId="26" borderId="0" xfId="0" applyFont="1" applyFill="1">
      <alignment vertical="center"/>
      <protection locked="0" hidden="0"/>
    </xf>
    <xf numFmtId="0" fontId="3" fillId="26" borderId="0" xfId="0" applyFont="1" applyFill="1">
      <alignment vertical="center"/>
      <protection locked="0" hidden="0"/>
    </xf>
    <xf numFmtId="0" fontId="3" fillId="14" borderId="0" xfId="0" applyFont="1" applyFill="1" applyAlignment="1">
      <alignment horizontal="left" vertical="center" wrapText="1"/>
      <protection locked="0" hidden="0"/>
    </xf>
    <xf numFmtId="0" fontId="3" fillId="0" borderId="0" xfId="0" applyFont="1">
      <alignment vertical="center"/>
      <protection locked="0" hidden="0"/>
    </xf>
    <xf numFmtId="0" fontId="2" fillId="14" borderId="0" xfId="0" applyFont="1" applyFill="1" applyAlignment="1">
      <alignment horizontal="center" vertical="center" wrapText="1"/>
    </xf>
    <xf numFmtId="0" fontId="33" fillId="0" borderId="0" xfId="0" applyFont="1">
      <alignment vertical="center"/>
      <protection locked="0" hidden="0"/>
    </xf>
    <xf numFmtId="0" fontId="2" fillId="14" borderId="0" xfId="0" applyFont="1" applyFill="1" applyAlignment="1">
      <alignment horizontal="center" vertical="center"/>
    </xf>
    <xf numFmtId="0" fontId="2" fillId="8" borderId="0" xfId="0" applyFont="1" applyFill="1">
      <alignment vertical="center"/>
    </xf>
    <xf numFmtId="0" fontId="3" fillId="8" borderId="0" xfId="0" applyFont="1" applyFill="1">
      <alignment vertical="center"/>
    </xf>
    <xf numFmtId="0" fontId="2" fillId="9" borderId="0" xfId="0" applyFont="1" applyFill="1">
      <alignment vertical="center"/>
    </xf>
    <xf numFmtId="0" fontId="3" fillId="9" borderId="0" xfId="0" applyFont="1" applyFill="1">
      <alignment vertical="center"/>
    </xf>
    <xf numFmtId="0" fontId="2" fillId="27" borderId="0" xfId="0" applyFont="1" applyFill="1">
      <alignment vertical="center"/>
    </xf>
    <xf numFmtId="0" fontId="3" fillId="27" borderId="0" xfId="0" applyFont="1" applyFill="1">
      <alignment vertical="center"/>
    </xf>
    <xf numFmtId="0" fontId="2" fillId="16" borderId="0" xfId="0" applyFont="1" applyFill="1">
      <alignment vertical="center"/>
    </xf>
    <xf numFmtId="0" fontId="3" fillId="16" borderId="0" xfId="0" applyFont="1" applyFill="1">
      <alignment vertical="center"/>
    </xf>
    <xf numFmtId="0" fontId="2" fillId="10" borderId="0" xfId="0" applyFont="1" applyFill="1">
      <alignment vertical="center"/>
    </xf>
    <xf numFmtId="0" fontId="3" fillId="10" borderId="0" xfId="0" applyFont="1" applyFill="1">
      <alignment vertical="center"/>
    </xf>
    <xf numFmtId="0" fontId="2" fillId="28" borderId="0" xfId="0" applyFont="1" applyFill="1">
      <alignment vertical="center"/>
    </xf>
    <xf numFmtId="0" fontId="3" fillId="28" borderId="0" xfId="0" applyFont="1" applyFill="1">
      <alignment vertical="center"/>
    </xf>
    <xf numFmtId="0" fontId="2" fillId="0" borderId="1" xfId="0" applyFont="1" applyBorder="1">
      <alignment vertical="center"/>
      <protection locked="0" hidden="0"/>
    </xf>
    <xf numFmtId="0" fontId="2" fillId="6" borderId="68" xfId="0" applyFont="1" applyFill="1" applyBorder="1">
      <alignment vertical="center"/>
      <protection locked="0" hidden="0"/>
    </xf>
    <xf numFmtId="0" fontId="2" fillId="6" borderId="69" xfId="0" applyFont="1" applyFill="1" applyBorder="1">
      <alignment vertical="center"/>
      <protection locked="0" hidden="0"/>
    </xf>
    <xf numFmtId="0" fontId="2" fillId="6" borderId="70" xfId="0" applyFont="1" applyFill="1" applyBorder="1">
      <alignment vertical="center"/>
      <protection locked="0" hidden="0"/>
    </xf>
    <xf numFmtId="0" fontId="34" fillId="12" borderId="3" xfId="0" applyFont="1" applyFill="1" applyBorder="1" applyAlignment="1">
      <alignment horizontal="center" vertical="center"/>
    </xf>
    <xf numFmtId="0" fontId="2" fillId="11" borderId="68" xfId="0" applyFont="1" applyFill="1" applyBorder="1">
      <alignment vertical="center"/>
      <protection locked="0" hidden="0"/>
    </xf>
    <xf numFmtId="0" fontId="2" fillId="11" borderId="69" xfId="0" applyFont="1" applyFill="1" applyBorder="1">
      <alignment vertical="center"/>
      <protection locked="0" hidden="0"/>
    </xf>
    <xf numFmtId="0" fontId="2" fillId="11" borderId="70" xfId="0" applyFont="1" applyFill="1" applyBorder="1">
      <alignment vertical="center"/>
      <protection locked="0" hidden="0"/>
    </xf>
    <xf numFmtId="0" fontId="34" fillId="13" borderId="3" xfId="0" applyFont="1" applyFill="1" applyBorder="1" applyAlignment="1">
      <alignment horizontal="center" vertical="center"/>
    </xf>
    <xf numFmtId="0" fontId="2" fillId="7" borderId="68" xfId="0" applyFont="1" applyFill="1" applyBorder="1">
      <alignment vertical="center"/>
      <protection locked="0" hidden="0"/>
    </xf>
    <xf numFmtId="0" fontId="2" fillId="7" borderId="69" xfId="0" applyFont="1" applyFill="1" applyBorder="1">
      <alignment vertical="center"/>
      <protection locked="0" hidden="0"/>
    </xf>
    <xf numFmtId="0" fontId="2" fillId="7" borderId="70" xfId="0" applyFont="1" applyFill="1" applyBorder="1">
      <alignment vertical="center"/>
      <protection locked="0" hidden="0"/>
    </xf>
    <xf numFmtId="0" fontId="34" fillId="25" borderId="3" xfId="0" applyFont="1" applyFill="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2" fillId="0" borderId="6" xfId="0" applyFont="1" applyBorder="1">
      <alignment vertical="center"/>
      <protection locked="0" hidden="0"/>
    </xf>
    <xf numFmtId="0" fontId="2" fillId="0" borderId="7" xfId="0" applyFont="1" applyBorder="1">
      <alignment vertical="center"/>
      <protection locked="0" hidden="0"/>
    </xf>
    <xf numFmtId="166" fontId="2" fillId="0" borderId="0" xfId="0" applyNumberFormat="1" applyFont="1">
      <alignment vertical="center"/>
      <protection locked="0" hidden="0"/>
    </xf>
    <xf numFmtId="0" fontId="31" fillId="0" borderId="67" xfId="0" applyFont="1" applyBorder="1" applyAlignment="1">
      <alignment horizontal="center" vertical="center"/>
    </xf>
    <xf numFmtId="0" fontId="2" fillId="0" borderId="83" xfId="0" applyFont="1" applyBorder="1">
      <alignment vertical="center"/>
      <protection locked="0" hidden="0"/>
    </xf>
    <xf numFmtId="0" fontId="2" fillId="5" borderId="18" xfId="0" applyFont="1" applyFill="1" applyBorder="1">
      <alignment vertical="center"/>
    </xf>
    <xf numFmtId="0" fontId="35" fillId="5" borderId="16" xfId="1" applyFill="1" applyBorder="1">
      <alignment vertical="center"/>
    </xf>
    <xf numFmtId="0" fontId="35" fillId="5" borderId="19" xfId="1" applyFill="1" applyBorder="1">
      <alignment vertical="center"/>
    </xf>
    <xf numFmtId="166" fontId="2" fillId="6" borderId="7" xfId="0" applyNumberFormat="1" applyFont="1" applyFill="1" applyBorder="1">
      <alignment vertical="center"/>
      <protection locked="0" hidden="0"/>
    </xf>
    <xf numFmtId="0" fontId="2" fillId="5" borderId="43" xfId="0" applyFont="1" applyFill="1" applyBorder="1">
      <alignment vertical="center"/>
    </xf>
    <xf numFmtId="166" fontId="2" fillId="0" borderId="41" xfId="0" applyNumberFormat="1" applyFont="1" applyBorder="1">
      <alignment vertical="center"/>
      <protection locked="0" hidden="0"/>
    </xf>
    <xf numFmtId="166" fontId="2" fillId="0" borderId="44" xfId="0" applyNumberFormat="1" applyFont="1" applyBorder="1">
      <alignment vertical="center"/>
      <protection locked="0" hidden="0"/>
    </xf>
    <xf numFmtId="0" fontId="2" fillId="6" borderId="24" xfId="0" applyFont="1" applyFill="1" applyBorder="1">
      <alignment vertical="center"/>
      <protection locked="0" hidden="0"/>
    </xf>
    <xf numFmtId="0" fontId="34" fillId="12" borderId="7" xfId="0" applyFont="1" applyFill="1" applyBorder="1" applyAlignment="1">
      <alignment horizontal="center" vertical="center"/>
    </xf>
    <xf numFmtId="0" fontId="2" fillId="5" borderId="51" xfId="0" applyFont="1" applyFill="1" applyBorder="1">
      <alignment vertical="center"/>
    </xf>
    <xf numFmtId="166" fontId="2" fillId="0" borderId="49" xfId="0" applyNumberFormat="1" applyFont="1" applyBorder="1">
      <alignment vertical="center"/>
      <protection locked="0" hidden="0"/>
    </xf>
    <xf numFmtId="166" fontId="2" fillId="0" borderId="52" xfId="0" applyNumberFormat="1" applyFont="1" applyBorder="1">
      <alignment vertical="center"/>
      <protection locked="0" hidden="0"/>
    </xf>
    <xf numFmtId="0" fontId="34" fillId="12" borderId="9" xfId="0" applyFont="1" applyFill="1" applyBorder="1" applyAlignment="1">
      <alignment horizontal="center" vertical="center"/>
    </xf>
    <xf numFmtId="0" fontId="2" fillId="10" borderId="18" xfId="0" applyFont="1" applyFill="1" applyBorder="1">
      <alignment vertical="center"/>
    </xf>
    <xf numFmtId="166" fontId="2" fillId="0" borderId="16" xfId="0" applyNumberFormat="1" applyFont="1" applyBorder="1">
      <alignment vertical="center"/>
      <protection locked="0" hidden="0"/>
    </xf>
    <xf numFmtId="166" fontId="2" fillId="0" borderId="19" xfId="0" applyNumberFormat="1" applyFont="1" applyBorder="1">
      <alignment vertical="center"/>
      <protection locked="0" hidden="0"/>
    </xf>
    <xf numFmtId="0" fontId="2" fillId="11" borderId="7" xfId="0" applyFont="1" applyFill="1" applyBorder="1">
      <alignment vertical="center"/>
      <protection locked="0" hidden="0"/>
    </xf>
    <xf numFmtId="0" fontId="2" fillId="10" borderId="43" xfId="0" applyFont="1" applyFill="1" applyBorder="1">
      <alignment vertical="center"/>
    </xf>
    <xf numFmtId="166" fontId="2" fillId="11" borderId="24" xfId="0" applyNumberFormat="1" applyFont="1" applyFill="1" applyBorder="1">
      <alignment vertical="center"/>
      <protection locked="0" hidden="0"/>
    </xf>
    <xf numFmtId="0" fontId="2" fillId="0" borderId="0" xfId="0" applyFont="1" applyAlignment="1">
      <alignment horizontal="center" vertical="center" textRotation="255"/>
    </xf>
    <xf numFmtId="0" fontId="34" fillId="13" borderId="7" xfId="0" applyFont="1" applyFill="1" applyBorder="1" applyAlignment="1">
      <alignment horizontal="center" vertical="center"/>
    </xf>
    <xf numFmtId="0" fontId="2" fillId="10" borderId="29" xfId="0" applyFont="1" applyFill="1" applyBorder="1">
      <alignment vertical="center"/>
    </xf>
    <xf numFmtId="166" fontId="2" fillId="0" borderId="27" xfId="0" applyNumberFormat="1" applyFont="1" applyBorder="1">
      <alignment vertical="center"/>
      <protection locked="0" hidden="0"/>
    </xf>
    <xf numFmtId="166" fontId="2" fillId="0" borderId="30" xfId="0" applyNumberFormat="1" applyFont="1" applyBorder="1">
      <alignment vertical="center"/>
      <protection locked="0" hidden="0"/>
    </xf>
    <xf numFmtId="0" fontId="34" fillId="13" borderId="9" xfId="0" applyFont="1" applyFill="1" applyBorder="1" applyAlignment="1">
      <alignment horizontal="center" vertical="center"/>
    </xf>
    <xf numFmtId="0" fontId="2" fillId="28" borderId="18" xfId="0" applyFont="1" applyFill="1" applyBorder="1">
      <alignment vertical="center"/>
    </xf>
    <xf numFmtId="166" fontId="2" fillId="7" borderId="84" xfId="0" applyNumberFormat="1" applyFont="1" applyFill="1" applyBorder="1">
      <alignment vertical="center"/>
      <protection locked="0" hidden="0"/>
    </xf>
    <xf numFmtId="0" fontId="2" fillId="28" borderId="43" xfId="0" applyFont="1" applyFill="1" applyBorder="1">
      <alignment vertical="center"/>
    </xf>
    <xf numFmtId="166" fontId="2" fillId="7" borderId="85" xfId="0" applyNumberFormat="1" applyFont="1" applyFill="1" applyBorder="1">
      <alignment vertical="center"/>
      <protection locked="0" hidden="0"/>
    </xf>
    <xf numFmtId="0" fontId="36" fillId="0" borderId="0" xfId="0" applyFont="1" applyAlignment="1">
      <alignment horizontal="center" vertical="center" wrapText="1"/>
    </xf>
    <xf numFmtId="0" fontId="34" fillId="25" borderId="7" xfId="0" applyFont="1" applyFill="1" applyBorder="1" applyAlignment="1">
      <alignment horizontal="center" vertical="center"/>
    </xf>
    <xf numFmtId="0" fontId="2" fillId="28" borderId="29" xfId="0" applyFont="1" applyFill="1" applyBorder="1">
      <alignment vertical="center"/>
    </xf>
    <xf numFmtId="166" fontId="2" fillId="7" borderId="24" xfId="0" applyNumberFormat="1" applyFont="1" applyFill="1" applyBorder="1">
      <alignment vertical="center"/>
      <protection locked="0" hidden="0"/>
    </xf>
    <xf numFmtId="0" fontId="34" fillId="25" borderId="9" xfId="0" applyFont="1" applyFill="1" applyBorder="1" applyAlignment="1">
      <alignment horizontal="center" vertical="center"/>
    </xf>
    <xf numFmtId="0" fontId="2" fillId="0" borderId="67" xfId="0" applyFont="1" applyBorder="1">
      <alignment vertical="center"/>
    </xf>
    <xf numFmtId="0" fontId="2" fillId="9" borderId="5" xfId="0" applyFont="1" applyFill="1" applyBorder="1">
      <alignment vertical="center"/>
    </xf>
    <xf numFmtId="0" fontId="2" fillId="9" borderId="6" xfId="0" applyFont="1" applyFill="1" applyBorder="1">
      <alignment vertical="center"/>
    </xf>
    <xf numFmtId="0" fontId="3" fillId="9" borderId="7" xfId="0" applyFont="1" applyFill="1" applyBorder="1">
      <alignment vertical="center"/>
    </xf>
    <xf numFmtId="0" fontId="2" fillId="27" borderId="5" xfId="0" applyFont="1" applyFill="1" applyBorder="1">
      <alignment vertical="center"/>
    </xf>
    <xf numFmtId="0" fontId="2" fillId="27" borderId="6" xfId="0" applyFont="1" applyFill="1" applyBorder="1">
      <alignment vertical="center"/>
    </xf>
    <xf numFmtId="0" fontId="3" fillId="27" borderId="7" xfId="0" applyFont="1" applyFill="1" applyBorder="1">
      <alignment vertical="center"/>
    </xf>
    <xf numFmtId="0" fontId="2" fillId="5" borderId="0" xfId="0" applyFont="1" applyFill="1">
      <alignment vertical="center"/>
    </xf>
    <xf numFmtId="0" fontId="2" fillId="10" borderId="67" xfId="0" applyFont="1" applyFill="1" applyBorder="1">
      <alignment vertical="center"/>
    </xf>
    <xf numFmtId="0" fontId="2" fillId="10" borderId="83" xfId="0" applyFont="1" applyFill="1" applyBorder="1">
      <alignment vertical="center"/>
    </xf>
    <xf numFmtId="0" fontId="2" fillId="28" borderId="67" xfId="0" applyFont="1" applyFill="1" applyBorder="1">
      <alignment vertical="center"/>
    </xf>
    <xf numFmtId="0" fontId="2" fillId="28" borderId="83" xfId="0" applyFont="1" applyFill="1" applyBorder="1">
      <alignment vertical="center"/>
    </xf>
    <xf numFmtId="0" fontId="2" fillId="14" borderId="67" xfId="0" applyFont="1" applyFill="1" applyBorder="1" applyAlignment="1">
      <alignment horizontal="center" vertical="center"/>
    </xf>
    <xf numFmtId="0" fontId="2" fillId="9" borderId="67" xfId="0" applyFont="1" applyFill="1" applyBorder="1">
      <alignment vertical="center"/>
    </xf>
    <xf numFmtId="0" fontId="3" fillId="9" borderId="83" xfId="0" applyFont="1" applyFill="1" applyBorder="1">
      <alignment vertical="center"/>
    </xf>
    <xf numFmtId="0" fontId="2" fillId="27" borderId="67" xfId="0" applyFont="1" applyFill="1" applyBorder="1">
      <alignment vertical="center"/>
    </xf>
    <xf numFmtId="0" fontId="3" fillId="27" borderId="83" xfId="0" applyFont="1" applyFill="1" applyBorder="1">
      <alignment vertical="center"/>
    </xf>
    <xf numFmtId="0" fontId="2" fillId="0" borderId="67" xfId="0" applyFont="1" applyBorder="1" applyAlignment="1">
      <alignment horizontal="center" vertical="center"/>
    </xf>
    <xf numFmtId="0" fontId="3" fillId="10" borderId="83" xfId="0" applyFont="1" applyFill="1" applyBorder="1">
      <alignment vertical="center"/>
    </xf>
    <xf numFmtId="0" fontId="3" fillId="28" borderId="83" xfId="0" applyFont="1" applyFill="1" applyBorder="1">
      <alignment vertical="center"/>
    </xf>
    <xf numFmtId="0" fontId="2" fillId="0" borderId="4" xfId="0" applyFont="1" applyBorder="1" applyAlignment="1">
      <alignment horizontal="center" vertical="center"/>
    </xf>
    <xf numFmtId="0" fontId="2" fillId="8" borderId="8" xfId="0" applyFont="1" applyFill="1" applyBorder="1">
      <alignment vertical="center"/>
    </xf>
    <xf numFmtId="0" fontId="3" fillId="8" borderId="8" xfId="0" applyFont="1" applyFill="1" applyBorder="1">
      <alignment vertical="center"/>
    </xf>
    <xf numFmtId="0" fontId="2" fillId="9" borderId="4" xfId="0" applyFont="1" applyFill="1" applyBorder="1">
      <alignment vertical="center"/>
    </xf>
    <xf numFmtId="0" fontId="2" fillId="9" borderId="8" xfId="0" applyFont="1" applyFill="1" applyBorder="1">
      <alignment vertical="center"/>
    </xf>
    <xf numFmtId="0" fontId="3" fillId="9" borderId="9" xfId="0" applyFont="1" applyFill="1" applyBorder="1">
      <alignment vertical="center"/>
    </xf>
    <xf numFmtId="0" fontId="2" fillId="27" borderId="4" xfId="0" applyFont="1" applyFill="1" applyBorder="1">
      <alignment vertical="center"/>
    </xf>
    <xf numFmtId="0" fontId="2" fillId="27" borderId="8" xfId="0" applyFont="1" applyFill="1" applyBorder="1">
      <alignment vertical="center"/>
    </xf>
    <xf numFmtId="0" fontId="3" fillId="27" borderId="9" xfId="0" applyFont="1" applyFill="1" applyBorder="1">
      <alignment vertical="center"/>
    </xf>
    <xf numFmtId="0" fontId="37" fillId="0" borderId="0" xfId="0" applyFont="1" applyAlignment="1">
      <alignment horizontal="center" vertical="center"/>
    </xf>
    <xf numFmtId="0" fontId="3" fillId="23" borderId="0" xfId="0" applyFont="1" applyFill="1">
      <alignment vertical="center"/>
    </xf>
    <xf numFmtId="0" fontId="3" fillId="5" borderId="49" xfId="0" applyFont="1" applyFill="1" applyBorder="1">
      <alignment vertical="center"/>
    </xf>
    <xf numFmtId="0" fontId="38" fillId="14" borderId="49" xfId="0" applyFont="1" applyFill="1" applyBorder="1">
      <alignment vertical="center"/>
      <protection locked="0" hidden="0"/>
    </xf>
    <xf numFmtId="0" fontId="3" fillId="15" borderId="2" xfId="0" applyFont="1" applyFill="1" applyBorder="1">
      <alignment vertical="center"/>
    </xf>
    <xf numFmtId="0" fontId="3" fillId="15" borderId="13" xfId="0" applyFont="1" applyFill="1" applyBorder="1">
      <alignment vertical="center"/>
    </xf>
    <xf numFmtId="0" fontId="2" fillId="5" borderId="16" xfId="0" applyFont="1" applyFill="1" applyBorder="1">
      <alignment vertical="center"/>
    </xf>
    <xf numFmtId="0" fontId="39" fillId="5" borderId="36" xfId="0" applyFont="1" applyFill="1" applyBorder="1" applyAlignment="1">
      <alignment horizontal="center" vertical="center"/>
    </xf>
    <xf numFmtId="0" fontId="2" fillId="5" borderId="44" xfId="0" applyFont="1" applyFill="1" applyBorder="1">
      <alignment vertical="center"/>
    </xf>
    <xf numFmtId="0" fontId="3" fillId="5" borderId="41" xfId="0" applyFont="1" applyFill="1" applyBorder="1">
      <alignment vertical="center"/>
      <protection locked="0" hidden="0"/>
    </xf>
    <xf numFmtId="0" fontId="2" fillId="5" borderId="41" xfId="0" applyFont="1" applyFill="1" applyBorder="1">
      <alignment vertical="center"/>
    </xf>
    <xf numFmtId="0" fontId="2" fillId="0" borderId="44" xfId="0" applyFont="1" applyBorder="1">
      <alignment vertical="center"/>
      <protection locked="0" hidden="0"/>
    </xf>
    <xf numFmtId="0" fontId="2" fillId="0" borderId="86" xfId="0" applyFont="1" applyBorder="1">
      <alignment vertical="center"/>
      <protection locked="0" hidden="0"/>
    </xf>
    <xf numFmtId="0" fontId="39" fillId="5" borderId="44" xfId="0" applyFont="1" applyFill="1" applyBorder="1" applyAlignment="1">
      <alignment horizontal="center" vertical="center"/>
    </xf>
    <xf numFmtId="166" fontId="2" fillId="5" borderId="41" xfId="0" applyNumberFormat="1" applyFont="1" applyFill="1" applyBorder="1">
      <alignment vertical="center"/>
      <protection locked="0" hidden="0"/>
    </xf>
    <xf numFmtId="0" fontId="2" fillId="0" borderId="44" xfId="0" applyFont="1" applyBorder="1">
      <alignment vertical="center"/>
    </xf>
    <xf numFmtId="0" fontId="2" fillId="0" borderId="86" xfId="0" applyFont="1" applyBorder="1">
      <alignment vertical="center"/>
    </xf>
    <xf numFmtId="0" fontId="2" fillId="5" borderId="74" xfId="0" applyFont="1" applyFill="1" applyBorder="1">
      <alignment vertical="center"/>
    </xf>
    <xf numFmtId="166" fontId="2" fillId="5" borderId="71" xfId="0" applyNumberFormat="1" applyFont="1" applyFill="1" applyBorder="1">
      <alignment vertical="center"/>
      <protection locked="0" hidden="0"/>
    </xf>
    <xf numFmtId="166" fontId="2" fillId="0" borderId="71" xfId="0" applyNumberFormat="1" applyFont="1" applyBorder="1">
      <alignment vertical="center"/>
      <protection locked="0" hidden="0"/>
    </xf>
    <xf numFmtId="166" fontId="2" fillId="0" borderId="8" xfId="0" applyNumberFormat="1" applyFont="1" applyBorder="1">
      <alignment vertical="center"/>
      <protection locked="0" hidden="0"/>
    </xf>
    <xf numFmtId="0" fontId="2" fillId="0" borderId="52" xfId="0" applyFont="1" applyBorder="1">
      <alignment vertical="center"/>
    </xf>
    <xf numFmtId="0" fontId="2" fillId="0" borderId="87" xfId="0" applyFont="1" applyBorder="1">
      <alignment vertical="center"/>
    </xf>
    <xf numFmtId="0" fontId="3" fillId="10" borderId="59" xfId="0" applyFont="1" applyFill="1" applyBorder="1">
      <alignment vertical="center"/>
    </xf>
    <xf numFmtId="0" fontId="3" fillId="10" borderId="80" xfId="0" applyFont="1" applyFill="1" applyBorder="1">
      <alignment vertical="center"/>
    </xf>
    <xf numFmtId="0" fontId="3" fillId="10" borderId="14" xfId="0" applyFont="1" applyFill="1" applyBorder="1">
      <alignment vertical="center"/>
    </xf>
    <xf numFmtId="0" fontId="2" fillId="10" borderId="16" xfId="0" applyFont="1" applyFill="1" applyBorder="1">
      <alignment vertical="center"/>
    </xf>
    <xf numFmtId="0" fontId="39" fillId="10" borderId="36" xfId="0" applyFont="1" applyFill="1" applyBorder="1" applyAlignment="1">
      <alignment horizontal="center" vertical="center"/>
    </xf>
    <xf numFmtId="0" fontId="2" fillId="10" borderId="44" xfId="0" applyFont="1" applyFill="1" applyBorder="1">
      <alignment vertical="center"/>
    </xf>
    <xf numFmtId="0" fontId="3" fillId="10" borderId="41" xfId="0" applyFont="1" applyFill="1" applyBorder="1">
      <alignment vertical="center"/>
      <protection locked="0" hidden="0"/>
    </xf>
    <xf numFmtId="166" fontId="2" fillId="10" borderId="41" xfId="0" applyNumberFormat="1" applyFont="1" applyFill="1" applyBorder="1">
      <alignment vertical="center"/>
    </xf>
    <xf numFmtId="0" fontId="2" fillId="10" borderId="41" xfId="0" applyFont="1" applyFill="1" applyBorder="1">
      <alignment vertical="center"/>
    </xf>
    <xf numFmtId="0" fontId="39" fillId="10" borderId="44" xfId="0" applyFont="1" applyFill="1" applyBorder="1" applyAlignment="1">
      <alignment horizontal="center" vertical="center"/>
    </xf>
    <xf numFmtId="0" fontId="2" fillId="10" borderId="51" xfId="0" applyFont="1" applyFill="1" applyBorder="1">
      <alignment vertical="center"/>
    </xf>
    <xf numFmtId="166" fontId="2" fillId="10" borderId="49" xfId="0" applyNumberFormat="1" applyFont="1" applyFill="1" applyBorder="1">
      <alignment vertical="center"/>
    </xf>
    <xf numFmtId="0" fontId="2" fillId="0" borderId="87" xfId="0" applyFont="1" applyBorder="1">
      <alignment vertical="center"/>
      <protection locked="0" hidden="0"/>
    </xf>
    <xf numFmtId="0" fontId="3" fillId="28" borderId="68" xfId="0" applyFont="1" applyFill="1" applyBorder="1">
      <alignment vertical="center"/>
    </xf>
    <xf numFmtId="0" fontId="3" fillId="28" borderId="69" xfId="0" applyFont="1" applyFill="1" applyBorder="1">
      <alignment vertical="center"/>
    </xf>
    <xf numFmtId="0" fontId="3" fillId="7" borderId="69" xfId="0" applyFont="1" applyFill="1" applyBorder="1">
      <alignment vertical="center"/>
    </xf>
    <xf numFmtId="0" fontId="3" fillId="7" borderId="80" xfId="0" applyFont="1" applyFill="1" applyBorder="1">
      <alignment vertical="center"/>
    </xf>
    <xf numFmtId="0" fontId="3" fillId="7" borderId="13" xfId="0" applyFont="1" applyFill="1" applyBorder="1">
      <alignment vertical="center"/>
    </xf>
    <xf numFmtId="0" fontId="2" fillId="28" borderId="35" xfId="0" applyFont="1" applyFill="1" applyBorder="1">
      <alignment vertical="center"/>
    </xf>
    <xf numFmtId="0" fontId="2" fillId="28" borderId="33" xfId="0" applyFont="1" applyFill="1" applyBorder="1">
      <alignment vertical="center"/>
    </xf>
    <xf numFmtId="0" fontId="39" fillId="7" borderId="36" xfId="0" applyFont="1" applyFill="1" applyBorder="1" applyAlignment="1">
      <alignment horizontal="center" vertical="center"/>
    </xf>
    <xf numFmtId="0" fontId="2" fillId="7" borderId="44" xfId="0" applyFont="1" applyFill="1" applyBorder="1">
      <alignment vertical="center"/>
    </xf>
    <xf numFmtId="0" fontId="3" fillId="7" borderId="41" xfId="0" applyFont="1" applyFill="1" applyBorder="1">
      <alignment vertical="center"/>
      <protection locked="0" hidden="0"/>
    </xf>
    <xf numFmtId="166" fontId="2" fillId="28" borderId="41" xfId="0" applyNumberFormat="1" applyFont="1" applyFill="1" applyBorder="1">
      <alignment vertical="center"/>
    </xf>
    <xf numFmtId="0" fontId="2" fillId="28" borderId="41" xfId="0" applyFont="1" applyFill="1" applyBorder="1">
      <alignment vertical="center"/>
    </xf>
    <xf numFmtId="0" fontId="39" fillId="7" borderId="44" xfId="0" applyFont="1" applyFill="1" applyBorder="1" applyAlignment="1">
      <alignment horizontal="center" vertical="center"/>
    </xf>
    <xf numFmtId="0" fontId="2" fillId="0" borderId="41" xfId="0" applyFont="1" applyBorder="1">
      <alignment vertical="center"/>
      <protection locked="0" hidden="0"/>
    </xf>
    <xf numFmtId="0" fontId="2" fillId="28" borderId="51" xfId="0" applyFont="1" applyFill="1" applyBorder="1">
      <alignment vertical="center"/>
    </xf>
    <xf numFmtId="166" fontId="2" fillId="28" borderId="49" xfId="0" applyNumberFormat="1" applyFont="1" applyFill="1" applyBorder="1">
      <alignment vertical="center"/>
    </xf>
    <xf numFmtId="0" fontId="2" fillId="0" borderId="49" xfId="0" applyFont="1" applyBorder="1">
      <alignment vertical="center"/>
      <protection locked="0" hidden="0"/>
    </xf>
    <xf numFmtId="0" fontId="2" fillId="0" borderId="65" xfId="0" applyFont="1" applyBorder="1">
      <alignment vertical="center"/>
      <protection locked="0" hidden="0"/>
    </xf>
    <xf numFmtId="0" fontId="3" fillId="8" borderId="14" xfId="0" applyFont="1" applyFill="1" applyBorder="1">
      <alignment vertical="center"/>
      <protection locked="0" hidden="0"/>
    </xf>
    <xf numFmtId="0" fontId="40" fillId="5" borderId="15" xfId="0" applyFont="1" applyFill="1" applyBorder="1">
      <alignment vertical="center"/>
    </xf>
    <xf numFmtId="0" fontId="40" fillId="5" borderId="16" xfId="0" applyFont="1" applyFill="1" applyBorder="1">
      <alignment vertical="center"/>
    </xf>
    <xf numFmtId="0" fontId="40" fillId="5" borderId="17" xfId="0" applyFont="1" applyFill="1" applyBorder="1">
      <alignment vertical="center"/>
    </xf>
    <xf numFmtId="0" fontId="41" fillId="5" borderId="53" xfId="0" applyFont="1" applyFill="1" applyBorder="1">
      <alignment vertical="center"/>
    </xf>
    <xf numFmtId="0" fontId="3" fillId="9" borderId="25" xfId="0" applyFont="1" applyFill="1" applyBorder="1">
      <alignment vertical="center"/>
      <protection locked="0" hidden="0"/>
    </xf>
    <xf numFmtId="0" fontId="40" fillId="10" borderId="40" xfId="0" applyFont="1" applyFill="1" applyBorder="1">
      <alignment vertical="center"/>
    </xf>
    <xf numFmtId="0" fontId="40" fillId="10" borderId="41" xfId="0" applyFont="1" applyFill="1" applyBorder="1">
      <alignment vertical="center"/>
    </xf>
    <xf numFmtId="0" fontId="40" fillId="10" borderId="42" xfId="0" applyFont="1" applyFill="1" applyBorder="1">
      <alignment vertical="center"/>
    </xf>
    <xf numFmtId="0" fontId="41" fillId="10" borderId="53" xfId="0" applyFont="1" applyFill="1" applyBorder="1">
      <alignment vertical="center"/>
    </xf>
    <xf numFmtId="0" fontId="3" fillId="25" borderId="25" xfId="0" applyFont="1" applyFill="1" applyBorder="1">
      <alignment vertical="center"/>
      <protection locked="0" hidden="0"/>
    </xf>
    <xf numFmtId="0" fontId="40" fillId="28" borderId="26" xfId="0" applyFont="1" applyFill="1" applyBorder="1">
      <alignment vertical="center"/>
    </xf>
    <xf numFmtId="0" fontId="40" fillId="28" borderId="27" xfId="0" applyFont="1" applyFill="1" applyBorder="1">
      <alignment vertical="center"/>
    </xf>
    <xf numFmtId="0" fontId="40" fillId="28" borderId="28" xfId="0" applyFont="1" applyFill="1" applyBorder="1">
      <alignment vertical="center"/>
    </xf>
    <xf numFmtId="0" fontId="41" fillId="28" borderId="53" xfId="0" applyFont="1" applyFill="1" applyBorder="1">
      <alignment vertical="center"/>
    </xf>
    <xf numFmtId="0" fontId="31" fillId="14" borderId="0" xfId="0" applyFont="1" applyFill="1" applyAlignment="1">
      <alignment horizontal="center" vertical="center"/>
    </xf>
    <xf numFmtId="0" fontId="2" fillId="26" borderId="0" xfId="0" applyFont="1" applyFill="1" applyAlignment="1">
      <alignment horizontal="center" vertical="center" wrapText="1"/>
    </xf>
    <xf numFmtId="0" fontId="1" fillId="25" borderId="0" xfId="0" applyFill="1" applyAlignment="1">
      <alignment horizontal="center" vertical="center" wrapText="1"/>
    </xf>
    <xf numFmtId="0" fontId="42" fillId="14" borderId="0" xfId="0" applyFont="1" applyFill="1" applyAlignment="1">
      <alignment horizontal="center" vertical="center"/>
    </xf>
    <xf numFmtId="0" fontId="43" fillId="14" borderId="0" xfId="0" applyFont="1" applyFill="1" applyAlignment="1">
      <alignment horizontal="center" vertical="bottom"/>
    </xf>
    <xf numFmtId="167" fontId="43" fillId="0" borderId="0" xfId="0" applyNumberFormat="1" applyFont="1" applyAlignment="1">
      <alignment horizontal="center" vertical="center"/>
    </xf>
    <xf numFmtId="0" fontId="44" fillId="0" borderId="0" xfId="0" applyFont="1" applyAlignment="1">
      <alignment vertical="bottom"/>
      <protection locked="0" hidden="0"/>
    </xf>
    <xf numFmtId="0" fontId="2" fillId="0" borderId="41" xfId="0" applyFont="1" applyBorder="1">
      <alignment vertical="center"/>
    </xf>
    <xf numFmtId="0" fontId="3" fillId="0" borderId="41" xfId="0" applyFont="1" applyBorder="1">
      <alignment vertical="center"/>
      <protection locked="0" hidden="0"/>
    </xf>
    <xf numFmtId="0" fontId="2" fillId="0" borderId="41" xfId="0" applyFont="1" applyBorder="1" applyAlignment="1">
      <alignment horizontal="center" vertical="center"/>
    </xf>
    <xf numFmtId="166" fontId="2" fillId="0" borderId="41" xfId="0" applyNumberFormat="1" applyFont="1" applyBorder="1" applyAlignment="1">
      <alignment horizontal="center" vertical="center"/>
      <protection locked="0" hidden="0"/>
    </xf>
    <xf numFmtId="165" fontId="2" fillId="5" borderId="41" xfId="0" applyNumberFormat="1" applyFont="1" applyFill="1" applyBorder="1">
      <alignment vertical="center"/>
    </xf>
    <xf numFmtId="0" fontId="1" fillId="5" borderId="41" xfId="0" applyFill="1" applyBorder="1">
      <alignment vertical="center"/>
    </xf>
    <xf numFmtId="165" fontId="2" fillId="10" borderId="41" xfId="0" applyNumberFormat="1" applyFont="1" applyFill="1" applyBorder="1">
      <alignment vertical="center"/>
    </xf>
    <xf numFmtId="0" fontId="1" fillId="10" borderId="41" xfId="0" applyFill="1" applyBorder="1">
      <alignment vertical="center"/>
    </xf>
    <xf numFmtId="165" fontId="2" fillId="28" borderId="41" xfId="0" applyNumberFormat="1" applyFont="1" applyFill="1" applyBorder="1">
      <alignment vertical="center"/>
    </xf>
    <xf numFmtId="0" fontId="1" fillId="28" borderId="41" xfId="0" applyFill="1" applyBorder="1">
      <alignment vertical="center"/>
    </xf>
    <xf numFmtId="0" fontId="2" fillId="0" borderId="0" xfId="0" applyFont="1">
      <alignment vertical="center"/>
    </xf>
    <xf numFmtId="0" fontId="1" fillId="14" borderId="0" xfId="0" applyFill="1">
      <alignment vertical="center"/>
    </xf>
    <xf numFmtId="168" fontId="1" fillId="14" borderId="0" xfId="0" applyNumberFormat="1" applyFill="1">
      <alignment vertical="center"/>
    </xf>
    <xf numFmtId="0" fontId="1" fillId="15" borderId="43" xfId="0" applyFill="1" applyBorder="1">
      <alignment vertical="center"/>
    </xf>
    <xf numFmtId="0" fontId="1" fillId="11" borderId="44" xfId="0" applyFill="1" applyBorder="1">
      <alignment vertical="center"/>
    </xf>
    <xf numFmtId="0" fontId="1" fillId="15" borderId="40" xfId="0" applyFill="1" applyBorder="1">
      <alignment vertical="center"/>
    </xf>
    <xf numFmtId="0" fontId="1" fillId="0" borderId="40" xfId="0" applyBorder="1">
      <alignment vertical="center"/>
    </xf>
    <xf numFmtId="0" fontId="1" fillId="0" borderId="41" xfId="0" applyBorder="1">
      <alignment vertical="center"/>
    </xf>
    <xf numFmtId="0" fontId="1" fillId="0" borderId="44" xfId="0" applyBorder="1">
      <alignment vertical="center"/>
    </xf>
    <xf numFmtId="0" fontId="1" fillId="0" borderId="43" xfId="0" applyBorder="1">
      <alignment vertical="center"/>
    </xf>
    <xf numFmtId="0" fontId="1" fillId="0" borderId="88" xfId="0" applyBorder="1">
      <alignment vertical="center"/>
    </xf>
    <xf numFmtId="0" fontId="1" fillId="0" borderId="39" xfId="0" applyBorder="1">
      <alignment vertical="center"/>
    </xf>
    <xf numFmtId="0" fontId="1" fillId="15" borderId="0" xfId="0" applyFill="1">
      <alignment vertical="center"/>
    </xf>
    <xf numFmtId="0" fontId="1" fillId="11" borderId="83" xfId="0" applyFill="1" applyBorder="1">
      <alignment vertical="center"/>
    </xf>
    <xf numFmtId="164" fontId="1" fillId="0" borderId="40" xfId="0" applyNumberFormat="1" applyBorder="1">
      <alignment vertical="center"/>
    </xf>
    <xf numFmtId="164" fontId="1" fillId="0" borderId="42" xfId="0" applyNumberFormat="1" applyBorder="1">
      <alignment vertical="center"/>
    </xf>
    <xf numFmtId="164" fontId="1" fillId="0" borderId="0" xfId="0" applyNumberFormat="1">
      <alignment vertical="center"/>
    </xf>
    <xf numFmtId="165" fontId="2" fillId="0" borderId="40" xfId="0" applyNumberFormat="1" applyFont="1" applyBorder="1">
      <alignment vertical="center"/>
    </xf>
    <xf numFmtId="165" fontId="2" fillId="0" borderId="41" xfId="0" applyNumberFormat="1" applyFont="1" applyBorder="1">
      <alignment vertical="center"/>
    </xf>
    <xf numFmtId="165" fontId="2" fillId="0" borderId="44" xfId="0" applyNumberFormat="1" applyFont="1" applyBorder="1">
      <alignment vertical="center"/>
    </xf>
    <xf numFmtId="164" fontId="2" fillId="0" borderId="43" xfId="0" applyNumberFormat="1" applyFont="1" applyBorder="1">
      <alignment vertical="center"/>
    </xf>
    <xf numFmtId="164" fontId="2" fillId="0" borderId="41" xfId="0" applyNumberFormat="1" applyFont="1" applyBorder="1">
      <alignment vertical="center"/>
    </xf>
    <xf numFmtId="164" fontId="2" fillId="0" borderId="44" xfId="0" applyNumberFormat="1" applyFont="1" applyBorder="1">
      <alignment vertical="center"/>
    </xf>
    <xf numFmtId="164" fontId="2" fillId="0" borderId="88" xfId="0" applyNumberFormat="1" applyFont="1" applyBorder="1">
      <alignment vertical="center"/>
    </xf>
    <xf numFmtId="164" fontId="2" fillId="5" borderId="43" xfId="0" applyNumberFormat="1" applyFont="1" applyFill="1" applyBorder="1">
      <alignment vertical="center"/>
    </xf>
    <xf numFmtId="164" fontId="2" fillId="11" borderId="44" xfId="0" applyNumberFormat="1" applyFont="1" applyFill="1" applyBorder="1">
      <alignment vertical="center"/>
    </xf>
    <xf numFmtId="164" fontId="2" fillId="0" borderId="39" xfId="0" applyNumberFormat="1" applyFont="1" applyBorder="1">
      <alignment vertical="center"/>
    </xf>
    <xf numFmtId="164" fontId="2" fillId="15" borderId="0" xfId="0" applyNumberFormat="1" applyFont="1" applyFill="1">
      <alignment vertical="center"/>
    </xf>
    <xf numFmtId="164" fontId="2" fillId="11" borderId="83" xfId="0" applyNumberFormat="1" applyFont="1" applyFill="1" applyBorder="1">
      <alignment vertical="center"/>
    </xf>
  </cellXfs>
  <cellStyles count="2">
    <cellStyle name="常规" xfId="0" builtinId="0"/>
    <cellStyle name="标题 4" xfId="1"/>
  </cellStyles>
  <dxfs count="171">
    <dxf>
      <font>
        <sz val="11"/>
        <color rgb="FF8FABDB"/>
      </font>
      <fill>
        <patternFill patternType="solid">
          <bgColor rgb="FF8FABDB"/>
        </patternFill>
      </fill>
    </dxf>
    <dxf>
      <font>
        <b/>
        <sz val="11"/>
        <color rgb="FFFF0000"/>
      </font>
    </dxf>
    <dxf>
      <font>
        <color rgb="FFFFFFFF"/>
      </font>
      <fill>
        <patternFill patternType="solid">
          <bgColor rgb="FFC6E0B4"/>
        </patternFill>
      </fill>
    </dxf>
    <dxf>
      <font>
        <sz val="11"/>
        <color rgb="FFFFD865"/>
      </font>
      <fill>
        <patternFill patternType="solid">
          <bgColor rgb="FFFFD865"/>
        </patternFill>
      </fill>
    </dxf>
    <dxf>
      <font>
        <color rgb="FFFFFFFF"/>
      </font>
      <fill>
        <patternFill patternType="solid">
          <bgColor rgb="FF8EA9DB"/>
        </patternFill>
      </fill>
    </dxf>
    <dxf>
      <font>
        <color rgb="FFFFFFFF"/>
      </font>
      <fill>
        <patternFill patternType="solid">
          <bgColor rgb="FFFFD966"/>
        </patternFill>
      </fill>
    </dxf>
    <dxf>
      <font>
        <color rgb="FF548235"/>
      </font>
    </dxf>
    <dxf>
      <font>
        <sz val="11"/>
        <color rgb="FF000000"/>
      </font>
    </dxf>
    <dxf>
      <font>
        <sz val="11"/>
        <color rgb="FF8FABDB"/>
      </font>
      <fill>
        <patternFill patternType="solid">
          <bgColor rgb="FF8FABDB"/>
        </patternFill>
      </fill>
    </dxf>
    <dxf>
      <font>
        <color rgb="FF548235"/>
      </font>
    </dxf>
    <dxf>
      <font>
        <b/>
        <sz val="11"/>
        <color rgb="FFFF0000"/>
      </font>
    </dxf>
    <dxf>
      <font>
        <sz val="11"/>
        <color rgb="FF8FABDB"/>
      </font>
      <fill>
        <patternFill patternType="solid">
          <bgColor rgb="FF8FABDB"/>
        </patternFill>
      </fill>
    </dxf>
    <dxf>
      <font>
        <sz val="11"/>
        <color rgb="FF8FABDB"/>
      </font>
      <fill>
        <patternFill patternType="solid">
          <bgColor rgb="FF8FABDB"/>
        </patternFill>
      </fill>
    </dxf>
    <dxf>
      <font>
        <sz val="11"/>
        <color rgb="FFFFD865"/>
      </font>
      <fill>
        <patternFill patternType="solid">
          <bgColor rgb="FFFFD865"/>
        </patternFill>
      </fill>
    </dxf>
    <dxf>
      <font>
        <b/>
        <sz val="11"/>
        <color rgb="FFFF0000"/>
      </font>
    </dxf>
    <dxf>
      <font>
        <color rgb="FF000000"/>
      </font>
    </dxf>
    <dxf>
      <font>
        <sz val="11"/>
        <color rgb="FFFFD865"/>
      </font>
      <fill>
        <patternFill patternType="solid">
          <bgColor rgb="FFFFD865"/>
        </patternFill>
      </fill>
    </dxf>
    <dxf>
      <font>
        <sz val="11"/>
        <color rgb="FF8FABDB"/>
      </font>
      <fill>
        <patternFill patternType="solid">
          <bgColor rgb="FF8FABDB"/>
        </patternFill>
      </fill>
    </dxf>
    <dxf>
      <fill>
        <patternFill patternType="solid">
          <bgColor rgb="FFFFD865"/>
        </patternFill>
      </fill>
    </dxf>
    <dxf>
      <font>
        <sz val="11"/>
        <color rgb="FF000000"/>
      </font>
    </dxf>
    <dxf>
      <fill>
        <patternFill patternType="solid">
          <bgColor rgb="FF00B0F0"/>
        </patternFill>
      </fill>
    </dxf>
    <dxf>
      <fill>
        <patternFill patternType="solid">
          <bgColor rgb="FF00B0F0"/>
        </patternFill>
      </fill>
    </dxf>
    <dxf>
      <font>
        <sz val="11"/>
        <color rgb="FFFFD865"/>
      </font>
      <fill>
        <patternFill patternType="solid">
          <bgColor rgb="FFFFD865"/>
        </patternFill>
      </fill>
    </dxf>
    <dxf>
      <fill>
        <patternFill patternType="solid">
          <bgColor rgb="FF8FABDB"/>
        </patternFill>
      </fill>
    </dxf>
    <dxf>
      <fill>
        <patternFill patternType="solid">
          <bgColor rgb="FF8FABDB"/>
        </patternFill>
      </fill>
    </dxf>
    <dxf>
      <font>
        <color rgb="FFFFD966"/>
      </font>
      <fill>
        <patternFill patternType="solid">
          <bgColor rgb="FFFFD966"/>
        </patternFill>
      </fill>
    </dxf>
    <dxf>
      <font>
        <sz val="11"/>
        <color rgb="FFFFD865"/>
      </font>
      <fill>
        <patternFill patternType="solid">
          <bgColor rgb="FFFFD865"/>
        </patternFill>
      </fill>
    </dxf>
    <dxf>
      <font>
        <b/>
        <sz val="11"/>
        <color rgb="FFFF0000"/>
      </font>
    </dxf>
    <dxf>
      <font>
        <sz val="11"/>
        <color rgb="FF8FABDB"/>
      </font>
      <fill>
        <patternFill patternType="solid">
          <bgColor rgb="FF8FABDB"/>
        </patternFill>
      </fill>
    </dxf>
    <dxf>
      <font>
        <color rgb="FF548235"/>
      </font>
    </dxf>
    <dxf>
      <font>
        <b/>
        <sz val="11"/>
        <color rgb="FFFF0000"/>
      </font>
    </dxf>
    <dxf>
      <font>
        <sz val="11"/>
        <color rgb="FFFFD865"/>
      </font>
      <fill>
        <patternFill patternType="solid">
          <bgColor rgb="FFFFD865"/>
        </patternFill>
      </fill>
    </dxf>
    <dxf>
      <font>
        <sz val="11"/>
        <color rgb="FF8FABDB"/>
      </font>
      <fill>
        <patternFill patternType="solid">
          <bgColor rgb="FF8FABDB"/>
        </patternFill>
      </fill>
    </dxf>
    <dxf>
      <fill>
        <patternFill patternType="solid">
          <bgColor rgb="FFFFD865"/>
        </patternFill>
      </fill>
    </dxf>
    <dxf>
      <fill>
        <patternFill patternType="solid">
          <bgColor rgb="FFFFD865"/>
        </patternFill>
      </fill>
    </dxf>
    <dxf>
      <fill>
        <patternFill patternType="solid">
          <bgColor rgb="FFFFD865"/>
        </patternFill>
      </fill>
    </dxf>
    <dxf>
      <font>
        <b/>
        <sz val="11"/>
        <color rgb="FFFF0000"/>
      </font>
    </dxf>
    <dxf>
      <font>
        <b/>
        <sz val="11"/>
        <color rgb="FFFF0000"/>
      </font>
      <fill>
        <patternFill patternType="solid">
          <bgColor rgb="FFFFFFFF"/>
        </patternFill>
      </fill>
    </dxf>
    <dxf>
      <fill>
        <patternFill patternType="solid">
          <bgColor rgb="FF8FABDB"/>
        </patternFill>
      </fill>
    </dxf>
    <dxf>
      <fill>
        <patternFill patternType="solid">
          <bgColor rgb="FFFFD865"/>
        </patternFill>
      </fill>
    </dxf>
    <dxf>
      <font>
        <b/>
        <sz val="11"/>
        <color rgb="FFFF0000"/>
      </font>
    </dxf>
    <dxf>
      <font>
        <sz val="11"/>
        <color rgb="FF8FABDB"/>
      </font>
      <fill>
        <patternFill patternType="solid">
          <bgColor rgb="FF8FABDB"/>
        </patternFill>
      </fill>
    </dxf>
    <dxf>
      <font>
        <b/>
        <sz val="11"/>
        <color rgb="FFFF0000"/>
      </font>
    </dxf>
    <dxf>
      <font>
        <sz val="11"/>
        <color rgb="FF8FABDB"/>
      </font>
      <fill>
        <patternFill patternType="solid">
          <bgColor rgb="FF8FABDB"/>
        </patternFill>
      </fill>
    </dxf>
    <dxf>
      <font>
        <color rgb="FF8EA9DB"/>
      </font>
      <fill>
        <patternFill patternType="solid">
          <bgColor rgb="FF8EA9DB"/>
        </patternFill>
      </fill>
    </dxf>
    <dxf>
      <font>
        <b/>
        <sz val="11"/>
        <color rgb="FFFF0000"/>
      </font>
    </dxf>
    <dxf>
      <font>
        <color rgb="FF000000"/>
      </font>
    </dxf>
    <dxf>
      <font>
        <sz val="11"/>
        <color rgb="FF8FABDB"/>
      </font>
      <fill>
        <patternFill patternType="solid">
          <bgColor rgb="FF8FABDB"/>
        </patternFill>
      </fill>
    </dxf>
    <dxf>
      <font>
        <sz val="11"/>
        <color rgb="FFFFD865"/>
      </font>
      <fill>
        <patternFill patternType="solid">
          <bgColor rgb="FFFFD865"/>
        </patternFill>
      </fill>
    </dxf>
    <dxf>
      <font>
        <b/>
        <sz val="11"/>
        <color rgb="FFFF0000"/>
      </font>
    </dxf>
    <dxf>
      <font>
        <b/>
        <sz val="11"/>
        <color rgb="FFFF0000"/>
      </font>
    </dxf>
    <dxf>
      <font>
        <sz val="11"/>
        <color rgb="FFFFD865"/>
      </font>
      <fill>
        <patternFill patternType="solid">
          <bgColor rgb="FFFFD865"/>
        </patternFill>
      </fill>
    </dxf>
    <dxf>
      <font>
        <sz val="11"/>
        <color rgb="FF8FABDB"/>
      </font>
      <fill>
        <patternFill patternType="solid">
          <bgColor rgb="FF8FABDB"/>
        </patternFill>
      </fill>
    </dxf>
    <dxf>
      <font>
        <b/>
        <sz val="11"/>
        <color rgb="FFFF0000"/>
      </font>
      <fill>
        <patternFill patternType="solid">
          <bgColor rgb="FFFFFFFF"/>
        </patternFill>
      </fill>
    </dxf>
    <dxf>
      <font>
        <color rgb="FF000000"/>
      </font>
    </dxf>
    <dxf>
      <font>
        <sz val="11"/>
        <color rgb="FFFFD865"/>
      </font>
      <fill>
        <patternFill patternType="solid">
          <bgColor rgb="FFFFD865"/>
        </patternFill>
      </fill>
    </dxf>
    <dxf>
      <font>
        <b/>
        <sz val="11"/>
        <color rgb="FFFF0000"/>
      </font>
    </dxf>
    <dxf>
      <font>
        <sz val="11"/>
        <color rgb="FFFFD865"/>
      </font>
      <fill>
        <patternFill patternType="solid">
          <bgColor rgb="FFFFD865"/>
        </patternFill>
      </fill>
    </dxf>
    <dxf>
      <font>
        <sz val="11"/>
        <color rgb="FFFFD865"/>
      </font>
      <fill>
        <patternFill patternType="solid">
          <bgColor rgb="FFFFD865"/>
        </patternFill>
      </fill>
    </dxf>
    <dxf>
      <font>
        <color rgb="FF000000"/>
      </font>
    </dxf>
    <dxf>
      <font>
        <color rgb="FF000000"/>
      </font>
    </dxf>
    <dxf>
      <font>
        <b/>
        <sz val="11"/>
        <color rgb="FFFF0000"/>
      </font>
    </dxf>
    <dxf>
      <font>
        <b/>
        <sz val="11"/>
        <color rgb="FFFF0000"/>
      </font>
    </dxf>
    <dxf>
      <fill>
        <patternFill patternType="solid">
          <bgColor rgb="FF8FABDB"/>
        </patternFill>
      </fill>
    </dxf>
    <dxf>
      <fill>
        <patternFill patternType="solid">
          <bgColor rgb="FF00B0F0"/>
        </patternFill>
      </fill>
    </dxf>
    <dxf>
      <font>
        <b/>
        <sz val="11"/>
        <color rgb="FFFF0000"/>
      </font>
    </dxf>
    <dxf>
      <font>
        <sz val="11"/>
        <color rgb="FFFFD865"/>
      </font>
      <fill>
        <patternFill patternType="solid">
          <bgColor rgb="FFFFD865"/>
        </patternFill>
      </fill>
    </dxf>
    <dxf>
      <font>
        <sz val="11"/>
        <color rgb="FF8FABDB"/>
      </font>
      <fill>
        <patternFill patternType="solid">
          <bgColor rgb="FF8FABDB"/>
        </patternFill>
      </fill>
    </dxf>
    <dxf>
      <font>
        <color rgb="FF000000"/>
      </font>
    </dxf>
    <dxf>
      <font>
        <sz val="11"/>
        <color rgb="FF8FABDB"/>
      </font>
      <fill>
        <patternFill patternType="solid">
          <bgColor rgb="FF8FABDB"/>
        </patternFill>
      </fill>
    </dxf>
    <dxf>
      <font>
        <sz val="11"/>
        <color rgb="FFFFD865"/>
      </font>
      <fill>
        <patternFill patternType="solid">
          <bgColor rgb="FFFFD865"/>
        </patternFill>
      </fill>
    </dxf>
    <dxf>
      <fill>
        <patternFill patternType="solid">
          <bgColor rgb="FF8FABDB"/>
        </patternFill>
      </fill>
    </dxf>
    <dxf>
      <font>
        <sz val="11"/>
        <color rgb="FFFFD865"/>
      </font>
      <fill>
        <patternFill patternType="solid">
          <bgColor rgb="FFFFD865"/>
        </patternFill>
      </fill>
    </dxf>
    <dxf>
      <font>
        <sz val="11"/>
        <color rgb="FFA8D08E"/>
      </font>
      <fill>
        <patternFill patternType="solid">
          <bgColor rgb="FFA8D08E"/>
        </patternFill>
      </fill>
    </dxf>
    <dxf>
      <font>
        <b/>
        <sz val="11"/>
        <color rgb="FFFF0000"/>
      </font>
    </dxf>
    <dxf>
      <font>
        <b/>
        <sz val="11"/>
        <color rgb="FFFF0000"/>
      </font>
    </dxf>
    <dxf>
      <font>
        <sz val="11"/>
        <color rgb="FF8FABDB"/>
      </font>
      <fill>
        <patternFill patternType="solid">
          <bgColor rgb="FF8FABDB"/>
        </patternFill>
      </fill>
    </dxf>
    <dxf>
      <font>
        <sz val="11"/>
        <color rgb="FFA8D08E"/>
      </font>
      <fill>
        <patternFill patternType="solid">
          <bgColor rgb="FFA8D08E"/>
        </patternFill>
      </fill>
    </dxf>
    <dxf>
      <font>
        <b/>
        <sz val="11"/>
        <color rgb="FFFF0000"/>
      </font>
      <fill>
        <patternFill patternType="solid">
          <bgColor rgb="FFFFFFFF"/>
        </patternFill>
      </fill>
    </dxf>
    <dxf>
      <font>
        <b/>
        <sz val="11"/>
        <color rgb="FFFF0000"/>
      </font>
    </dxf>
    <dxf>
      <fill>
        <patternFill patternType="solid">
          <bgColor rgb="FF00B0F0"/>
        </patternFill>
      </fill>
    </dxf>
    <dxf>
      <font>
        <b/>
        <sz val="11"/>
        <color rgb="FFFF0000"/>
      </font>
      <fill>
        <patternFill patternType="solid">
          <bgColor rgb="FFFFFFFF"/>
        </patternFill>
      </fill>
    </dxf>
    <dxf>
      <font>
        <sz val="11"/>
        <color rgb="FFFFD865"/>
      </font>
      <fill>
        <patternFill patternType="solid">
          <bgColor rgb="FFFFD865"/>
        </patternFill>
      </fill>
    </dxf>
    <dxf>
      <font>
        <sz val="11"/>
        <color rgb="FFA8D08E"/>
      </font>
      <fill>
        <patternFill patternType="solid">
          <bgColor rgb="FFA8D08E"/>
        </patternFill>
      </fill>
    </dxf>
    <dxf>
      <font>
        <sz val="11"/>
        <color rgb="FFFFD865"/>
      </font>
      <fill>
        <patternFill patternType="solid">
          <bgColor rgb="FFFFD865"/>
        </patternFill>
      </fill>
    </dxf>
    <dxf>
      <font>
        <sz val="11"/>
        <color rgb="FF000000"/>
      </font>
    </dxf>
    <dxf>
      <font>
        <b/>
        <sz val="11"/>
        <color rgb="FFFF0000"/>
      </font>
    </dxf>
    <dxf>
      <font>
        <sz val="11"/>
        <color rgb="FFA8D08E"/>
      </font>
      <fill>
        <patternFill patternType="solid">
          <bgColor rgb="FFA8D08E"/>
        </patternFill>
      </fill>
    </dxf>
    <dxf>
      <font>
        <sz val="11"/>
        <color rgb="FF8FABDB"/>
      </font>
      <fill>
        <patternFill patternType="solid">
          <bgColor rgb="FF8FABDB"/>
        </patternFill>
      </fill>
    </dxf>
    <dxf>
      <fill>
        <patternFill patternType="solid">
          <bgColor rgb="FF8FABDB"/>
        </patternFill>
      </fill>
    </dxf>
    <dxf>
      <font>
        <sz val="11"/>
        <color rgb="FFFFD865"/>
      </font>
      <fill>
        <patternFill patternType="solid">
          <bgColor rgb="FFFFD865"/>
        </patternFill>
      </fill>
    </dxf>
    <dxf>
      <font>
        <sz val="11"/>
        <color rgb="FFA8D08E"/>
      </font>
      <fill>
        <patternFill patternType="solid">
          <bgColor rgb="FFA8D08E"/>
        </patternFill>
      </fill>
    </dxf>
    <dxf>
      <font>
        <b/>
        <sz val="11"/>
        <color rgb="FF000000"/>
      </font>
      <fill>
        <patternFill patternType="solid">
          <bgColor rgb="FFFF0000"/>
        </patternFill>
      </fill>
    </dxf>
    <dxf>
      <fill>
        <patternFill patternType="solid">
          <bgColor rgb="FFFFD865"/>
        </patternFill>
      </fill>
    </dxf>
    <dxf>
      <font>
        <b/>
        <sz val="11"/>
        <color rgb="FFFF0000"/>
      </font>
    </dxf>
    <dxf>
      <font>
        <sz val="11"/>
        <color rgb="FFFFD865"/>
      </font>
      <fill>
        <patternFill patternType="solid">
          <bgColor rgb="FFFFD865"/>
        </patternFill>
      </fill>
    </dxf>
    <dxf>
      <font>
        <sz val="11"/>
        <color rgb="FF000000"/>
      </font>
    </dxf>
    <dxf>
      <font>
        <b/>
        <sz val="11"/>
        <color rgb="FFFF0000"/>
      </font>
    </dxf>
    <dxf>
      <fill>
        <patternFill patternType="solid">
          <bgColor rgb="FF8FABDB"/>
        </patternFill>
      </fill>
    </dxf>
    <dxf>
      <fill>
        <patternFill patternType="solid">
          <bgColor rgb="FFF4B083"/>
        </patternFill>
      </fill>
    </dxf>
    <dxf>
      <font>
        <b/>
        <sz val="11"/>
        <color rgb="FFFF0000"/>
      </font>
    </dxf>
    <dxf>
      <font>
        <sz val="11"/>
        <color rgb="FFFFD865"/>
      </font>
      <fill>
        <patternFill patternType="solid">
          <bgColor rgb="FFFFD865"/>
        </patternFill>
      </fill>
    </dxf>
    <dxf>
      <fill>
        <patternFill patternType="solid">
          <bgColor rgb="FFF4B083"/>
        </patternFill>
      </fill>
    </dxf>
    <dxf>
      <font>
        <b/>
        <sz val="11"/>
        <color rgb="FFFF0000"/>
      </font>
    </dxf>
    <dxf>
      <font>
        <color rgb="FFFFFFFF"/>
      </font>
      <fill>
        <patternFill patternType="solid">
          <bgColor rgb="FFC6E0B4"/>
        </patternFill>
      </fill>
    </dxf>
    <dxf>
      <font>
        <b/>
        <sz val="11"/>
        <color rgb="FFFF0000"/>
      </font>
    </dxf>
    <dxf>
      <font>
        <sz val="11"/>
        <color rgb="FFA8D08E"/>
      </font>
      <fill>
        <patternFill patternType="solid">
          <bgColor rgb="FFA8D08E"/>
        </patternFill>
      </fill>
    </dxf>
    <dxf>
      <font>
        <sz val="11"/>
        <color rgb="FFA8D08E"/>
      </font>
      <fill>
        <patternFill patternType="solid">
          <bgColor rgb="FFA8D08E"/>
        </patternFill>
      </fill>
    </dxf>
    <dxf>
      <fill>
        <patternFill patternType="solid">
          <bgColor rgb="FF8FABDB"/>
        </patternFill>
      </fill>
    </dxf>
    <dxf>
      <font>
        <b/>
        <sz val="11"/>
        <color rgb="FFFF0000"/>
      </font>
    </dxf>
    <dxf>
      <font>
        <b/>
        <sz val="11"/>
        <color rgb="FFFF0000"/>
      </font>
    </dxf>
    <dxf>
      <font>
        <b/>
        <sz val="11"/>
        <color rgb="FFFF0000"/>
      </font>
    </dxf>
    <dxf>
      <font>
        <sz val="11"/>
        <color rgb="FF8FABDB"/>
      </font>
      <fill>
        <patternFill patternType="solid">
          <bgColor rgb="FF8FABDB"/>
        </patternFill>
      </fill>
    </dxf>
    <dxf>
      <font>
        <sz val="11"/>
        <color rgb="FFFFD865"/>
      </font>
      <fill>
        <patternFill patternType="solid">
          <bgColor rgb="FFFFD865"/>
        </patternFill>
      </fill>
    </dxf>
    <dxf>
      <font>
        <b/>
        <sz val="11"/>
        <color rgb="FFFF0000"/>
      </font>
    </dxf>
    <dxf>
      <font>
        <sz val="11"/>
        <color rgb="FFFFD865"/>
      </font>
      <fill>
        <patternFill patternType="solid">
          <bgColor rgb="FFFFD865"/>
        </patternFill>
      </fill>
    </dxf>
    <dxf>
      <font>
        <sz val="11"/>
        <color rgb="FFFFD865"/>
      </font>
      <fill>
        <patternFill patternType="solid">
          <bgColor rgb="FFFFD865"/>
        </patternFill>
      </fill>
    </dxf>
    <dxf>
      <font>
        <sz val="11"/>
        <color rgb="FFA8D08E"/>
      </font>
      <fill>
        <patternFill patternType="solid">
          <bgColor rgb="FFA8D08E"/>
        </patternFill>
      </fill>
    </dxf>
    <dxf>
      <font>
        <sz val="11"/>
        <color rgb="FF8FABDB"/>
      </font>
      <fill>
        <patternFill patternType="solid">
          <bgColor rgb="FF8FABDB"/>
        </patternFill>
      </fill>
    </dxf>
    <dxf>
      <font>
        <sz val="11"/>
        <color rgb="FF000000"/>
      </font>
    </dxf>
    <dxf>
      <font>
        <sz val="11"/>
        <color rgb="FFA8D08E"/>
      </font>
      <fill>
        <patternFill patternType="solid">
          <bgColor rgb="FFA8D08E"/>
        </patternFill>
      </fill>
    </dxf>
    <dxf>
      <font>
        <sz val="11"/>
        <color rgb="FF8FABDB"/>
      </font>
      <fill>
        <patternFill patternType="solid">
          <bgColor rgb="FF8FABDB"/>
        </patternFill>
      </fill>
    </dxf>
    <dxf>
      <font>
        <b/>
        <sz val="11"/>
        <color rgb="FFFF0000"/>
      </font>
    </dxf>
    <dxf>
      <font>
        <sz val="11"/>
        <color rgb="FF000000"/>
      </font>
    </dxf>
    <dxf>
      <fill>
        <patternFill patternType="solid">
          <bgColor rgb="FFFFD865"/>
        </patternFill>
      </fill>
    </dxf>
    <dxf>
      <fill>
        <patternFill patternType="solid">
          <bgColor rgb="FFF4B083"/>
        </patternFill>
      </fill>
    </dxf>
    <dxf>
      <font>
        <sz val="11"/>
        <color rgb="FF000000"/>
      </font>
    </dxf>
    <dxf>
      <font>
        <sz val="11"/>
        <color rgb="FF8FABDB"/>
      </font>
      <fill>
        <patternFill patternType="solid">
          <bgColor rgb="FF8FABDB"/>
        </patternFill>
      </fill>
    </dxf>
    <dxf>
      <font>
        <b/>
        <sz val="11"/>
        <color rgb="FF000000"/>
      </font>
      <fill>
        <patternFill patternType="solid">
          <bgColor rgb="FFFF0000"/>
        </patternFill>
      </fill>
    </dxf>
    <dxf>
      <font>
        <b/>
        <sz val="11"/>
        <color rgb="FFFF0000"/>
      </font>
      <fill>
        <patternFill patternType="solid">
          <bgColor rgb="FFFFFFFF"/>
        </patternFill>
      </fill>
    </dxf>
    <dxf>
      <font>
        <sz val="11"/>
        <color rgb="FFFFD865"/>
      </font>
      <fill>
        <patternFill patternType="solid">
          <bgColor rgb="FFFFD865"/>
        </patternFill>
      </fill>
    </dxf>
    <dxf>
      <font>
        <sz val="11"/>
        <color rgb="FFFFD865"/>
      </font>
      <fill>
        <patternFill patternType="solid">
          <bgColor rgb="FFFFD865"/>
        </patternFill>
      </fill>
    </dxf>
    <dxf>
      <font>
        <b/>
        <sz val="11"/>
        <color rgb="FFFF0000"/>
      </font>
    </dxf>
    <dxf>
      <font>
        <b/>
        <sz val="11"/>
        <color rgb="FFFF0000"/>
      </font>
    </dxf>
    <dxf>
      <font>
        <b/>
        <sz val="11"/>
        <color rgb="FFFF0000"/>
      </font>
    </dxf>
    <dxf>
      <font>
        <sz val="11"/>
        <color rgb="FF8FABDB"/>
      </font>
      <fill>
        <patternFill patternType="solid">
          <bgColor rgb="FF8FABDB"/>
        </patternFill>
      </fill>
    </dxf>
    <dxf>
      <font>
        <sz val="11"/>
        <color rgb="FFFFD865"/>
      </font>
      <fill>
        <patternFill patternType="solid">
          <bgColor rgb="FFFFD865"/>
        </patternFill>
      </fill>
    </dxf>
    <dxf>
      <font>
        <b/>
        <sz val="11"/>
        <color rgb="FFFF0000"/>
      </font>
    </dxf>
    <dxf>
      <font>
        <sz val="11"/>
        <color rgb="FF8FABDB"/>
      </font>
      <fill>
        <patternFill patternType="solid">
          <bgColor rgb="FF8FABDB"/>
        </patternFill>
      </fill>
    </dxf>
    <dxf>
      <font>
        <sz val="11"/>
        <color rgb="FFA8D08E"/>
      </font>
      <fill>
        <patternFill patternType="solid">
          <bgColor rgb="FFA8D08E"/>
        </patternFill>
      </fill>
    </dxf>
    <dxf>
      <font>
        <color rgb="FFFFFFFF"/>
      </font>
      <fill>
        <patternFill patternType="solid">
          <bgColor rgb="FFC6E0B4"/>
        </patternFill>
      </fill>
    </dxf>
    <dxf>
      <fill>
        <patternFill patternType="solid">
          <bgColor rgb="FF00B0F0"/>
        </patternFill>
      </fill>
    </dxf>
    <dxf>
      <fill>
        <patternFill patternType="solid">
          <bgColor rgb="FF8FABDB"/>
        </patternFill>
      </fill>
    </dxf>
    <dxf>
      <font>
        <b/>
        <sz val="11"/>
        <color rgb="FFFF0000"/>
      </font>
    </dxf>
    <dxf>
      <font>
        <sz val="11"/>
        <color rgb="FFFFD865"/>
      </font>
      <fill>
        <patternFill patternType="solid">
          <bgColor rgb="FFFFD865"/>
        </patternFill>
      </fill>
    </dxf>
    <dxf>
      <font>
        <b/>
        <sz val="11"/>
        <color rgb="FFFF0000"/>
      </font>
    </dxf>
    <dxf>
      <font>
        <b/>
        <sz val="11"/>
        <color rgb="FFFF0000"/>
      </font>
    </dxf>
    <dxf>
      <font>
        <sz val="11"/>
        <color rgb="FF8FABDB"/>
      </font>
      <fill>
        <patternFill patternType="solid">
          <bgColor rgb="FF8FABDB"/>
        </patternFill>
      </fill>
    </dxf>
    <dxf>
      <fill>
        <patternFill patternType="solid">
          <bgColor rgb="FFFFD865"/>
        </patternFill>
      </fill>
    </dxf>
    <dxf>
      <font>
        <sz val="11"/>
        <color rgb="FF8FABDB"/>
      </font>
      <fill>
        <patternFill patternType="solid">
          <bgColor rgb="FF8FABDB"/>
        </patternFill>
      </fill>
    </dxf>
    <dxf>
      <fill>
        <patternFill patternType="solid">
          <bgColor rgb="FFF4B083"/>
        </patternFill>
      </fill>
    </dxf>
    <dxf>
      <font>
        <sz val="11"/>
        <color rgb="FFA8D08E"/>
      </font>
      <fill>
        <patternFill patternType="solid">
          <bgColor rgb="FFA8D08E"/>
        </patternFill>
      </fill>
    </dxf>
    <dxf>
      <font>
        <sz val="11"/>
        <color rgb="FF8FABDB"/>
      </font>
      <fill>
        <patternFill patternType="solid">
          <bgColor rgb="FF8FABDB"/>
        </patternFill>
      </fill>
    </dxf>
    <dxf>
      <font>
        <color rgb="FF000000"/>
      </font>
      <fill>
        <patternFill patternType="solid">
          <bgColor rgb="FF000000"/>
        </patternFill>
      </fill>
    </dxf>
    <dxf>
      <font>
        <sz val="11"/>
        <color rgb="FFA8D08E"/>
      </font>
      <fill>
        <patternFill patternType="solid">
          <bgColor rgb="FFA8D08E"/>
        </patternFill>
      </fill>
    </dxf>
    <dxf>
      <fill>
        <patternFill patternType="solid">
          <bgColor rgb="FF00B0F0"/>
        </patternFill>
      </fill>
    </dxf>
    <dxf>
      <font>
        <sz val="11"/>
        <color rgb="FF8FABDB"/>
      </font>
      <fill>
        <patternFill patternType="solid">
          <bgColor rgb="FF8FABDB"/>
        </patternFill>
      </fill>
    </dxf>
    <dxf>
      <fill>
        <patternFill patternType="solid">
          <bgColor rgb="FFFFD865"/>
        </patternFill>
      </fill>
    </dxf>
    <dxf>
      <font>
        <sz val="11"/>
        <color rgb="FF000000"/>
      </font>
    </dxf>
    <dxf>
      <font>
        <sz val="11"/>
        <color rgb="FF8FABDB"/>
      </font>
      <fill>
        <patternFill patternType="solid">
          <bgColor rgb="FF8FABDB"/>
        </patternFill>
      </fill>
    </dxf>
    <dxf>
      <font>
        <sz val="11"/>
        <color rgb="FFA8D08E"/>
      </font>
      <fill>
        <patternFill patternType="solid">
          <bgColor rgb="FFA8D08E"/>
        </patternFill>
      </fill>
    </dxf>
    <dxf>
      <font>
        <b/>
        <color rgb="FF000000"/>
      </font>
      <fill>
        <patternFill patternType="solid">
          <fgColor rgb="FFDDEBF7"/>
          <bgColor rgb="FFDDEBF7"/>
        </patternFill>
      </fill>
      <border>
        <left/>
        <right/>
        <top/>
        <bottom style="thin">
          <color rgb="FF9BC2E6"/>
        </bottom>
        <diagonal/>
      </border>
    </dxf>
    <dxf>
      <font>
        <b/>
        <color rgb="FF000000"/>
      </font>
      <fill>
        <patternFill patternType="solid">
          <fgColor rgb="FFDDEBF7"/>
          <bgColor rgb="FFDDEBF7"/>
        </patternFill>
      </fill>
      <border>
        <left/>
        <right/>
        <top style="thin">
          <color rgb="FF9BC2E6"/>
        </top>
        <bottom style="thin">
          <color rgb="FF9BC2E6"/>
        </bottom>
        <diagonal/>
      </border>
    </dxf>
    <dxf>
      <fill>
        <patternFill patternType="solid">
          <fgColor rgb="FFDDEBF7"/>
          <bgColor rgb="FFDDEBF7"/>
        </patternFill>
      </fill>
    </dxf>
    <dxf>
      <fill>
        <patternFill patternType="solid">
          <fgColor rgb="FFDDEBF7"/>
          <bgColor rgb="FFDDEBF7"/>
        </patternFill>
      </fill>
    </dxf>
    <dxf>
      <font>
        <b/>
        <color rgb="FF000000"/>
      </font>
      <border>
        <left/>
        <right/>
        <top style="thin">
          <color rgb="FF5B9BD5"/>
        </top>
        <bottom style="thin">
          <color rgb="FF5B9BD5"/>
        </bottom>
        <diagonal/>
      </border>
    </dxf>
    <dxf>
      <font>
        <b/>
        <color rgb="FF000000"/>
      </font>
    </dxf>
    <dxf>
      <font>
        <color rgb="FF000000"/>
      </font>
      <border>
        <left/>
        <right/>
        <top/>
        <bottom style="thin">
          <color rgb="FF9BC2E6"/>
        </bottom>
        <diagonal/>
      </border>
    </dxf>
    <dxf>
      <font>
        <color rgb="FF000000"/>
      </font>
    </dxf>
    <dxf>
      <font>
        <b/>
      </font>
      <fill>
        <patternFill patternType="solid">
          <fgColor rgb="FFDDEBF7"/>
          <bgColor rgb="FFDDEBF7"/>
        </patternFill>
      </fill>
      <border>
        <left/>
        <right/>
        <top/>
        <bottom style="thin">
          <color rgb="FF9BC2E6"/>
        </bottom>
        <diagonal/>
      </border>
    </dxf>
    <dxf>
      <fill>
        <patternFill patternType="solid">
          <fgColor rgb="FFDDEBF7"/>
          <bgColor rgb="FFDDEBF7"/>
        </patternFill>
      </fill>
      <border>
        <left/>
        <right/>
        <top/>
        <bottom style="thin">
          <color rgb="FF9BC2E6"/>
        </bottom>
        <diagonal/>
      </border>
    </dxf>
  </dxfs>
  <tableStyles defaultTableStyle="TableStyleMedium2" defaultPivotStyle="PivotStylePreset2_Accent1 1" count="1">
    <tableStyle name="PivotStylePreset2_Accent1 1" table="0" count="10">
      <tableStyleElement type="headerRow" dxfId="161"/>
      <tableStyleElement type="totalRow" dxfId="162"/>
      <tableStyleElement type="firstRowStripe" dxfId="163"/>
      <tableStyleElement type="firstColumnStripe" dxfId="164"/>
      <tableStyleElement type="firstSubtotalRow" dxfId="165"/>
      <tableStyleElement type="secondSubtotalRow" dxfId="166"/>
      <tableStyleElement type="firstRowSubheading" dxfId="167"/>
      <tableStyleElement type="secondRowSubheading" dxfId="168"/>
      <tableStyleElement type="pageFieldLabels" dxfId="169"/>
      <tableStyleElement type="pageFieldValues" dxfId="170"/>
    </tableStyle>
  </tableStyles>
</styleSheet>
</file>

<file path=xl/_rels/workbook.xml.rels><?xml version="1.0" encoding="UTF-8" standalone="yes"?>
<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www.wps.cn/officeDocument/2020/cellImage" Target="cellimages.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0.wmf"/></Relationships>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71</xdr:row>
      <xdr:rowOff>0</xdr:rowOff>
    </xdr:from>
    <xdr:to>
      <xdr:col>7</xdr:col>
      <xdr:colOff>516461</xdr:colOff>
      <xdr:row>87</xdr:row>
      <xdr:rowOff>113903</xdr:rowOff>
    </xdr:to>
    <xdr:pic>
      <xdr:nvPicPr>
        <xdr:cNvPr id="2" name="图片 3" descr=" "/>
        <xdr:cNvPicPr/>
      </xdr:nvPicPr>
      <xdr:blipFill>
        <a:blip xmlns:r="http://schemas.openxmlformats.org/officeDocument/2006/relationships" r:embed="rId1"/>
        <a:srcRect/>
        <a:stretch>
          <a:fillRect/>
        </a:stretch>
      </xdr:blipFill>
      <xdr:spPr>
        <a:xfrm>
          <a:off x="0" y="17190720"/>
          <a:ext cx="5884545" cy="3040380"/>
        </a:xfrm>
        <a:prstGeom prst="rect">
          <a:avLst/>
        </a:prstGeom>
        <a:noFill/>
        <a:ln w="9525" cap="flat" cmpd="sng">
          <a:noFill/>
          <a:prstDash val="solid"/>
          <a:miter/>
        </a:ln>
        <a:effectLst/>
      </xdr:spPr>
    </xdr:pic>
    <xdr:clientData/>
  </xdr:twoCellAnchor>
  <xdr:twoCellAnchor>
    <xdr:from>
      <xdr:col>0</xdr:col>
      <xdr:colOff>0</xdr:colOff>
      <xdr:row>88</xdr:row>
      <xdr:rowOff>12501</xdr:rowOff>
    </xdr:from>
    <xdr:to>
      <xdr:col>5</xdr:col>
      <xdr:colOff>239485</xdr:colOff>
      <xdr:row>100</xdr:row>
      <xdr:rowOff>0</xdr:rowOff>
    </xdr:to>
    <xdr:pic>
      <xdr:nvPicPr>
        <xdr:cNvPr id="3" name="图片 4" descr=" "/>
        <xdr:cNvPicPr/>
      </xdr:nvPicPr>
      <xdr:blipFill>
        <a:blip xmlns:r="http://schemas.openxmlformats.org/officeDocument/2006/relationships" r:embed="rId2"/>
        <a:srcRect/>
        <a:stretch>
          <a:fillRect/>
        </a:stretch>
      </xdr:blipFill>
      <xdr:spPr>
        <a:xfrm>
          <a:off x="0" y="20324444"/>
          <a:ext cx="4373245" cy="2169796"/>
        </a:xfrm>
        <a:prstGeom prst="rect">
          <a:avLst/>
        </a:prstGeom>
        <a:noFill/>
        <a:ln w="9525" cap="flat" cmpd="sng">
          <a:noFill/>
          <a:prstDash val="solid"/>
          <a:miter/>
        </a:ln>
        <a:effectLst/>
      </xdr:spPr>
    </xdr:pic>
    <xdr:clientData/>
  </xdr:twoCellAnchor>
  <xdr:twoCellAnchor>
    <xdr:from>
      <xdr:col>0</xdr:col>
      <xdr:colOff>36991</xdr:colOff>
      <xdr:row>100</xdr:row>
      <xdr:rowOff>0</xdr:rowOff>
    </xdr:from>
    <xdr:to>
      <xdr:col>7</xdr:col>
      <xdr:colOff>554717</xdr:colOff>
      <xdr:row>113</xdr:row>
      <xdr:rowOff>0</xdr:rowOff>
    </xdr:to>
    <xdr:pic>
      <xdr:nvPicPr>
        <xdr:cNvPr id="4" name="图片 5" descr=" "/>
        <xdr:cNvPicPr/>
      </xdr:nvPicPr>
      <xdr:blipFill>
        <a:blip xmlns:r="http://schemas.openxmlformats.org/officeDocument/2006/relationships" r:embed="rId3"/>
        <a:srcRect/>
        <a:stretch>
          <a:fillRect/>
        </a:stretch>
      </xdr:blipFill>
      <xdr:spPr>
        <a:xfrm>
          <a:off x="38735" y="22494240"/>
          <a:ext cx="5883275" cy="2377440"/>
        </a:xfrm>
        <a:prstGeom prst="rect">
          <a:avLst/>
        </a:prstGeom>
        <a:noFill/>
        <a:ln w="9525" cap="flat" cmpd="sng">
          <a:noFill/>
          <a:prstDash val="solid"/>
          <a:miter/>
        </a:ln>
        <a:effectLst/>
      </xdr:spPr>
    </xdr:pic>
    <xdr:clientData/>
  </xdr:twoCellAnchor>
  <xdr:twoCellAnchor>
    <xdr:from>
      <xdr:col>0</xdr:col>
      <xdr:colOff>0</xdr:colOff>
      <xdr:row>48</xdr:row>
      <xdr:rowOff>0</xdr:rowOff>
    </xdr:from>
    <xdr:to>
      <xdr:col>7</xdr:col>
      <xdr:colOff>58914</xdr:colOff>
      <xdr:row>70</xdr:row>
      <xdr:rowOff>0</xdr:rowOff>
    </xdr:to>
    <xdr:pic>
      <xdr:nvPicPr>
        <xdr:cNvPr id="5" name="图片 1" descr=" "/>
        <xdr:cNvPicPr/>
      </xdr:nvPicPr>
      <xdr:blipFill>
        <a:blip xmlns:r="http://schemas.openxmlformats.org/officeDocument/2006/relationships" r:embed="rId4"/>
        <a:srcRect/>
        <a:stretch>
          <a:fillRect/>
        </a:stretch>
      </xdr:blipFill>
      <xdr:spPr>
        <a:xfrm>
          <a:off x="0" y="12984480"/>
          <a:ext cx="5426710" cy="4023360"/>
        </a:xfrm>
        <a:prstGeom prst="rect">
          <a:avLst/>
        </a:prstGeom>
        <a:noFill/>
        <a:ln w="9525" cap="flat" cmpd="sng">
          <a:noFill/>
          <a:prstDash val="solid"/>
          <a:miter/>
        </a:ln>
        <a:effectLst/>
      </xdr:spPr>
    </xdr:pic>
    <xdr:clientData/>
  </xdr:twoCellAnchor>
  <xdr:twoCellAnchor>
    <xdr:from>
      <xdr:col>8</xdr:col>
      <xdr:colOff>263204</xdr:colOff>
      <xdr:row>71</xdr:row>
      <xdr:rowOff>0</xdr:rowOff>
    </xdr:from>
    <xdr:to>
      <xdr:col>16</xdr:col>
      <xdr:colOff>166032</xdr:colOff>
      <xdr:row>83</xdr:row>
      <xdr:rowOff>25003</xdr:rowOff>
    </xdr:to>
    <xdr:pic>
      <xdr:nvPicPr>
        <xdr:cNvPr id="6" name="图片 2" descr=" "/>
        <xdr:cNvPicPr/>
      </xdr:nvPicPr>
      <xdr:blipFill>
        <a:blip xmlns:r="http://schemas.openxmlformats.org/officeDocument/2006/relationships" r:embed="rId5"/>
        <a:srcRect/>
        <a:stretch>
          <a:fillRect/>
        </a:stretch>
      </xdr:blipFill>
      <xdr:spPr>
        <a:xfrm>
          <a:off x="6248400" y="17190720"/>
          <a:ext cx="4840605" cy="2232024"/>
        </a:xfrm>
        <a:prstGeom prst="rect">
          <a:avLst/>
        </a:prstGeom>
        <a:noFill/>
        <a:ln w="9525" cap="flat" cmpd="sng">
          <a:noFill/>
          <a:prstDash val="solid"/>
          <a:miter/>
        </a:ln>
        <a:effectLst/>
      </xdr:spPr>
    </xdr:pic>
    <xdr:clientData/>
  </xdr:twoCellAnchor>
  <xdr:twoCellAnchor>
    <xdr:from>
      <xdr:col>8</xdr:col>
      <xdr:colOff>167563</xdr:colOff>
      <xdr:row>37</xdr:row>
      <xdr:rowOff>0</xdr:rowOff>
    </xdr:from>
    <xdr:to>
      <xdr:col>18</xdr:col>
      <xdr:colOff>233364</xdr:colOff>
      <xdr:row>39</xdr:row>
      <xdr:rowOff>797321</xdr:rowOff>
    </xdr:to>
    <xdr:pic>
      <xdr:nvPicPr>
        <xdr:cNvPr id="7" name="图片 10" descr=" "/>
        <xdr:cNvPicPr/>
      </xdr:nvPicPr>
      <xdr:blipFill>
        <a:blip xmlns:r="http://schemas.openxmlformats.org/officeDocument/2006/relationships" r:embed="rId6"/>
        <a:srcRect/>
        <a:stretch>
          <a:fillRect/>
        </a:stretch>
      </xdr:blipFill>
      <xdr:spPr>
        <a:xfrm>
          <a:off x="6152515" y="6766560"/>
          <a:ext cx="6238240" cy="1165860"/>
        </a:xfrm>
        <a:prstGeom prst="rect">
          <a:avLst/>
        </a:prstGeom>
        <a:noFill/>
        <a:ln w="9525" cap="flat" cmpd="sng">
          <a:noFill/>
          <a:prstDash val="solid"/>
          <a:miter/>
        </a:ln>
        <a:effectLst/>
      </xdr:spPr>
    </xdr:pic>
    <xdr:clientData/>
  </xdr:twoCellAnchor>
  <xdr:twoCellAnchor>
    <xdr:from>
      <xdr:col>6</xdr:col>
      <xdr:colOff>62740</xdr:colOff>
      <xdr:row>2</xdr:row>
      <xdr:rowOff>0</xdr:rowOff>
    </xdr:from>
    <xdr:to>
      <xdr:col>8</xdr:col>
      <xdr:colOff>452955</xdr:colOff>
      <xdr:row>7</xdr:row>
      <xdr:rowOff>0</xdr:rowOff>
    </xdr:to>
    <xdr:pic>
      <xdr:nvPicPr>
        <xdr:cNvPr id="8" name="图片 11" descr=" "/>
        <xdr:cNvPicPr/>
      </xdr:nvPicPr>
      <xdr:blipFill>
        <a:blip xmlns:r="http://schemas.openxmlformats.org/officeDocument/2006/relationships" r:embed="rId7"/>
        <a:srcRect/>
        <a:stretch>
          <a:fillRect/>
        </a:stretch>
      </xdr:blipFill>
      <xdr:spPr>
        <a:xfrm>
          <a:off x="4813300" y="365760"/>
          <a:ext cx="1624330" cy="914400"/>
        </a:xfrm>
        <a:prstGeom prst="rect">
          <a:avLst/>
        </a:prstGeom>
        <a:noFill/>
        <a:ln w="9525" cap="flat" cmpd="sng">
          <a:noFill/>
          <a:prstDash val="solid"/>
          <a:miter/>
        </a:ln>
        <a:effectLst/>
      </xdr:spPr>
    </xdr:pic>
    <xdr:clientData/>
  </xdr:twoCellAnchor>
  <xdr:twoCellAnchor>
    <xdr:from>
      <xdr:col>8</xdr:col>
      <xdr:colOff>176744</xdr:colOff>
      <xdr:row>46</xdr:row>
      <xdr:rowOff>113903</xdr:rowOff>
    </xdr:from>
    <xdr:to>
      <xdr:col>15</xdr:col>
      <xdr:colOff>14537</xdr:colOff>
      <xdr:row>58</xdr:row>
      <xdr:rowOff>37504</xdr:rowOff>
    </xdr:to>
    <xdr:pic>
      <xdr:nvPicPr>
        <xdr:cNvPr id="9" name="图片 8" descr=" "/>
        <xdr:cNvPicPr/>
      </xdr:nvPicPr>
      <xdr:blipFill>
        <a:blip xmlns:r="http://schemas.openxmlformats.org/officeDocument/2006/relationships" r:embed="rId8"/>
        <a:srcRect/>
        <a:stretch>
          <a:fillRect/>
        </a:stretch>
      </xdr:blipFill>
      <xdr:spPr>
        <a:xfrm>
          <a:off x="6161405" y="12733020"/>
          <a:ext cx="4158615" cy="2130425"/>
        </a:xfrm>
        <a:prstGeom prst="rect">
          <a:avLst/>
        </a:prstGeom>
        <a:noFill/>
        <a:ln w="9525" cap="flat" cmpd="sng">
          <a:noFill/>
          <a:prstDash val="solid"/>
          <a:miter/>
        </a:ln>
        <a:effectLst/>
      </xdr:spPr>
    </xdr:pic>
    <xdr:clientData/>
  </xdr:twoCellAnchor>
  <xdr:twoCellAnchor>
    <xdr:from>
      <xdr:col>8</xdr:col>
      <xdr:colOff>195872</xdr:colOff>
      <xdr:row>60</xdr:row>
      <xdr:rowOff>0</xdr:rowOff>
    </xdr:from>
    <xdr:to>
      <xdr:col>16</xdr:col>
      <xdr:colOff>319823</xdr:colOff>
      <xdr:row>70</xdr:row>
      <xdr:rowOff>0</xdr:rowOff>
    </xdr:to>
    <xdr:pic>
      <xdr:nvPicPr>
        <xdr:cNvPr id="10" name="图片 16" descr=" "/>
        <xdr:cNvPicPr/>
      </xdr:nvPicPr>
      <xdr:blipFill>
        <a:blip xmlns:r="http://schemas.openxmlformats.org/officeDocument/2006/relationships" r:embed="rId9"/>
        <a:srcRect/>
        <a:stretch>
          <a:fillRect/>
        </a:stretch>
      </xdr:blipFill>
      <xdr:spPr>
        <a:xfrm>
          <a:off x="6181090" y="15179040"/>
          <a:ext cx="5061585" cy="1828800"/>
        </a:xfrm>
        <a:prstGeom prst="rect">
          <a:avLst/>
        </a:prstGeom>
        <a:noFill/>
        <a:ln w="9525" cap="flat" cmpd="sng">
          <a:noFill/>
          <a:prstDash val="solid"/>
          <a:miter/>
        </a:ln>
        <a:effectLst/>
      </xdr:spPr>
    </xdr:pic>
    <xdr:clientData/>
  </xdr:twoCellAnchor>
  <xdr:twoCellAnchor>
    <xdr:from>
      <xdr:col>13</xdr:col>
      <xdr:colOff>120125</xdr:colOff>
      <xdr:row>40</xdr:row>
      <xdr:rowOff>0</xdr:rowOff>
    </xdr:from>
    <xdr:to>
      <xdr:col>17</xdr:col>
      <xdr:colOff>6121</xdr:colOff>
      <xdr:row>41</xdr:row>
      <xdr:rowOff>175021</xdr:rowOff>
    </xdr:to>
    <xdr:pic>
      <xdr:nvPicPr>
        <xdr:cNvPr id="11" name="图片 9" descr=" "/>
        <xdr:cNvPicPr/>
      </xdr:nvPicPr>
      <xdr:blipFill>
        <a:blip xmlns:r="http://schemas.openxmlformats.org/officeDocument/2006/relationships" r:embed="rId10"/>
        <a:srcRect/>
        <a:stretch>
          <a:fillRect/>
        </a:stretch>
      </xdr:blipFill>
      <xdr:spPr>
        <a:xfrm>
          <a:off x="9190990" y="8412480"/>
          <a:ext cx="2354580" cy="362585"/>
        </a:xfrm>
        <a:prstGeom prst="rect">
          <a:avLst/>
        </a:prstGeom>
        <a:noFill/>
        <a:ln w="9525" cap="flat" cmpd="sng">
          <a:noFill/>
          <a:prstDash val="solid"/>
          <a:miter/>
        </a:ln>
        <a:effectLst/>
      </xdr:spPr>
    </xdr:pic>
    <xdr:clientData/>
  </xdr:twoCellAnchor>
  <xdr:twoCellAnchor>
    <xdr:from>
      <xdr:col>11</xdr:col>
      <xdr:colOff>195872</xdr:colOff>
      <xdr:row>50</xdr:row>
      <xdr:rowOff>0</xdr:rowOff>
    </xdr:from>
    <xdr:to>
      <xdr:col>13</xdr:col>
      <xdr:colOff>368026</xdr:colOff>
      <xdr:row>55</xdr:row>
      <xdr:rowOff>0</xdr:rowOff>
    </xdr:to>
    <xdr:pic>
      <xdr:nvPicPr>
        <xdr:cNvPr id="12" name="图片 12" descr=" "/>
        <xdr:cNvPicPr/>
      </xdr:nvPicPr>
      <xdr:blipFill>
        <a:blip xmlns:r="http://schemas.openxmlformats.org/officeDocument/2006/relationships" r:embed="rId11"/>
        <a:srcRect/>
        <a:stretch>
          <a:fillRect/>
        </a:stretch>
      </xdr:blipFill>
      <xdr:spPr>
        <a:xfrm>
          <a:off x="8032750" y="13350240"/>
          <a:ext cx="1405890" cy="914400"/>
        </a:xfrm>
        <a:prstGeom prst="rect">
          <a:avLst/>
        </a:prstGeom>
        <a:noFill/>
        <a:ln w="9525" cap="flat" cmpd="sng">
          <a:noFill/>
          <a:prstDash val="solid"/>
          <a:miter/>
        </a:ln>
        <a:effectLst/>
      </xdr:spPr>
    </xdr:pic>
    <xdr:clientData/>
  </xdr:twoCellAnchor>
  <xdr:twoCellAnchor>
    <xdr:from>
      <xdr:col>1</xdr:col>
      <xdr:colOff>264322</xdr:colOff>
      <xdr:row>44</xdr:row>
      <xdr:rowOff>25003</xdr:rowOff>
    </xdr:from>
    <xdr:to>
      <xdr:col>4</xdr:col>
      <xdr:colOff>414699</xdr:colOff>
      <xdr:row>50</xdr:row>
      <xdr:rowOff>113903</xdr:rowOff>
    </xdr:to>
    <xdr:pic>
      <xdr:nvPicPr>
        <xdr:cNvPr id="13" name="图片 6" descr=" "/>
        <xdr:cNvPicPr/>
      </xdr:nvPicPr>
      <xdr:blipFill>
        <a:blip xmlns:r="http://schemas.openxmlformats.org/officeDocument/2006/relationships" r:embed="rId12"/>
        <a:srcRect/>
        <a:stretch>
          <a:fillRect/>
        </a:stretch>
      </xdr:blipFill>
      <xdr:spPr>
        <a:xfrm>
          <a:off x="1835150" y="12290425"/>
          <a:ext cx="2095500" cy="1174115"/>
        </a:xfrm>
        <a:prstGeom prst="rect">
          <a:avLst/>
        </a:prstGeom>
        <a:noFill/>
        <a:ln w="9525" cap="flat" cmpd="sng">
          <a:noFill/>
          <a:prstDash val="solid"/>
          <a:miter/>
        </a:ln>
        <a:effectLst/>
      </xdr:spPr>
    </xdr:pic>
    <xdr:clientData/>
  </xdr:twoCellAnchor>
  <xdr:twoCellAnchor>
    <xdr:from>
      <xdr:col>8</xdr:col>
      <xdr:colOff>205054</xdr:colOff>
      <xdr:row>13</xdr:row>
      <xdr:rowOff>0</xdr:rowOff>
    </xdr:from>
    <xdr:to>
      <xdr:col>21</xdr:col>
      <xdr:colOff>366496</xdr:colOff>
      <xdr:row>21</xdr:row>
      <xdr:rowOff>0</xdr:rowOff>
    </xdr:to>
    <xdr:pic>
      <xdr:nvPicPr>
        <xdr:cNvPr id="14" name="圖片 7" descr=" "/>
        <xdr:cNvPicPr/>
      </xdr:nvPicPr>
      <xdr:blipFill>
        <a:blip xmlns:r="http://schemas.openxmlformats.org/officeDocument/2006/relationships" r:embed="rId13"/>
        <a:srcRect/>
        <a:stretch>
          <a:fillRect/>
        </a:stretch>
      </xdr:blipFill>
      <xdr:spPr>
        <a:xfrm>
          <a:off x="6189980" y="2377440"/>
          <a:ext cx="8185150" cy="1463040"/>
        </a:xfrm>
        <a:prstGeom prst="rect">
          <a:avLst/>
        </a:prstGeom>
        <a:noFill/>
        <a:ln w="9525" cap="flat" cmpd="sng">
          <a:noFill/>
          <a:prstDash val="solid"/>
          <a:miter/>
        </a:ln>
        <a:effectLst/>
      </xdr:spPr>
    </xdr:pic>
    <xdr:clientData/>
  </xdr:twoCellAnchor>
  <xdr:twoCellAnchor>
    <xdr:from>
      <xdr:col>8</xdr:col>
      <xdr:colOff>224182</xdr:colOff>
      <xdr:row>10</xdr:row>
      <xdr:rowOff>0</xdr:rowOff>
    </xdr:from>
    <xdr:to>
      <xdr:col>21</xdr:col>
      <xdr:colOff>289983</xdr:colOff>
      <xdr:row>13</xdr:row>
      <xdr:rowOff>0</xdr:rowOff>
    </xdr:to>
    <xdr:pic>
      <xdr:nvPicPr>
        <xdr:cNvPr id="15" name="圖片 13" descr=" "/>
        <xdr:cNvPicPr/>
      </xdr:nvPicPr>
      <xdr:blipFill>
        <a:blip xmlns:r="http://schemas.openxmlformats.org/officeDocument/2006/relationships" r:embed="rId14"/>
        <a:srcRect/>
        <a:stretch>
          <a:fillRect/>
        </a:stretch>
      </xdr:blipFill>
      <xdr:spPr>
        <a:xfrm>
          <a:off x="6209665" y="1828800"/>
          <a:ext cx="8089265" cy="54864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14</xdr:col>
      <xdr:colOff>774009</xdr:colOff>
      <xdr:row>30</xdr:row>
      <xdr:rowOff>0</xdr:rowOff>
    </xdr:from>
    <xdr:to>
      <xdr:col>16</xdr:col>
      <xdr:colOff>104746</xdr:colOff>
      <xdr:row>32</xdr:row>
      <xdr:rowOff>126952</xdr:rowOff>
    </xdr:to>
    <xdr:pic>
      <xdr:nvPicPr>
        <xdr:cNvPr id="2" name="_x0000_s10298" descr=" "/>
        <xdr:cNvPicPr/>
      </xdr:nvPicPr>
      <xdr:blipFill>
        <a:blip xmlns:r="http://schemas.openxmlformats.org/officeDocument/2006/relationships" r:embed="rId1"/>
        <a:srcRect/>
        <a:stretch>
          <a:fillRect/>
        </a:stretch>
      </xdr:blipFill>
      <xdr:spPr>
        <a:xfrm>
          <a:off x="11480800" y="7740650"/>
          <a:ext cx="847090" cy="646430"/>
        </a:xfrm>
        <a:prstGeom prst="rect">
          <a:avLst/>
        </a:prstGeom>
        <a:noFill/>
        <a:ln w="9525" cap="flat" cmpd="sng">
          <a:noFill/>
          <a:prstDash val="solid"/>
          <a:round/>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chank/Documents/Tencent%2520Files/2592616838/FileRecv/&#25136;&#39717;&#35336;&#31639;(&#35443;&#32048;)2.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說明"/>
      <sheetName val="戰鬥計算"/>
      <sheetName val="角色屬性"/>
      <sheetName val="技能或寶具"/>
    </sheetNames>
    <sheetDataSet>
      <sheetData sheetId="0"/>
      <sheetData sheetId="1"/>
      <sheetData sheetId="2"/>
      <sheetData sheetId="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sheet1.xml><?xml version="1.0" encoding="utf-8"?>
<worksheet xmlns:r="http://schemas.openxmlformats.org/officeDocument/2006/relationships" xmlns="http://schemas.openxmlformats.org/spreadsheetml/2006/main">
  <dimension ref="A1:C11"/>
  <sheetViews>
    <sheetView workbookViewId="0">
      <selection activeCell="B12" sqref="B12"/>
    </sheetView>
  </sheetViews>
  <sheetFormatPr defaultRowHeight="14.0" defaultColWidth="9"/>
  <cols>
    <col min="1" max="1" customWidth="0" width="11.90625" style="0"/>
  </cols>
  <sheetData>
    <row r="1" spans="8:8">
      <c r="A1" s="1" t="s">
        <v>0</v>
      </c>
    </row>
    <row r="2" spans="8:8">
      <c r="A2" s="1"/>
    </row>
    <row r="3" spans="8:8">
      <c r="A3" s="1" t="s">
        <v>1</v>
      </c>
    </row>
    <row r="4" spans="8:8">
      <c r="A4" s="1">
        <v>44160.0</v>
      </c>
      <c r="B4" t="s">
        <v>2</v>
      </c>
    </row>
    <row r="5" spans="8:8">
      <c r="A5" s="1" t="s">
        <v>3</v>
      </c>
      <c r="B5" t="s">
        <v>4</v>
      </c>
    </row>
    <row r="6" spans="8:8">
      <c r="A6" s="1"/>
      <c r="B6" t="s">
        <v>5</v>
      </c>
    </row>
    <row r="7" spans="8:8">
      <c r="A7" s="1"/>
      <c r="B7" t="s">
        <v>6</v>
      </c>
    </row>
    <row r="8" spans="8:8">
      <c r="A8" s="1">
        <v>44161.0</v>
      </c>
      <c r="B8" t="s">
        <v>7</v>
      </c>
    </row>
    <row r="9" spans="8:8">
      <c r="A9" s="1"/>
      <c r="B9" t="s">
        <v>8</v>
      </c>
    </row>
    <row r="10" spans="8:8">
      <c r="A10" s="1">
        <v>45824.0</v>
      </c>
      <c r="B10" t="s">
        <v>9</v>
      </c>
    </row>
    <row r="11" spans="8:8">
      <c r="B11" t="s">
        <v>10</v>
      </c>
    </row>
  </sheetData>
  <pageMargins left="0.75" right="0.75" top="1.0" bottom="1.0" header="0.5" footer="0.5"/>
</worksheet>
</file>

<file path=xl/worksheets/sheet2.xml><?xml version="1.0" encoding="utf-8"?>
<worksheet xmlns:r="http://schemas.openxmlformats.org/officeDocument/2006/relationships" xmlns="http://schemas.openxmlformats.org/spreadsheetml/2006/main">
  <dimension ref="A1:O119"/>
  <sheetViews>
    <sheetView workbookViewId="0" topLeftCell="A13">
      <selection activeCell="B42" sqref="B42:N42"/>
    </sheetView>
  </sheetViews>
  <sheetFormatPr defaultRowHeight="14.0" defaultColWidth="9"/>
  <cols>
    <col min="1" max="1" customWidth="1" width="22.90625" style="0"/>
    <col min="2" max="2" customWidth="1" width="10.363281" style="0"/>
  </cols>
  <sheetData>
    <row r="1" spans="8:8">
      <c r="B1" t="s">
        <v>11</v>
      </c>
    </row>
    <row r="2" spans="8:8">
      <c r="A2">
        <v>2.0</v>
      </c>
      <c r="B2" t="s">
        <v>12</v>
      </c>
    </row>
    <row r="3" spans="8:8">
      <c r="A3">
        <v>2.1</v>
      </c>
      <c r="B3" s="2" t="s">
        <v>13</v>
      </c>
    </row>
    <row r="4" spans="8:8">
      <c r="A4" s="3">
        <v>2.2</v>
      </c>
      <c r="B4" t="s">
        <v>14</v>
      </c>
    </row>
    <row r="5" spans="8:8">
      <c r="A5" s="3"/>
      <c r="B5" t="s">
        <v>15</v>
      </c>
    </row>
    <row r="6" spans="8:8">
      <c r="A6" s="3"/>
      <c r="B6" t="s">
        <v>16</v>
      </c>
    </row>
    <row r="7" spans="8:8">
      <c r="A7" s="3">
        <v>2.21</v>
      </c>
      <c r="B7" s="2" t="s">
        <v>17</v>
      </c>
    </row>
    <row r="8" spans="8:8">
      <c r="A8" s="3"/>
      <c r="B8" s="4" t="s">
        <v>18</v>
      </c>
    </row>
    <row r="9" spans="8:8">
      <c r="A9" s="3"/>
      <c r="B9" s="2" t="s">
        <v>19</v>
      </c>
    </row>
    <row r="10" spans="8:8">
      <c r="A10">
        <v>2.22</v>
      </c>
      <c r="B10" t="s">
        <v>20</v>
      </c>
    </row>
    <row r="11" spans="8:8">
      <c r="A11">
        <v>2.3</v>
      </c>
      <c r="B11" s="4" t="s">
        <v>21</v>
      </c>
    </row>
    <row r="12" spans="8:8">
      <c r="B12" s="4" t="s">
        <v>22</v>
      </c>
    </row>
    <row r="13" spans="8:8">
      <c r="B13" s="4" t="s">
        <v>23</v>
      </c>
    </row>
    <row r="14" spans="8:8">
      <c r="B14" s="4" t="s">
        <v>24</v>
      </c>
    </row>
    <row r="15" spans="8:8">
      <c r="A15">
        <v>2.31</v>
      </c>
      <c r="B15" t="s">
        <v>25</v>
      </c>
    </row>
    <row r="16" spans="8:8">
      <c r="A16">
        <v>2.32</v>
      </c>
      <c r="B16" t="s">
        <v>26</v>
      </c>
    </row>
    <row r="17" spans="8:8">
      <c r="A17">
        <v>2.33</v>
      </c>
      <c r="B17" t="s">
        <v>27</v>
      </c>
    </row>
    <row r="18" spans="8:8">
      <c r="B18" t="s">
        <v>28</v>
      </c>
    </row>
    <row r="19" spans="8:8">
      <c r="B19" t="s">
        <v>29</v>
      </c>
    </row>
    <row r="20" spans="8:8">
      <c r="A20">
        <v>2.34</v>
      </c>
      <c r="B20" s="2" t="s">
        <v>30</v>
      </c>
    </row>
    <row r="21" spans="8:8">
      <c r="A21">
        <v>2.35</v>
      </c>
      <c r="B21" s="5" t="s">
        <v>31</v>
      </c>
      <c r="C21" s="5"/>
      <c r="D21" s="5"/>
      <c r="E21" s="5"/>
      <c r="F21" s="5"/>
      <c r="G21" s="5"/>
      <c r="H21" s="5"/>
    </row>
    <row r="22" spans="8:8">
      <c r="B22" s="5"/>
      <c r="C22" s="5"/>
      <c r="D22" s="5"/>
      <c r="E22" s="5"/>
      <c r="F22" s="5"/>
      <c r="G22" s="5"/>
      <c r="H22" s="5"/>
    </row>
    <row r="32" spans="8:8">
      <c r="A32" s="3" t="s">
        <v>32</v>
      </c>
      <c r="B32" s="3"/>
      <c r="C32" s="3"/>
      <c r="D32" s="3"/>
      <c r="E32" s="3"/>
      <c r="F32" s="3"/>
      <c r="G32" s="3"/>
    </row>
    <row r="33" spans="8:8">
      <c r="A33" s="3"/>
      <c r="B33" s="3"/>
      <c r="C33" s="3"/>
      <c r="D33" s="3"/>
      <c r="E33" s="3"/>
      <c r="F33" s="3"/>
      <c r="G33" s="3"/>
    </row>
    <row r="34" spans="8:8">
      <c r="A34">
        <v>1.0</v>
      </c>
      <c r="B34" t="s">
        <v>33</v>
      </c>
    </row>
    <row r="35" spans="8:8">
      <c r="A35">
        <v>2.0</v>
      </c>
      <c r="B35" t="s">
        <v>34</v>
      </c>
    </row>
    <row r="36" spans="8:8">
      <c r="A36">
        <v>3.0</v>
      </c>
      <c r="B36" t="s">
        <v>35</v>
      </c>
    </row>
    <row r="40" spans="8:8" ht="98.0">
      <c r="A40" s="6" t="s">
        <v>36</v>
      </c>
      <c r="B40" t="s">
        <v>37</v>
      </c>
    </row>
    <row r="41" spans="8:8">
      <c r="B41" t="s">
        <v>38</v>
      </c>
    </row>
    <row r="42" spans="8:8" ht="252.0">
      <c r="A42" s="6" t="s">
        <v>39</v>
      </c>
      <c r="B42" s="7" t="s">
        <v>40</v>
      </c>
      <c r="C42" s="7"/>
      <c r="D42" s="7"/>
      <c r="E42" s="7"/>
      <c r="F42" s="7"/>
      <c r="G42" s="7"/>
      <c r="H42" s="7"/>
      <c r="I42" s="7"/>
      <c r="J42" s="7"/>
      <c r="K42" s="7"/>
      <c r="L42" s="7"/>
      <c r="M42" s="7"/>
      <c r="N42" s="7"/>
    </row>
    <row r="43" spans="8:8">
      <c r="A43" t="s">
        <v>41</v>
      </c>
    </row>
    <row r="44" spans="8:8">
      <c r="A44" t="s">
        <v>42</v>
      </c>
    </row>
    <row r="52" spans="8:8">
      <c r="A52" s="8" t="s">
        <v>43</v>
      </c>
      <c r="B52" s="8"/>
      <c r="C52" s="8"/>
      <c r="D52" s="8"/>
      <c r="E52" s="8"/>
      <c r="F52" s="8"/>
      <c r="G52" s="8"/>
    </row>
    <row r="53" spans="8:8">
      <c r="A53" s="8"/>
      <c r="B53" s="8"/>
      <c r="C53" s="8"/>
      <c r="D53" s="8"/>
      <c r="E53" s="8"/>
      <c r="F53" s="8"/>
      <c r="G53" s="8"/>
    </row>
    <row r="116" spans="8:8">
      <c r="A116" s="2" t="s">
        <v>44</v>
      </c>
    </row>
    <row r="117" spans="8:8">
      <c r="A117" t="s">
        <v>45</v>
      </c>
    </row>
    <row r="119" spans="8:8">
      <c r="A119" t="s">
        <v>46</v>
      </c>
    </row>
  </sheetData>
  <mergeCells count="6">
    <mergeCell ref="B42:N42"/>
    <mergeCell ref="A52:G53"/>
    <mergeCell ref="A4:A6"/>
    <mergeCell ref="A7:A9"/>
    <mergeCell ref="B21:H22"/>
    <mergeCell ref="A32:G33"/>
  </mergeCells>
  <pageMargins left="0.75" right="0.75" top="1.0" bottom="1.0" header="0.511805555555556" footer="0.511805555555556"/>
  <drawing r:id="rId1"/>
</worksheet>
</file>

<file path=xl/worksheets/sheet3.xml><?xml version="1.0" encoding="utf-8"?>
<worksheet xmlns:r="http://schemas.openxmlformats.org/officeDocument/2006/relationships" xmlns="http://schemas.openxmlformats.org/spreadsheetml/2006/main">
  <dimension ref="B2:AM103"/>
  <sheetViews>
    <sheetView workbookViewId="0" zoomScale="80">
      <pane xSplit="3" ySplit="3" topLeftCell="P13" state="frozen" activePane="bottomRight"/>
      <selection pane="bottomRight" activeCell="Q18" sqref="Q18"/>
    </sheetView>
  </sheetViews>
  <sheetFormatPr defaultRowHeight="14.0" defaultColWidth="9"/>
  <cols>
    <col min="3" max="3" customWidth="1" width="14.90625" style="0"/>
  </cols>
  <sheetData>
    <row r="3" spans="8:8">
      <c r="B3" s="9"/>
      <c r="C3" s="10"/>
      <c r="D3" s="11" t="s">
        <v>47</v>
      </c>
      <c r="E3" s="12" t="s">
        <v>48</v>
      </c>
      <c r="F3" s="12" t="s">
        <v>49</v>
      </c>
      <c r="G3" s="12" t="s">
        <v>50</v>
      </c>
      <c r="H3" s="12" t="s">
        <v>51</v>
      </c>
      <c r="I3" s="12" t="s">
        <v>52</v>
      </c>
      <c r="J3" s="12" t="s">
        <v>53</v>
      </c>
      <c r="K3" s="13" t="s">
        <v>54</v>
      </c>
      <c r="L3" s="13" t="s">
        <v>55</v>
      </c>
      <c r="M3" s="13" t="s">
        <v>56</v>
      </c>
      <c r="N3" s="13" t="s">
        <v>57</v>
      </c>
      <c r="O3" s="13" t="s">
        <v>58</v>
      </c>
      <c r="P3" s="13" t="s">
        <v>59</v>
      </c>
      <c r="Q3" s="13" t="s">
        <v>60</v>
      </c>
      <c r="R3" s="13" t="s">
        <v>61</v>
      </c>
      <c r="S3" s="13" t="s">
        <v>62</v>
      </c>
      <c r="T3" s="13" t="s">
        <v>63</v>
      </c>
      <c r="U3" s="13" t="s">
        <v>64</v>
      </c>
      <c r="V3" s="13" t="s">
        <v>65</v>
      </c>
      <c r="W3" s="13" t="s">
        <v>66</v>
      </c>
      <c r="X3" s="13" t="s">
        <v>67</v>
      </c>
      <c r="Y3" s="13" t="s">
        <v>68</v>
      </c>
      <c r="Z3" s="13" t="s">
        <v>69</v>
      </c>
      <c r="AA3" s="13" t="s">
        <v>70</v>
      </c>
      <c r="AB3" s="13" t="s">
        <v>71</v>
      </c>
      <c r="AC3" s="13" t="s">
        <v>72</v>
      </c>
      <c r="AD3" s="13" t="s">
        <v>73</v>
      </c>
      <c r="AE3" s="13" t="s">
        <v>74</v>
      </c>
      <c r="AF3" s="13" t="s">
        <v>75</v>
      </c>
      <c r="AG3" s="13" t="s">
        <v>76</v>
      </c>
      <c r="AH3" s="13" t="s">
        <v>77</v>
      </c>
      <c r="AI3" s="13" t="s">
        <v>78</v>
      </c>
      <c r="AJ3" s="13" t="s">
        <v>79</v>
      </c>
      <c r="AK3" s="13" t="s">
        <v>80</v>
      </c>
      <c r="AL3" s="14" t="s">
        <v>81</v>
      </c>
    </row>
    <row r="4" spans="8:8">
      <c r="B4" s="15" t="s">
        <v>82</v>
      </c>
      <c r="C4" s="16" t="s">
        <v>83</v>
      </c>
      <c r="D4" s="17"/>
      <c r="E4" s="17"/>
      <c r="F4" s="17"/>
      <c r="G4" s="17"/>
      <c r="H4" s="17"/>
      <c r="I4" s="17"/>
      <c r="J4" s="17"/>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row>
    <row r="5" spans="8:8" ht="15.0">
      <c r="B5" s="19"/>
      <c r="C5" s="15" t="s">
        <v>84</v>
      </c>
      <c r="D5" s="20">
        <f t="shared" si="0" ref="D5:J5">K5+R5</f>
        <v>0.0</v>
      </c>
      <c r="E5" s="20">
        <f t="shared" si="0"/>
        <v>0.0</v>
      </c>
      <c r="F5" s="20">
        <f t="shared" si="0"/>
        <v>0.0</v>
      </c>
      <c r="G5" s="20">
        <f t="shared" si="0"/>
        <v>0.0</v>
      </c>
      <c r="H5" s="20">
        <f t="shared" si="0"/>
        <v>0.0</v>
      </c>
      <c r="I5" s="20">
        <f t="shared" si="0"/>
        <v>0.0</v>
      </c>
      <c r="J5" s="20">
        <f t="shared" si="0"/>
        <v>0.0</v>
      </c>
      <c r="K5" s="21"/>
      <c r="L5" s="21"/>
      <c r="M5" s="21"/>
      <c r="N5" s="21"/>
      <c r="O5" s="21"/>
      <c r="P5" s="21"/>
      <c r="Q5" s="21"/>
      <c r="R5" s="21">
        <f>Y5+AF5</f>
        <v>0.0</v>
      </c>
      <c r="S5" s="21">
        <f t="shared" si="1" ref="S5:X5">Z5+AG5</f>
        <v>0.0</v>
      </c>
      <c r="T5" s="21">
        <f t="shared" si="1"/>
        <v>0.0</v>
      </c>
      <c r="U5" s="21">
        <f t="shared" si="1"/>
        <v>0.0</v>
      </c>
      <c r="V5" s="21">
        <f t="shared" si="1"/>
        <v>0.0</v>
      </c>
      <c r="W5" s="21">
        <f t="shared" si="1"/>
        <v>0.0</v>
      </c>
      <c r="X5" s="21">
        <f t="shared" si="1"/>
        <v>0.0</v>
      </c>
      <c r="Y5" s="21"/>
      <c r="Z5" s="21"/>
      <c r="AA5" s="21"/>
      <c r="AB5" s="21"/>
      <c r="AC5" s="21"/>
      <c r="AD5" s="21"/>
      <c r="AE5" s="21"/>
      <c r="AF5" s="21"/>
      <c r="AG5" s="21"/>
      <c r="AH5" s="21"/>
      <c r="AI5" s="21"/>
      <c r="AJ5" s="21"/>
      <c r="AK5" s="21"/>
      <c r="AL5" s="21"/>
    </row>
    <row r="6" spans="8:8" ht="15.0">
      <c r="B6" s="19"/>
      <c r="C6" s="22"/>
      <c r="D6" s="20">
        <f>K6+R6</f>
        <v>0.0</v>
      </c>
      <c r="E6" s="20">
        <f t="shared" si="2" ref="E6:E47">L6+S6</f>
        <v>0.0</v>
      </c>
      <c r="F6" s="20">
        <f t="shared" si="3" ref="F6:F47">M6+T6</f>
        <v>0.0</v>
      </c>
      <c r="G6" s="20">
        <f t="shared" si="4" ref="G6:G47">N6+U6</f>
        <v>0.0</v>
      </c>
      <c r="H6" s="20">
        <f t="shared" si="5" ref="H6:H47">O6+V6</f>
        <v>0.0</v>
      </c>
      <c r="I6" s="20">
        <f t="shared" si="6" ref="I6:I47">P6+W6</f>
        <v>0.0</v>
      </c>
      <c r="J6" s="20">
        <f t="shared" si="7" ref="J6:J47">Q6+X6</f>
        <v>0.0</v>
      </c>
      <c r="K6" s="21"/>
      <c r="L6" s="21"/>
      <c r="M6" s="21"/>
      <c r="N6" s="21"/>
      <c r="O6" s="21"/>
      <c r="P6" s="21"/>
      <c r="Q6" s="21"/>
      <c r="R6" s="21">
        <f t="shared" si="8" ref="R6:R47">Y6+AF6</f>
        <v>0.0</v>
      </c>
      <c r="S6" s="21">
        <f t="shared" si="9" ref="S6:S47">Z6+AG6</f>
        <v>0.0</v>
      </c>
      <c r="T6" s="21">
        <f t="shared" si="10" ref="T6:T47">AA6+AH6</f>
        <v>0.0</v>
      </c>
      <c r="U6" s="21">
        <f>AB6+AI6</f>
        <v>0.0</v>
      </c>
      <c r="V6" s="21">
        <f t="shared" si="11" ref="V6:V47">AC6+AJ6</f>
        <v>0.0</v>
      </c>
      <c r="W6" s="21">
        <f t="shared" si="12" ref="W6:W47">AD6+AK6</f>
        <v>0.0</v>
      </c>
      <c r="X6" s="21">
        <f t="shared" si="13" ref="X6:X47">AE6+AL6</f>
        <v>0.0</v>
      </c>
      <c r="Y6" s="21"/>
      <c r="Z6" s="21"/>
      <c r="AA6" s="21"/>
      <c r="AB6" s="21"/>
      <c r="AC6" s="21"/>
      <c r="AD6" s="21"/>
      <c r="AE6" s="21"/>
      <c r="AF6" s="21"/>
      <c r="AG6" s="21"/>
      <c r="AH6" s="21"/>
      <c r="AI6" s="21"/>
      <c r="AJ6" s="21"/>
      <c r="AK6" s="21"/>
      <c r="AL6" s="21"/>
    </row>
    <row r="7" spans="8:8" ht="14.25" customHeight="1">
      <c r="B7" s="19" t="s">
        <v>253</v>
      </c>
      <c r="C7" s="22" t="s">
        <v>240</v>
      </c>
      <c r="D7" s="20">
        <f>K7+R7</f>
        <v>70.0</v>
      </c>
      <c r="E7" s="20">
        <f t="shared" si="2"/>
        <v>45.0</v>
      </c>
      <c r="F7" s="20">
        <f t="shared" si="3"/>
        <v>50.0</v>
      </c>
      <c r="G7" s="20">
        <f t="shared" si="4"/>
        <v>80.0</v>
      </c>
      <c r="H7" s="20">
        <f t="shared" si="5"/>
        <v>45.0</v>
      </c>
      <c r="I7" s="20">
        <f t="shared" si="6"/>
        <v>50.0</v>
      </c>
      <c r="J7" s="20">
        <f t="shared" si="7"/>
        <v>55.0</v>
      </c>
      <c r="K7" s="21"/>
      <c r="L7" s="21"/>
      <c r="M7" s="21"/>
      <c r="N7" s="21"/>
      <c r="O7" s="21"/>
      <c r="P7" s="21"/>
      <c r="Q7" s="21"/>
      <c r="R7" s="21">
        <f t="shared" si="8"/>
        <v>70.0</v>
      </c>
      <c r="S7" s="21">
        <f t="shared" si="9"/>
        <v>45.0</v>
      </c>
      <c r="T7" s="21">
        <f t="shared" si="10"/>
        <v>50.0</v>
      </c>
      <c r="U7" s="21">
        <f t="shared" si="14" ref="U7:U47">AB7+AI7</f>
        <v>80.0</v>
      </c>
      <c r="V7" s="21">
        <f t="shared" si="11"/>
        <v>45.0</v>
      </c>
      <c r="W7" s="21">
        <f t="shared" si="12"/>
        <v>50.0</v>
      </c>
      <c r="X7" s="21">
        <f t="shared" si="13"/>
        <v>55.0</v>
      </c>
      <c r="Y7" s="21">
        <v>70.0</v>
      </c>
      <c r="Z7" s="21">
        <v>45.0</v>
      </c>
      <c r="AA7" s="21">
        <v>50.0</v>
      </c>
      <c r="AB7" s="21">
        <v>80.0</v>
      </c>
      <c r="AC7" s="21">
        <v>45.0</v>
      </c>
      <c r="AD7" s="21">
        <v>50.0</v>
      </c>
      <c r="AE7" s="21">
        <v>55.0</v>
      </c>
      <c r="AF7" s="21"/>
      <c r="AG7" s="21"/>
      <c r="AH7" s="21"/>
      <c r="AI7" s="21"/>
      <c r="AJ7" s="21"/>
      <c r="AK7" s="21"/>
      <c r="AL7" s="21"/>
    </row>
    <row r="8" spans="8:8" ht="14.25" customHeight="1">
      <c r="B8" s="19" t="s">
        <v>254</v>
      </c>
      <c r="C8" s="22" t="s">
        <v>241</v>
      </c>
      <c r="D8" s="20">
        <f t="shared" si="15" ref="D8:D47">K8+R8</f>
        <v>70.0</v>
      </c>
      <c r="E8" s="20">
        <f t="shared" si="2"/>
        <v>30.0</v>
      </c>
      <c r="F8" s="20">
        <f t="shared" si="3"/>
        <v>70.0</v>
      </c>
      <c r="G8" s="20">
        <f t="shared" si="4"/>
        <v>90.0</v>
      </c>
      <c r="H8" s="20">
        <f t="shared" si="5"/>
        <v>20.0</v>
      </c>
      <c r="I8" s="20">
        <f t="shared" si="6"/>
        <v>50.0</v>
      </c>
      <c r="J8" s="20">
        <f t="shared" si="7"/>
        <v>50.0</v>
      </c>
      <c r="K8" s="21"/>
      <c r="L8" s="21"/>
      <c r="M8" s="21"/>
      <c r="N8" s="21"/>
      <c r="O8" s="21"/>
      <c r="P8" s="21"/>
      <c r="Q8" s="21"/>
      <c r="R8" s="21">
        <f t="shared" si="8"/>
        <v>70.0</v>
      </c>
      <c r="S8" s="21">
        <f t="shared" si="9"/>
        <v>30.0</v>
      </c>
      <c r="T8" s="21">
        <f t="shared" si="10"/>
        <v>70.0</v>
      </c>
      <c r="U8" s="21">
        <f t="shared" si="14"/>
        <v>90.0</v>
      </c>
      <c r="V8" s="21">
        <f t="shared" si="11"/>
        <v>20.0</v>
      </c>
      <c r="W8" s="21">
        <f t="shared" si="12"/>
        <v>50.0</v>
      </c>
      <c r="X8" s="21">
        <f t="shared" si="13"/>
        <v>50.0</v>
      </c>
      <c r="Y8" s="21">
        <v>70.0</v>
      </c>
      <c r="Z8" s="21">
        <v>30.0</v>
      </c>
      <c r="AA8" s="21">
        <v>70.0</v>
      </c>
      <c r="AB8" s="21">
        <v>90.0</v>
      </c>
      <c r="AC8" s="21">
        <v>20.0</v>
      </c>
      <c r="AD8" s="21">
        <v>50.0</v>
      </c>
      <c r="AE8" s="21">
        <v>50.0</v>
      </c>
      <c r="AF8" s="21"/>
      <c r="AG8" s="21"/>
      <c r="AH8" s="21"/>
      <c r="AI8" s="21"/>
      <c r="AJ8" s="21"/>
      <c r="AK8" s="21"/>
      <c r="AL8" s="21"/>
    </row>
    <row r="9" spans="8:8" ht="15.0">
      <c r="B9" s="19" t="s">
        <v>255</v>
      </c>
      <c r="C9" s="22" t="s">
        <v>242</v>
      </c>
      <c r="D9" s="20">
        <f t="shared" si="15"/>
        <v>70.0</v>
      </c>
      <c r="E9" s="20">
        <f t="shared" si="2"/>
        <v>30.0</v>
      </c>
      <c r="F9" s="20">
        <f t="shared" si="3"/>
        <v>60.0</v>
      </c>
      <c r="G9" s="20">
        <f t="shared" si="4"/>
        <v>90.0</v>
      </c>
      <c r="H9" s="20">
        <f t="shared" si="5"/>
        <v>20.0</v>
      </c>
      <c r="I9" s="20">
        <f t="shared" si="6"/>
        <v>80.0</v>
      </c>
      <c r="J9" s="20">
        <f t="shared" si="7"/>
        <v>55.0</v>
      </c>
      <c r="K9" s="21"/>
      <c r="L9" s="21"/>
      <c r="M9" s="21"/>
      <c r="N9" s="21"/>
      <c r="O9" s="21"/>
      <c r="P9" s="21"/>
      <c r="Q9" s="21"/>
      <c r="R9" s="21">
        <f t="shared" si="8"/>
        <v>70.0</v>
      </c>
      <c r="S9" s="21">
        <f t="shared" si="9"/>
        <v>30.0</v>
      </c>
      <c r="T9" s="21">
        <f t="shared" si="10"/>
        <v>60.0</v>
      </c>
      <c r="U9" s="21">
        <f t="shared" si="14"/>
        <v>90.0</v>
      </c>
      <c r="V9" s="21">
        <f t="shared" si="11"/>
        <v>20.0</v>
      </c>
      <c r="W9" s="21">
        <f t="shared" si="12"/>
        <v>80.0</v>
      </c>
      <c r="X9" s="21">
        <f t="shared" si="13"/>
        <v>55.0</v>
      </c>
      <c r="Y9" s="21">
        <v>70.0</v>
      </c>
      <c r="Z9" s="21">
        <v>30.0</v>
      </c>
      <c r="AA9" s="21">
        <v>60.0</v>
      </c>
      <c r="AB9" s="21">
        <v>90.0</v>
      </c>
      <c r="AC9" s="21">
        <v>20.0</v>
      </c>
      <c r="AD9" s="21">
        <v>80.0</v>
      </c>
      <c r="AE9" s="21">
        <v>55.0</v>
      </c>
      <c r="AF9" s="21"/>
      <c r="AG9" s="21"/>
      <c r="AH9" s="21"/>
      <c r="AI9" s="21"/>
      <c r="AJ9" s="21"/>
      <c r="AK9" s="21"/>
      <c r="AL9" s="21"/>
    </row>
    <row r="10" spans="8:8" ht="14.0">
      <c r="B10" s="19" t="s">
        <v>256</v>
      </c>
      <c r="C10" s="22" t="s">
        <v>268</v>
      </c>
      <c r="D10" s="20">
        <f t="shared" si="15"/>
        <v>70.0</v>
      </c>
      <c r="E10" s="20">
        <f t="shared" si="2"/>
        <v>105.0</v>
      </c>
      <c r="F10" s="20">
        <f t="shared" si="3"/>
        <v>175.0</v>
      </c>
      <c r="G10" s="20">
        <f t="shared" si="4"/>
        <v>40.0</v>
      </c>
      <c r="H10" s="20">
        <f t="shared" si="5"/>
        <v>35.0</v>
      </c>
      <c r="I10" s="20">
        <f t="shared" si="6"/>
        <v>80.0</v>
      </c>
      <c r="J10" s="20">
        <f t="shared" si="7"/>
        <v>55.0</v>
      </c>
      <c r="K10" s="21"/>
      <c r="L10" s="21">
        <v>95.0</v>
      </c>
      <c r="M10" s="21">
        <v>95.0</v>
      </c>
      <c r="N10" s="21">
        <v>-20.0</v>
      </c>
      <c r="O10" s="21">
        <v>15.0</v>
      </c>
      <c r="P10" s="21"/>
      <c r="Q10" s="21"/>
      <c r="R10" s="21">
        <f t="shared" si="8"/>
        <v>70.0</v>
      </c>
      <c r="S10" s="21">
        <f t="shared" si="9"/>
        <v>10.0</v>
      </c>
      <c r="T10" s="21">
        <f t="shared" si="10"/>
        <v>80.0</v>
      </c>
      <c r="U10" s="21">
        <f t="shared" si="14"/>
        <v>60.0</v>
      </c>
      <c r="V10" s="21">
        <f t="shared" si="11"/>
        <v>20.0</v>
      </c>
      <c r="W10" s="21">
        <f t="shared" si="12"/>
        <v>80.0</v>
      </c>
      <c r="X10" s="21">
        <f t="shared" si="13"/>
        <v>55.0</v>
      </c>
      <c r="Y10" s="21">
        <v>70.0</v>
      </c>
      <c r="Z10" s="21">
        <v>10.0</v>
      </c>
      <c r="AA10" s="21">
        <v>80.0</v>
      </c>
      <c r="AB10" s="21">
        <v>60.0</v>
      </c>
      <c r="AC10" s="21">
        <v>20.0</v>
      </c>
      <c r="AD10" s="21">
        <v>80.0</v>
      </c>
      <c r="AE10" s="21">
        <v>55.0</v>
      </c>
      <c r="AF10" s="21"/>
      <c r="AG10" s="21"/>
      <c r="AH10" s="21"/>
      <c r="AI10" s="21"/>
      <c r="AJ10" s="21"/>
      <c r="AK10" s="21"/>
      <c r="AL10" s="21"/>
    </row>
    <row r="11" spans="8:8" ht="15.0">
      <c r="B11" s="19" t="s">
        <v>257</v>
      </c>
      <c r="C11" s="22" t="s">
        <v>244</v>
      </c>
      <c r="D11" s="20">
        <f t="shared" si="15"/>
        <v>70.0</v>
      </c>
      <c r="E11" s="20">
        <f t="shared" si="2"/>
        <v>35.0</v>
      </c>
      <c r="F11" s="20">
        <f t="shared" si="3"/>
        <v>35.0</v>
      </c>
      <c r="G11" s="20">
        <f t="shared" si="4"/>
        <v>35.0</v>
      </c>
      <c r="H11" s="20">
        <f t="shared" si="5"/>
        <v>105.0</v>
      </c>
      <c r="I11" s="20">
        <f t="shared" si="6"/>
        <v>80.0</v>
      </c>
      <c r="J11" s="20">
        <f t="shared" si="7"/>
        <v>50.0</v>
      </c>
      <c r="K11" s="21"/>
      <c r="L11" s="21">
        <v>15.0</v>
      </c>
      <c r="M11" s="21">
        <v>15.0</v>
      </c>
      <c r="N11" s="21">
        <v>15.0</v>
      </c>
      <c r="O11" s="21">
        <v>15.0</v>
      </c>
      <c r="P11" s="21"/>
      <c r="Q11" s="21"/>
      <c r="R11" s="21">
        <f t="shared" si="8"/>
        <v>70.0</v>
      </c>
      <c r="S11" s="21">
        <f t="shared" si="9"/>
        <v>20.0</v>
      </c>
      <c r="T11" s="21">
        <f t="shared" si="10"/>
        <v>20.0</v>
      </c>
      <c r="U11" s="21">
        <f t="shared" si="14"/>
        <v>20.0</v>
      </c>
      <c r="V11" s="21">
        <f t="shared" si="11"/>
        <v>90.0</v>
      </c>
      <c r="W11" s="21">
        <f t="shared" si="12"/>
        <v>80.0</v>
      </c>
      <c r="X11" s="21">
        <f t="shared" si="13"/>
        <v>50.0</v>
      </c>
      <c r="Y11" s="21">
        <v>70.0</v>
      </c>
      <c r="Z11" s="21">
        <v>20.0</v>
      </c>
      <c r="AA11" s="21">
        <v>20.0</v>
      </c>
      <c r="AB11" s="21">
        <v>20.0</v>
      </c>
      <c r="AC11" s="21">
        <v>90.0</v>
      </c>
      <c r="AD11" s="21">
        <v>80.0</v>
      </c>
      <c r="AE11" s="21">
        <v>50.0</v>
      </c>
      <c r="AF11" s="21"/>
      <c r="AG11" s="21"/>
      <c r="AH11" s="21"/>
      <c r="AI11" s="21"/>
      <c r="AJ11" s="21"/>
      <c r="AK11" s="21"/>
      <c r="AL11" s="21"/>
    </row>
    <row r="12" spans="8:8" ht="15.0">
      <c r="B12" s="19" t="s">
        <v>258</v>
      </c>
      <c r="C12" s="22" t="s">
        <v>245</v>
      </c>
      <c r="D12" s="20">
        <f t="shared" si="15"/>
        <v>40.0</v>
      </c>
      <c r="E12" s="20">
        <f t="shared" si="2"/>
        <v>30.0</v>
      </c>
      <c r="F12" s="20">
        <f t="shared" si="3"/>
        <v>30.0</v>
      </c>
      <c r="G12" s="20">
        <f t="shared" si="4"/>
        <v>70.0</v>
      </c>
      <c r="H12" s="20">
        <f t="shared" si="5"/>
        <v>20.0</v>
      </c>
      <c r="I12" s="20">
        <f t="shared" si="6"/>
        <v>50.0</v>
      </c>
      <c r="J12" s="20">
        <f t="shared" si="7"/>
        <v>45.0</v>
      </c>
      <c r="K12" s="21"/>
      <c r="L12" s="21">
        <v>10.0</v>
      </c>
      <c r="M12" s="21">
        <v>10.0</v>
      </c>
      <c r="N12" s="21">
        <v>10.0</v>
      </c>
      <c r="O12" s="21">
        <v>10.0</v>
      </c>
      <c r="P12" s="21"/>
      <c r="Q12" s="21"/>
      <c r="R12" s="21">
        <f t="shared" si="8"/>
        <v>40.0</v>
      </c>
      <c r="S12" s="21">
        <f t="shared" si="9"/>
        <v>20.0</v>
      </c>
      <c r="T12" s="21">
        <f t="shared" si="10"/>
        <v>20.0</v>
      </c>
      <c r="U12" s="21">
        <f t="shared" si="14"/>
        <v>60.0</v>
      </c>
      <c r="V12" s="21">
        <f t="shared" si="11"/>
        <v>10.0</v>
      </c>
      <c r="W12" s="21">
        <f t="shared" si="12"/>
        <v>50.0</v>
      </c>
      <c r="X12" s="21">
        <f t="shared" si="13"/>
        <v>45.0</v>
      </c>
      <c r="Y12" s="21">
        <v>40.0</v>
      </c>
      <c r="Z12" s="21">
        <v>20.0</v>
      </c>
      <c r="AA12" s="21">
        <v>20.0</v>
      </c>
      <c r="AB12" s="21">
        <v>60.0</v>
      </c>
      <c r="AC12" s="21">
        <v>10.0</v>
      </c>
      <c r="AD12" s="21">
        <v>50.0</v>
      </c>
      <c r="AE12" s="21">
        <v>45.0</v>
      </c>
      <c r="AF12" s="21"/>
      <c r="AG12" s="21"/>
      <c r="AH12" s="21"/>
      <c r="AI12" s="21"/>
      <c r="AJ12" s="21"/>
      <c r="AK12" s="21"/>
      <c r="AL12" s="21"/>
    </row>
    <row r="13" spans="8:8" ht="15.0">
      <c r="B13" s="19" t="s">
        <v>259</v>
      </c>
      <c r="C13" s="22" t="s">
        <v>246</v>
      </c>
      <c r="D13" s="20">
        <f t="shared" si="15"/>
        <v>70.0</v>
      </c>
      <c r="E13" s="20">
        <f t="shared" si="2"/>
        <v>70.0</v>
      </c>
      <c r="F13" s="20">
        <f t="shared" si="3"/>
        <v>105.0</v>
      </c>
      <c r="G13" s="20">
        <f t="shared" si="4"/>
        <v>60.0</v>
      </c>
      <c r="H13" s="20">
        <f t="shared" si="5"/>
        <v>60.0</v>
      </c>
      <c r="I13" s="20">
        <f t="shared" si="6"/>
        <v>20.0</v>
      </c>
      <c r="J13" s="20">
        <f t="shared" si="7"/>
        <v>60.0</v>
      </c>
      <c r="K13" s="21"/>
      <c r="L13" s="21"/>
      <c r="M13" s="21"/>
      <c r="N13" s="21"/>
      <c r="O13" s="21"/>
      <c r="P13" s="21"/>
      <c r="Q13" s="21"/>
      <c r="R13" s="21">
        <f t="shared" si="8"/>
        <v>70.0</v>
      </c>
      <c r="S13" s="21">
        <f t="shared" si="9"/>
        <v>70.0</v>
      </c>
      <c r="T13" s="21">
        <f t="shared" si="10"/>
        <v>105.0</v>
      </c>
      <c r="U13" s="21">
        <f t="shared" si="14"/>
        <v>60.0</v>
      </c>
      <c r="V13" s="21">
        <f t="shared" si="11"/>
        <v>60.0</v>
      </c>
      <c r="W13" s="21">
        <f t="shared" si="12"/>
        <v>20.0</v>
      </c>
      <c r="X13" s="21">
        <f t="shared" si="13"/>
        <v>60.0</v>
      </c>
      <c r="Y13" s="21">
        <v>70.0</v>
      </c>
      <c r="Z13" s="21">
        <v>70.0</v>
      </c>
      <c r="AA13" s="21">
        <v>105.0</v>
      </c>
      <c r="AB13" s="21">
        <v>60.0</v>
      </c>
      <c r="AC13" s="21">
        <v>60.0</v>
      </c>
      <c r="AD13" s="21">
        <v>20.0</v>
      </c>
      <c r="AE13" s="21">
        <v>60.0</v>
      </c>
      <c r="AF13" s="21"/>
      <c r="AG13" s="21"/>
      <c r="AH13" s="21"/>
      <c r="AI13" s="21"/>
      <c r="AJ13" s="21"/>
      <c r="AK13" s="21"/>
      <c r="AL13" s="21"/>
    </row>
    <row r="14" spans="8:8" ht="15.0">
      <c r="B14" s="19"/>
      <c r="C14" s="22" t="s">
        <v>247</v>
      </c>
      <c r="D14" s="20">
        <f t="shared" si="15"/>
        <v>50.0</v>
      </c>
      <c r="E14" s="20">
        <f t="shared" si="2"/>
        <v>10.0</v>
      </c>
      <c r="F14" s="20">
        <f t="shared" si="3"/>
        <v>10.0</v>
      </c>
      <c r="G14" s="20">
        <f t="shared" si="4"/>
        <v>20.0</v>
      </c>
      <c r="H14" s="20">
        <f t="shared" si="5"/>
        <v>20.0</v>
      </c>
      <c r="I14" s="20">
        <f t="shared" si="6"/>
        <v>20.0</v>
      </c>
      <c r="J14" s="20">
        <f t="shared" si="7"/>
        <v>0.0</v>
      </c>
      <c r="K14" s="21"/>
      <c r="L14" s="21"/>
      <c r="M14" s="21"/>
      <c r="N14" s="21"/>
      <c r="O14" s="21"/>
      <c r="P14" s="21"/>
      <c r="Q14" s="21"/>
      <c r="R14" s="21">
        <f t="shared" si="8"/>
        <v>50.0</v>
      </c>
      <c r="S14" s="21">
        <f t="shared" si="9"/>
        <v>10.0</v>
      </c>
      <c r="T14" s="21">
        <f t="shared" si="10"/>
        <v>10.0</v>
      </c>
      <c r="U14" s="21">
        <f t="shared" si="14"/>
        <v>20.0</v>
      </c>
      <c r="V14" s="21">
        <f t="shared" si="11"/>
        <v>20.0</v>
      </c>
      <c r="W14" s="21">
        <f t="shared" si="12"/>
        <v>20.0</v>
      </c>
      <c r="X14" s="21">
        <f t="shared" si="13"/>
        <v>0.0</v>
      </c>
      <c r="Y14" s="21">
        <v>50.0</v>
      </c>
      <c r="Z14" s="21">
        <v>10.0</v>
      </c>
      <c r="AA14" s="21">
        <v>10.0</v>
      </c>
      <c r="AB14" s="21">
        <v>20.0</v>
      </c>
      <c r="AC14" s="21">
        <v>20.0</v>
      </c>
      <c r="AD14" s="21">
        <v>20.0</v>
      </c>
      <c r="AE14" s="21">
        <v>0.0</v>
      </c>
      <c r="AF14" s="21"/>
      <c r="AG14" s="21"/>
      <c r="AH14" s="21"/>
      <c r="AI14" s="21"/>
      <c r="AJ14" s="21"/>
      <c r="AK14" s="21"/>
      <c r="AL14" s="21"/>
    </row>
    <row r="15" spans="8:8" ht="14.0">
      <c r="B15" s="19"/>
      <c r="C15" s="22" t="s">
        <v>269</v>
      </c>
      <c r="D15" s="20">
        <f t="shared" si="15"/>
        <v>45.0</v>
      </c>
      <c r="E15" s="20">
        <f t="shared" si="2"/>
        <v>60.0</v>
      </c>
      <c r="F15" s="20">
        <f t="shared" si="3"/>
        <v>60.0</v>
      </c>
      <c r="G15" s="20">
        <f t="shared" si="4"/>
        <v>60.0</v>
      </c>
      <c r="H15" s="20">
        <f t="shared" si="5"/>
        <v>80.0</v>
      </c>
      <c r="I15" s="20">
        <f t="shared" si="6"/>
        <v>40.0</v>
      </c>
      <c r="J15" s="20">
        <f t="shared" si="7"/>
        <v>0.0</v>
      </c>
      <c r="K15" s="21">
        <v>5.0</v>
      </c>
      <c r="L15" s="21"/>
      <c r="M15" s="21"/>
      <c r="N15" s="21"/>
      <c r="O15" s="21">
        <v>10.0</v>
      </c>
      <c r="P15" s="21"/>
      <c r="Q15" s="21"/>
      <c r="R15" s="21">
        <f t="shared" si="8"/>
        <v>40.0</v>
      </c>
      <c r="S15" s="21">
        <f t="shared" si="9"/>
        <v>60.0</v>
      </c>
      <c r="T15" s="21">
        <f t="shared" si="10"/>
        <v>60.0</v>
      </c>
      <c r="U15" s="21">
        <f t="shared" si="14"/>
        <v>60.0</v>
      </c>
      <c r="V15" s="21">
        <f t="shared" si="11"/>
        <v>70.0</v>
      </c>
      <c r="W15" s="21">
        <f t="shared" si="12"/>
        <v>40.0</v>
      </c>
      <c r="X15" s="21">
        <f t="shared" si="13"/>
        <v>0.0</v>
      </c>
      <c r="Y15" s="21">
        <v>40.0</v>
      </c>
      <c r="Z15" s="21">
        <v>60.0</v>
      </c>
      <c r="AA15" s="21">
        <v>60.0</v>
      </c>
      <c r="AB15" s="21">
        <v>60.0</v>
      </c>
      <c r="AC15" s="21">
        <v>70.0</v>
      </c>
      <c r="AD15" s="21">
        <v>40.0</v>
      </c>
      <c r="AE15" s="21">
        <v>0.0</v>
      </c>
      <c r="AF15" s="21"/>
      <c r="AG15" s="21"/>
      <c r="AH15" s="21"/>
      <c r="AI15" s="21"/>
      <c r="AJ15" s="21"/>
      <c r="AK15" s="21"/>
      <c r="AL15" s="21"/>
    </row>
    <row r="16" spans="8:8" ht="14.0">
      <c r="B16" s="19"/>
      <c r="C16" s="22" t="s">
        <v>271</v>
      </c>
      <c r="D16" s="20">
        <f t="shared" si="15"/>
        <v>40.0</v>
      </c>
      <c r="E16" s="20">
        <f t="shared" si="2"/>
        <v>70.0</v>
      </c>
      <c r="F16" s="20">
        <f t="shared" si="3"/>
        <v>70.0</v>
      </c>
      <c r="G16" s="20">
        <f t="shared" si="4"/>
        <v>70.0</v>
      </c>
      <c r="H16" s="20">
        <f t="shared" si="5"/>
        <v>0.0</v>
      </c>
      <c r="I16" s="20">
        <f t="shared" si="6"/>
        <v>50.0</v>
      </c>
      <c r="J16" s="20">
        <f t="shared" si="7"/>
        <v>0.0</v>
      </c>
      <c r="K16" s="21"/>
      <c r="L16" s="21"/>
      <c r="M16" s="21"/>
      <c r="N16" s="21"/>
      <c r="O16" s="21"/>
      <c r="P16" s="21"/>
      <c r="Q16" s="21"/>
      <c r="R16" s="21">
        <f t="shared" si="8"/>
        <v>40.0</v>
      </c>
      <c r="S16" s="21">
        <f t="shared" si="9"/>
        <v>70.0</v>
      </c>
      <c r="T16" s="21">
        <f t="shared" si="10"/>
        <v>70.0</v>
      </c>
      <c r="U16" s="21">
        <f t="shared" si="14"/>
        <v>70.0</v>
      </c>
      <c r="V16" s="21">
        <f t="shared" si="11"/>
        <v>0.0</v>
      </c>
      <c r="W16" s="21">
        <f t="shared" si="12"/>
        <v>50.0</v>
      </c>
      <c r="X16" s="21">
        <f t="shared" si="13"/>
        <v>0.0</v>
      </c>
      <c r="Y16" s="21">
        <v>40.0</v>
      </c>
      <c r="Z16" s="21">
        <v>70.0</v>
      </c>
      <c r="AA16" s="21">
        <v>70.0</v>
      </c>
      <c r="AB16" s="21">
        <v>70.0</v>
      </c>
      <c r="AC16" s="21">
        <v>0.0</v>
      </c>
      <c r="AD16" s="21">
        <v>50.0</v>
      </c>
      <c r="AE16" s="21">
        <v>0.0</v>
      </c>
      <c r="AF16" s="21"/>
      <c r="AG16" s="21"/>
      <c r="AH16" s="21"/>
      <c r="AI16" s="21"/>
      <c r="AJ16" s="21"/>
      <c r="AK16" s="21"/>
      <c r="AL16" s="21"/>
    </row>
    <row r="17" spans="8:8" ht="15.0">
      <c r="B17" s="19"/>
      <c r="C17" s="22" t="s">
        <v>250</v>
      </c>
      <c r="D17" s="20">
        <f t="shared" si="15"/>
        <v>50.0</v>
      </c>
      <c r="E17" s="20">
        <f t="shared" si="2"/>
        <v>15.0</v>
      </c>
      <c r="F17" s="20">
        <f t="shared" si="3"/>
        <v>15.0</v>
      </c>
      <c r="G17" s="20">
        <f t="shared" si="4"/>
        <v>15.0</v>
      </c>
      <c r="H17" s="20">
        <f t="shared" si="5"/>
        <v>10.0</v>
      </c>
      <c r="I17" s="20">
        <f t="shared" si="6"/>
        <v>35.0</v>
      </c>
      <c r="J17" s="20">
        <f t="shared" si="7"/>
        <v>0.0</v>
      </c>
      <c r="K17" s="21"/>
      <c r="L17" s="21"/>
      <c r="M17" s="21"/>
      <c r="N17" s="21"/>
      <c r="O17" s="21"/>
      <c r="P17" s="21"/>
      <c r="Q17" s="21"/>
      <c r="R17" s="21">
        <f t="shared" si="8"/>
        <v>50.0</v>
      </c>
      <c r="S17" s="21">
        <f t="shared" si="9"/>
        <v>15.0</v>
      </c>
      <c r="T17" s="21">
        <f t="shared" si="10"/>
        <v>15.0</v>
      </c>
      <c r="U17" s="21">
        <f t="shared" si="14"/>
        <v>15.0</v>
      </c>
      <c r="V17" s="21">
        <f t="shared" si="11"/>
        <v>10.0</v>
      </c>
      <c r="W17" s="21">
        <f t="shared" si="12"/>
        <v>35.0</v>
      </c>
      <c r="X17" s="21">
        <f t="shared" si="13"/>
        <v>0.0</v>
      </c>
      <c r="Y17" s="21">
        <v>50.0</v>
      </c>
      <c r="Z17" s="21">
        <v>15.0</v>
      </c>
      <c r="AA17" s="21">
        <v>15.0</v>
      </c>
      <c r="AB17" s="21">
        <v>15.0</v>
      </c>
      <c r="AC17" s="21">
        <v>10.0</v>
      </c>
      <c r="AD17" s="21">
        <v>35.0</v>
      </c>
      <c r="AE17" s="21">
        <v>0.0</v>
      </c>
      <c r="AF17" s="21"/>
      <c r="AG17" s="21"/>
      <c r="AH17" s="21"/>
      <c r="AI17" s="21"/>
      <c r="AJ17" s="21"/>
      <c r="AK17" s="21"/>
      <c r="AL17" s="21"/>
    </row>
    <row r="18" spans="8:8" ht="14.0">
      <c r="B18" s="19"/>
      <c r="C18" s="22" t="s">
        <v>270</v>
      </c>
      <c r="D18" s="20">
        <f t="shared" si="15"/>
        <v>70.0</v>
      </c>
      <c r="E18" s="20">
        <f t="shared" si="2"/>
        <v>15.0</v>
      </c>
      <c r="F18" s="20">
        <f t="shared" si="3"/>
        <v>20.0</v>
      </c>
      <c r="G18" s="20">
        <f t="shared" si="4"/>
        <v>40.0</v>
      </c>
      <c r="H18" s="20">
        <f t="shared" si="5"/>
        <v>15.0</v>
      </c>
      <c r="I18" s="20">
        <f t="shared" si="6"/>
        <v>40.0</v>
      </c>
      <c r="J18" s="20">
        <f t="shared" si="7"/>
        <v>95.0</v>
      </c>
      <c r="K18" s="21"/>
      <c r="L18" s="21"/>
      <c r="M18" s="21"/>
      <c r="N18" s="21"/>
      <c r="O18" s="21"/>
      <c r="P18" s="21"/>
      <c r="Q18" s="21">
        <v>30.0</v>
      </c>
      <c r="R18" s="21">
        <f t="shared" si="16" ref="R18:X18">Y18+AF18</f>
        <v>70.0</v>
      </c>
      <c r="S18" s="21">
        <f t="shared" si="16"/>
        <v>15.0</v>
      </c>
      <c r="T18" s="21">
        <f t="shared" si="16"/>
        <v>20.0</v>
      </c>
      <c r="U18" s="21">
        <f t="shared" si="16"/>
        <v>40.0</v>
      </c>
      <c r="V18" s="21">
        <f t="shared" si="16"/>
        <v>15.0</v>
      </c>
      <c r="W18" s="21">
        <f t="shared" si="16"/>
        <v>40.0</v>
      </c>
      <c r="X18" s="21">
        <f t="shared" si="16"/>
        <v>65.0</v>
      </c>
      <c r="Y18" s="21">
        <v>70.0</v>
      </c>
      <c r="Z18" s="21">
        <v>15.0</v>
      </c>
      <c r="AA18" s="21">
        <v>20.0</v>
      </c>
      <c r="AB18" s="21">
        <v>40.0</v>
      </c>
      <c r="AC18" s="21">
        <v>15.0</v>
      </c>
      <c r="AD18" s="21">
        <v>40.0</v>
      </c>
      <c r="AE18" s="21">
        <v>65.0</v>
      </c>
      <c r="AF18" s="21"/>
      <c r="AG18" s="21"/>
      <c r="AH18" s="21"/>
      <c r="AI18" s="21"/>
      <c r="AJ18" s="21"/>
      <c r="AK18" s="21"/>
      <c r="AL18" s="21"/>
    </row>
    <row r="19" spans="8:8" ht="15.0">
      <c r="B19" s="19"/>
      <c r="C19" s="22" t="s">
        <v>252</v>
      </c>
      <c r="D19" s="20">
        <f t="shared" si="15"/>
        <v>40.0</v>
      </c>
      <c r="E19" s="20">
        <f t="shared" si="2"/>
        <v>70.0</v>
      </c>
      <c r="F19" s="20">
        <f t="shared" si="3"/>
        <v>70.0</v>
      </c>
      <c r="G19" s="20">
        <f t="shared" si="4"/>
        <v>70.0</v>
      </c>
      <c r="H19" s="20">
        <f t="shared" si="5"/>
        <v>20.0</v>
      </c>
      <c r="I19" s="20">
        <f t="shared" si="6"/>
        <v>50.0</v>
      </c>
      <c r="J19" s="20">
        <f t="shared" si="7"/>
        <v>50.0</v>
      </c>
      <c r="K19" s="21"/>
      <c r="L19" s="21"/>
      <c r="M19" s="21"/>
      <c r="N19" s="21"/>
      <c r="O19" s="21"/>
      <c r="P19" s="21"/>
      <c r="Q19" s="21"/>
      <c r="R19" s="21">
        <f t="shared" si="8"/>
        <v>40.0</v>
      </c>
      <c r="S19" s="21">
        <f t="shared" si="9"/>
        <v>70.0</v>
      </c>
      <c r="T19" s="21">
        <f t="shared" si="10"/>
        <v>70.0</v>
      </c>
      <c r="U19" s="21">
        <f t="shared" si="14"/>
        <v>70.0</v>
      </c>
      <c r="V19" s="21">
        <f t="shared" si="11"/>
        <v>20.0</v>
      </c>
      <c r="W19" s="21">
        <f t="shared" si="12"/>
        <v>50.0</v>
      </c>
      <c r="X19" s="21">
        <f t="shared" si="13"/>
        <v>50.0</v>
      </c>
      <c r="Y19" s="21">
        <v>40.0</v>
      </c>
      <c r="Z19" s="21">
        <v>70.0</v>
      </c>
      <c r="AA19" s="21">
        <v>70.0</v>
      </c>
      <c r="AB19" s="21">
        <v>70.0</v>
      </c>
      <c r="AC19" s="21">
        <v>20.0</v>
      </c>
      <c r="AD19" s="21">
        <v>50.0</v>
      </c>
      <c r="AE19" s="21">
        <v>50.0</v>
      </c>
      <c r="AF19" s="21"/>
      <c r="AG19" s="21"/>
      <c r="AH19" s="21"/>
      <c r="AI19" s="21"/>
      <c r="AJ19" s="21"/>
      <c r="AK19" s="21"/>
      <c r="AL19" s="21"/>
    </row>
    <row r="20" spans="8:8" ht="14.25" customHeight="1">
      <c r="B20" s="19"/>
      <c r="C20" s="22" t="s">
        <v>266</v>
      </c>
      <c r="D20" s="20">
        <f t="shared" si="15"/>
        <v>70.0</v>
      </c>
      <c r="E20" s="20">
        <f t="shared" si="2"/>
        <v>30.0</v>
      </c>
      <c r="F20" s="20">
        <f t="shared" si="3"/>
        <v>30.0</v>
      </c>
      <c r="G20" s="20">
        <f t="shared" si="4"/>
        <v>30.0</v>
      </c>
      <c r="H20" s="20">
        <f t="shared" si="5"/>
        <v>30.0</v>
      </c>
      <c r="I20" s="20">
        <f t="shared" si="6"/>
        <v>30.0</v>
      </c>
      <c r="J20" s="20">
        <f t="shared" si="7"/>
        <v>0.0</v>
      </c>
      <c r="K20" s="21"/>
      <c r="L20" s="21"/>
      <c r="M20" s="21"/>
      <c r="N20" s="21"/>
      <c r="O20" s="21"/>
      <c r="P20" s="21"/>
      <c r="Q20" s="21"/>
      <c r="R20" s="21">
        <f t="shared" si="17" ref="R20:X20">Y20+AF20</f>
        <v>70.0</v>
      </c>
      <c r="S20" s="21">
        <f t="shared" si="17"/>
        <v>30.0</v>
      </c>
      <c r="T20" s="21">
        <f t="shared" si="17"/>
        <v>30.0</v>
      </c>
      <c r="U20" s="21">
        <f t="shared" si="17"/>
        <v>30.0</v>
      </c>
      <c r="V20" s="21">
        <f t="shared" si="17"/>
        <v>30.0</v>
      </c>
      <c r="W20" s="21">
        <f t="shared" si="17"/>
        <v>30.0</v>
      </c>
      <c r="X20" s="21">
        <f t="shared" si="17"/>
        <v>0.0</v>
      </c>
      <c r="Y20" s="21">
        <v>70.0</v>
      </c>
      <c r="Z20" s="21">
        <v>30.0</v>
      </c>
      <c r="AA20" s="21">
        <v>30.0</v>
      </c>
      <c r="AB20" s="21">
        <v>30.0</v>
      </c>
      <c r="AC20" s="21">
        <v>30.0</v>
      </c>
      <c r="AD20" s="21">
        <v>30.0</v>
      </c>
      <c r="AE20" s="21">
        <v>0.0</v>
      </c>
      <c r="AF20" s="21"/>
      <c r="AG20" s="21"/>
      <c r="AH20" s="21"/>
      <c r="AI20" s="21"/>
      <c r="AJ20" s="21"/>
      <c r="AK20" s="21"/>
      <c r="AL20" s="21"/>
    </row>
    <row r="21" spans="8:8" ht="14.25" customHeight="1">
      <c r="B21" s="19"/>
      <c r="C21" s="22" t="s">
        <v>260</v>
      </c>
      <c r="D21" s="20">
        <f t="shared" si="15"/>
        <v>60.0</v>
      </c>
      <c r="E21" s="20">
        <f t="shared" si="2"/>
        <v>20.0</v>
      </c>
      <c r="F21" s="20">
        <f t="shared" si="3"/>
        <v>20.0</v>
      </c>
      <c r="G21" s="20">
        <f t="shared" si="4"/>
        <v>60.0</v>
      </c>
      <c r="H21" s="20">
        <f t="shared" si="5"/>
        <v>20.0</v>
      </c>
      <c r="I21" s="20">
        <f t="shared" si="6"/>
        <v>20.0</v>
      </c>
      <c r="J21" s="20">
        <f t="shared" si="7"/>
        <v>0.0</v>
      </c>
      <c r="K21" s="21"/>
      <c r="L21" s="21"/>
      <c r="M21" s="21"/>
      <c r="N21" s="21"/>
      <c r="O21" s="21"/>
      <c r="P21" s="21"/>
      <c r="Q21" s="21"/>
      <c r="R21" s="21">
        <f t="shared" si="8"/>
        <v>60.0</v>
      </c>
      <c r="S21" s="21">
        <f t="shared" si="9"/>
        <v>20.0</v>
      </c>
      <c r="T21" s="21">
        <f t="shared" si="10"/>
        <v>20.0</v>
      </c>
      <c r="U21" s="21">
        <f t="shared" si="14"/>
        <v>60.0</v>
      </c>
      <c r="V21" s="21">
        <f>AC21+AJ21</f>
        <v>20.0</v>
      </c>
      <c r="W21" s="21">
        <f t="shared" si="12"/>
        <v>20.0</v>
      </c>
      <c r="X21" s="21">
        <f t="shared" si="13"/>
        <v>0.0</v>
      </c>
      <c r="Y21" s="21">
        <v>60.0</v>
      </c>
      <c r="Z21" s="21">
        <v>20.0</v>
      </c>
      <c r="AA21" s="21">
        <v>20.0</v>
      </c>
      <c r="AB21" s="21">
        <v>60.0</v>
      </c>
      <c r="AC21" s="21">
        <v>20.0</v>
      </c>
      <c r="AD21" s="21">
        <v>20.0</v>
      </c>
      <c r="AE21" s="21">
        <v>0.0</v>
      </c>
      <c r="AF21" s="21"/>
      <c r="AG21" s="21"/>
      <c r="AH21" s="21"/>
      <c r="AI21" s="21"/>
      <c r="AJ21" s="21"/>
      <c r="AK21" s="21"/>
      <c r="AL21" s="21"/>
    </row>
    <row r="22" spans="8:8" ht="15.0">
      <c r="B22" s="19" t="s">
        <v>261</v>
      </c>
      <c r="C22" s="22" t="s">
        <v>265</v>
      </c>
      <c r="D22" s="20">
        <f t="shared" si="15"/>
        <v>40.0</v>
      </c>
      <c r="E22" s="20">
        <f t="shared" si="2"/>
        <v>20.0</v>
      </c>
      <c r="F22" s="20">
        <f t="shared" si="3"/>
        <v>20.0</v>
      </c>
      <c r="G22" s="20">
        <f t="shared" si="4"/>
        <v>20.0</v>
      </c>
      <c r="H22" s="20">
        <f t="shared" si="5"/>
        <v>20.0</v>
      </c>
      <c r="I22" s="20">
        <f t="shared" si="6"/>
        <v>20.0</v>
      </c>
      <c r="J22" s="20">
        <f t="shared" si="7"/>
        <v>0.0</v>
      </c>
      <c r="K22" s="21"/>
      <c r="L22" s="21"/>
      <c r="M22" s="21"/>
      <c r="N22" s="21"/>
      <c r="O22" s="21"/>
      <c r="P22" s="21"/>
      <c r="Q22" s="21"/>
      <c r="R22" s="21">
        <f t="shared" si="8"/>
        <v>40.0</v>
      </c>
      <c r="S22" s="21">
        <f t="shared" si="9"/>
        <v>20.0</v>
      </c>
      <c r="T22" s="21">
        <f t="shared" si="10"/>
        <v>20.0</v>
      </c>
      <c r="U22" s="21">
        <f t="shared" si="14"/>
        <v>20.0</v>
      </c>
      <c r="V22" s="21">
        <f t="shared" si="11"/>
        <v>20.0</v>
      </c>
      <c r="W22" s="21">
        <f t="shared" si="12"/>
        <v>20.0</v>
      </c>
      <c r="X22" s="21">
        <f t="shared" si="13"/>
        <v>0.0</v>
      </c>
      <c r="Y22" s="21">
        <v>40.0</v>
      </c>
      <c r="Z22" s="21">
        <v>20.0</v>
      </c>
      <c r="AA22" s="21">
        <v>20.0</v>
      </c>
      <c r="AB22" s="21">
        <v>20.0</v>
      </c>
      <c r="AC22" s="21">
        <v>20.0</v>
      </c>
      <c r="AD22" s="21">
        <v>20.0</v>
      </c>
      <c r="AE22" s="21">
        <v>0.0</v>
      </c>
      <c r="AF22" s="21"/>
      <c r="AG22" s="21"/>
      <c r="AH22" s="21"/>
      <c r="AI22" s="21"/>
      <c r="AJ22" s="21"/>
      <c r="AK22" s="21"/>
      <c r="AL22" s="21"/>
    </row>
    <row r="23" spans="8:8" ht="15.0">
      <c r="B23" s="19"/>
      <c r="C23" s="22" t="s">
        <v>263</v>
      </c>
      <c r="D23" s="20">
        <f t="shared" si="15"/>
        <v>40.0</v>
      </c>
      <c r="E23" s="20">
        <f t="shared" si="2"/>
        <v>10.0</v>
      </c>
      <c r="F23" s="20">
        <f t="shared" si="3"/>
        <v>10.0</v>
      </c>
      <c r="G23" s="20">
        <f t="shared" si="4"/>
        <v>10.0</v>
      </c>
      <c r="H23" s="20">
        <f t="shared" si="5"/>
        <v>10.0</v>
      </c>
      <c r="I23" s="20">
        <f t="shared" si="6"/>
        <v>10.0</v>
      </c>
      <c r="J23" s="20">
        <f t="shared" si="7"/>
        <v>0.0</v>
      </c>
      <c r="K23" s="21"/>
      <c r="L23" s="21"/>
      <c r="M23" s="21"/>
      <c r="N23" s="21"/>
      <c r="O23" s="21"/>
      <c r="P23" s="21"/>
      <c r="Q23" s="21"/>
      <c r="R23" s="21">
        <f t="shared" si="8"/>
        <v>40.0</v>
      </c>
      <c r="S23" s="21">
        <f t="shared" si="9"/>
        <v>10.0</v>
      </c>
      <c r="T23" s="21">
        <f t="shared" si="10"/>
        <v>10.0</v>
      </c>
      <c r="U23" s="21">
        <f t="shared" si="14"/>
        <v>10.0</v>
      </c>
      <c r="V23" s="21">
        <f t="shared" si="11"/>
        <v>10.0</v>
      </c>
      <c r="W23" s="21">
        <f t="shared" si="12"/>
        <v>10.0</v>
      </c>
      <c r="X23" s="21">
        <f t="shared" si="13"/>
        <v>0.0</v>
      </c>
      <c r="Y23" s="21">
        <v>40.0</v>
      </c>
      <c r="Z23" s="21">
        <v>10.0</v>
      </c>
      <c r="AA23" s="21">
        <v>10.0</v>
      </c>
      <c r="AB23" s="21">
        <v>10.0</v>
      </c>
      <c r="AC23" s="21">
        <v>10.0</v>
      </c>
      <c r="AD23" s="21">
        <v>10.0</v>
      </c>
      <c r="AE23" s="21">
        <v>0.0</v>
      </c>
      <c r="AF23" s="21"/>
      <c r="AG23" s="21"/>
      <c r="AH23" s="21"/>
      <c r="AI23" s="21"/>
      <c r="AJ23" s="21"/>
      <c r="AK23" s="21"/>
      <c r="AL23" s="21"/>
    </row>
    <row r="24" spans="8:8" ht="15.0">
      <c r="B24" s="19"/>
      <c r="C24" s="22" t="s">
        <v>262</v>
      </c>
      <c r="D24" s="20">
        <f t="shared" si="15"/>
        <v>70.0</v>
      </c>
      <c r="E24" s="20">
        <f t="shared" si="2"/>
        <v>70.0</v>
      </c>
      <c r="F24" s="20">
        <f t="shared" si="3"/>
        <v>70.0</v>
      </c>
      <c r="G24" s="20">
        <f t="shared" si="4"/>
        <v>70.0</v>
      </c>
      <c r="H24" s="20">
        <f t="shared" si="5"/>
        <v>70.0</v>
      </c>
      <c r="I24" s="20">
        <f t="shared" si="6"/>
        <v>70.0</v>
      </c>
      <c r="J24" s="20">
        <f t="shared" si="7"/>
        <v>0.0</v>
      </c>
      <c r="K24" s="21"/>
      <c r="L24" s="21"/>
      <c r="M24" s="21"/>
      <c r="N24" s="21"/>
      <c r="O24" s="21"/>
      <c r="P24" s="21"/>
      <c r="Q24" s="21"/>
      <c r="R24" s="21">
        <f t="shared" si="8"/>
        <v>70.0</v>
      </c>
      <c r="S24" s="21">
        <f t="shared" si="9"/>
        <v>70.0</v>
      </c>
      <c r="T24" s="21">
        <f t="shared" si="10"/>
        <v>70.0</v>
      </c>
      <c r="U24" s="21">
        <f t="shared" si="14"/>
        <v>70.0</v>
      </c>
      <c r="V24" s="21">
        <f t="shared" si="11"/>
        <v>70.0</v>
      </c>
      <c r="W24" s="21">
        <f t="shared" si="12"/>
        <v>70.0</v>
      </c>
      <c r="X24" s="21">
        <f t="shared" si="13"/>
        <v>0.0</v>
      </c>
      <c r="Y24" s="21">
        <v>70.0</v>
      </c>
      <c r="Z24" s="21">
        <v>70.0</v>
      </c>
      <c r="AA24" s="21">
        <v>70.0</v>
      </c>
      <c r="AB24" s="21">
        <v>70.0</v>
      </c>
      <c r="AC24" s="21">
        <v>70.0</v>
      </c>
      <c r="AD24" s="21">
        <v>70.0</v>
      </c>
      <c r="AE24" s="21">
        <v>0.0</v>
      </c>
      <c r="AF24" s="21"/>
      <c r="AG24" s="21"/>
      <c r="AH24" s="21"/>
      <c r="AI24" s="21"/>
      <c r="AJ24" s="21"/>
      <c r="AK24" s="21"/>
      <c r="AL24" s="21"/>
    </row>
    <row r="25" spans="8:8" ht="15.0">
      <c r="B25" s="19"/>
      <c r="C25" s="22" t="s">
        <v>264</v>
      </c>
      <c r="D25" s="20">
        <f t="shared" si="15"/>
        <v>20.0</v>
      </c>
      <c r="E25" s="20">
        <f t="shared" si="2"/>
        <v>10.0</v>
      </c>
      <c r="F25" s="20">
        <f t="shared" si="3"/>
        <v>10.0</v>
      </c>
      <c r="G25" s="20">
        <f t="shared" si="4"/>
        <v>10.0</v>
      </c>
      <c r="H25" s="20">
        <f t="shared" si="5"/>
        <v>10.0</v>
      </c>
      <c r="I25" s="20">
        <f t="shared" si="6"/>
        <v>10.0</v>
      </c>
      <c r="J25" s="20">
        <f t="shared" si="7"/>
        <v>0.0</v>
      </c>
      <c r="K25" s="21"/>
      <c r="L25" s="21"/>
      <c r="M25" s="21"/>
      <c r="N25" s="21"/>
      <c r="O25" s="21"/>
      <c r="P25" s="21"/>
      <c r="Q25" s="21"/>
      <c r="R25" s="21">
        <f t="shared" si="8"/>
        <v>20.0</v>
      </c>
      <c r="S25" s="21">
        <f t="shared" si="9"/>
        <v>10.0</v>
      </c>
      <c r="T25" s="21">
        <f t="shared" si="10"/>
        <v>10.0</v>
      </c>
      <c r="U25" s="21">
        <f t="shared" si="14"/>
        <v>10.0</v>
      </c>
      <c r="V25" s="21">
        <f t="shared" si="11"/>
        <v>10.0</v>
      </c>
      <c r="W25" s="21">
        <f t="shared" si="12"/>
        <v>10.0</v>
      </c>
      <c r="X25" s="21">
        <f t="shared" si="13"/>
        <v>0.0</v>
      </c>
      <c r="Y25" s="21">
        <v>20.0</v>
      </c>
      <c r="Z25" s="21">
        <v>10.0</v>
      </c>
      <c r="AA25" s="21">
        <v>10.0</v>
      </c>
      <c r="AB25" s="21">
        <v>10.0</v>
      </c>
      <c r="AC25" s="21">
        <v>10.0</v>
      </c>
      <c r="AD25" s="21">
        <v>10.0</v>
      </c>
      <c r="AE25" s="21">
        <v>0.0</v>
      </c>
      <c r="AF25" s="21"/>
      <c r="AG25" s="21"/>
      <c r="AH25" s="21"/>
      <c r="AI25" s="21"/>
      <c r="AJ25" s="21"/>
      <c r="AK25" s="21"/>
      <c r="AL25" s="21"/>
    </row>
    <row r="26" spans="8:8" ht="15.0">
      <c r="B26" s="19"/>
      <c r="C26" s="22" t="s">
        <v>267</v>
      </c>
      <c r="D26" s="20">
        <f t="shared" si="15"/>
        <v>70.0</v>
      </c>
      <c r="E26" s="20">
        <f t="shared" si="2"/>
        <v>70.0</v>
      </c>
      <c r="F26" s="20">
        <f t="shared" si="3"/>
        <v>70.0</v>
      </c>
      <c r="G26" s="20">
        <f t="shared" si="4"/>
        <v>90.0</v>
      </c>
      <c r="H26" s="20">
        <f t="shared" si="5"/>
        <v>20.0</v>
      </c>
      <c r="I26" s="20">
        <f t="shared" si="6"/>
        <v>10.0</v>
      </c>
      <c r="J26" s="20">
        <f t="shared" si="7"/>
        <v>30.0</v>
      </c>
      <c r="K26" s="21"/>
      <c r="L26" s="21"/>
      <c r="M26" s="21"/>
      <c r="N26" s="21"/>
      <c r="O26" s="21"/>
      <c r="P26" s="21"/>
      <c r="Q26" s="21"/>
      <c r="R26" s="21">
        <f t="shared" si="8"/>
        <v>70.0</v>
      </c>
      <c r="S26" s="21">
        <f t="shared" si="9"/>
        <v>70.0</v>
      </c>
      <c r="T26" s="21">
        <f t="shared" si="10"/>
        <v>70.0</v>
      </c>
      <c r="U26" s="21">
        <f t="shared" si="14"/>
        <v>90.0</v>
      </c>
      <c r="V26" s="21">
        <f t="shared" si="11"/>
        <v>20.0</v>
      </c>
      <c r="W26" s="21">
        <f t="shared" si="12"/>
        <v>10.0</v>
      </c>
      <c r="X26" s="21">
        <f t="shared" si="13"/>
        <v>30.0</v>
      </c>
      <c r="Y26" s="21">
        <v>70.0</v>
      </c>
      <c r="Z26" s="21">
        <v>70.0</v>
      </c>
      <c r="AA26" s="21">
        <v>70.0</v>
      </c>
      <c r="AB26" s="21">
        <v>90.0</v>
      </c>
      <c r="AC26" s="21">
        <v>20.0</v>
      </c>
      <c r="AD26" s="21">
        <v>10.0</v>
      </c>
      <c r="AE26" s="21">
        <v>30.0</v>
      </c>
      <c r="AF26" s="21"/>
      <c r="AG26" s="21"/>
      <c r="AH26" s="21"/>
      <c r="AI26" s="21"/>
      <c r="AJ26" s="21"/>
      <c r="AK26" s="21"/>
      <c r="AL26" s="21"/>
    </row>
    <row r="27" spans="8:8" ht="15.0">
      <c r="B27" s="19"/>
      <c r="C27" s="22"/>
      <c r="D27" s="20">
        <f t="shared" si="15"/>
        <v>0.0</v>
      </c>
      <c r="E27" s="20">
        <f t="shared" si="2"/>
        <v>0.0</v>
      </c>
      <c r="F27" s="20">
        <f t="shared" si="3"/>
        <v>0.0</v>
      </c>
      <c r="G27" s="20">
        <f t="shared" si="4"/>
        <v>0.0</v>
      </c>
      <c r="H27" s="20">
        <f t="shared" si="5"/>
        <v>0.0</v>
      </c>
      <c r="I27" s="20">
        <f t="shared" si="6"/>
        <v>0.0</v>
      </c>
      <c r="J27" s="20">
        <f t="shared" si="7"/>
        <v>0.0</v>
      </c>
      <c r="K27" s="21"/>
      <c r="L27" s="21"/>
      <c r="M27" s="21"/>
      <c r="N27" s="21"/>
      <c r="O27" s="21"/>
      <c r="P27" s="21"/>
      <c r="Q27" s="21"/>
      <c r="R27" s="21">
        <f t="shared" si="8"/>
        <v>0.0</v>
      </c>
      <c r="S27" s="21">
        <f t="shared" si="9"/>
        <v>0.0</v>
      </c>
      <c r="T27" s="21">
        <f t="shared" si="10"/>
        <v>0.0</v>
      </c>
      <c r="U27" s="21">
        <f t="shared" si="14"/>
        <v>0.0</v>
      </c>
      <c r="V27" s="21">
        <f t="shared" si="11"/>
        <v>0.0</v>
      </c>
      <c r="W27" s="21">
        <f t="shared" si="12"/>
        <v>0.0</v>
      </c>
      <c r="X27" s="21">
        <f t="shared" si="13"/>
        <v>0.0</v>
      </c>
      <c r="Y27" s="21"/>
      <c r="Z27" s="21"/>
      <c r="AA27" s="21"/>
      <c r="AB27" s="21"/>
      <c r="AC27" s="21"/>
      <c r="AD27" s="21"/>
      <c r="AE27" s="21"/>
      <c r="AF27" s="21"/>
      <c r="AG27" s="21"/>
      <c r="AH27" s="21"/>
      <c r="AI27" s="21"/>
      <c r="AJ27" s="21"/>
      <c r="AK27" s="21"/>
      <c r="AL27" s="21"/>
    </row>
    <row r="28" spans="8:8" ht="15.0">
      <c r="B28" s="19"/>
      <c r="C28" s="22"/>
      <c r="D28" s="20">
        <f t="shared" si="15"/>
        <v>0.0</v>
      </c>
      <c r="E28" s="20">
        <f t="shared" si="2"/>
        <v>0.0</v>
      </c>
      <c r="F28" s="20">
        <f t="shared" si="3"/>
        <v>0.0</v>
      </c>
      <c r="G28" s="20">
        <f t="shared" si="4"/>
        <v>0.0</v>
      </c>
      <c r="H28" s="20">
        <f t="shared" si="5"/>
        <v>0.0</v>
      </c>
      <c r="I28" s="20">
        <f t="shared" si="6"/>
        <v>0.0</v>
      </c>
      <c r="J28" s="20">
        <f t="shared" si="7"/>
        <v>0.0</v>
      </c>
      <c r="K28" s="21"/>
      <c r="L28" s="21"/>
      <c r="M28" s="21"/>
      <c r="N28" s="21"/>
      <c r="O28" s="21"/>
      <c r="P28" s="21"/>
      <c r="Q28" s="21"/>
      <c r="R28" s="21">
        <f t="shared" si="8"/>
        <v>0.0</v>
      </c>
      <c r="S28" s="21">
        <f t="shared" si="9"/>
        <v>0.0</v>
      </c>
      <c r="T28" s="21">
        <f t="shared" si="10"/>
        <v>0.0</v>
      </c>
      <c r="U28" s="21">
        <f t="shared" si="14"/>
        <v>0.0</v>
      </c>
      <c r="V28" s="21">
        <f t="shared" si="11"/>
        <v>0.0</v>
      </c>
      <c r="W28" s="21">
        <f t="shared" si="12"/>
        <v>0.0</v>
      </c>
      <c r="X28" s="21">
        <f t="shared" si="13"/>
        <v>0.0</v>
      </c>
      <c r="Y28" s="21"/>
      <c r="Z28" s="21"/>
      <c r="AA28" s="21"/>
      <c r="AB28" s="21"/>
      <c r="AC28" s="21"/>
      <c r="AD28" s="21"/>
      <c r="AE28" s="21"/>
      <c r="AF28" s="21"/>
      <c r="AG28" s="21"/>
      <c r="AH28" s="21"/>
      <c r="AI28" s="21"/>
      <c r="AJ28" s="21"/>
      <c r="AK28" s="21"/>
      <c r="AL28" s="21"/>
    </row>
    <row r="29" spans="8:8" ht="15.0">
      <c r="B29" s="19"/>
      <c r="C29" s="22"/>
      <c r="D29" s="20">
        <f t="shared" si="15"/>
        <v>0.0</v>
      </c>
      <c r="E29" s="20">
        <f t="shared" si="2"/>
        <v>0.0</v>
      </c>
      <c r="F29" s="20">
        <f t="shared" si="3"/>
        <v>0.0</v>
      </c>
      <c r="G29" s="20">
        <f t="shared" si="4"/>
        <v>0.0</v>
      </c>
      <c r="H29" s="20">
        <f t="shared" si="5"/>
        <v>0.0</v>
      </c>
      <c r="I29" s="20">
        <f t="shared" si="6"/>
        <v>0.0</v>
      </c>
      <c r="J29" s="20">
        <f t="shared" si="7"/>
        <v>0.0</v>
      </c>
      <c r="K29" s="21"/>
      <c r="L29" s="21"/>
      <c r="M29" s="21"/>
      <c r="N29" s="21"/>
      <c r="O29" s="21"/>
      <c r="P29" s="21"/>
      <c r="Q29" s="21"/>
      <c r="R29" s="21">
        <f t="shared" si="8"/>
        <v>0.0</v>
      </c>
      <c r="S29" s="21">
        <f t="shared" si="9"/>
        <v>0.0</v>
      </c>
      <c r="T29" s="21">
        <f t="shared" si="10"/>
        <v>0.0</v>
      </c>
      <c r="U29" s="21">
        <f t="shared" si="14"/>
        <v>0.0</v>
      </c>
      <c r="V29" s="21">
        <f t="shared" si="11"/>
        <v>0.0</v>
      </c>
      <c r="W29" s="21">
        <f t="shared" si="12"/>
        <v>0.0</v>
      </c>
      <c r="X29" s="21">
        <f t="shared" si="13"/>
        <v>0.0</v>
      </c>
      <c r="Y29" s="21"/>
      <c r="Z29" s="21"/>
      <c r="AA29" s="21"/>
      <c r="AB29" s="21"/>
      <c r="AC29" s="21"/>
      <c r="AD29" s="21"/>
      <c r="AE29" s="21"/>
      <c r="AF29" s="21"/>
      <c r="AG29" s="21"/>
      <c r="AH29" s="21"/>
      <c r="AI29" s="21"/>
      <c r="AJ29" s="21"/>
      <c r="AK29" s="21"/>
      <c r="AL29" s="21"/>
    </row>
    <row r="30" spans="8:8" ht="15.0">
      <c r="B30" s="19"/>
      <c r="C30" s="22"/>
      <c r="D30" s="20">
        <f t="shared" si="15"/>
        <v>0.0</v>
      </c>
      <c r="E30" s="20">
        <f t="shared" si="2"/>
        <v>0.0</v>
      </c>
      <c r="F30" s="20">
        <f t="shared" si="3"/>
        <v>0.0</v>
      </c>
      <c r="G30" s="20">
        <f t="shared" si="4"/>
        <v>0.0</v>
      </c>
      <c r="H30" s="20">
        <f t="shared" si="5"/>
        <v>0.0</v>
      </c>
      <c r="I30" s="20">
        <f t="shared" si="6"/>
        <v>0.0</v>
      </c>
      <c r="J30" s="20">
        <f t="shared" si="7"/>
        <v>0.0</v>
      </c>
      <c r="K30" s="21"/>
      <c r="L30" s="21"/>
      <c r="M30" s="21"/>
      <c r="N30" s="21"/>
      <c r="O30" s="21"/>
      <c r="P30" s="21"/>
      <c r="Q30" s="21"/>
      <c r="R30" s="21">
        <f t="shared" si="8"/>
        <v>0.0</v>
      </c>
      <c r="S30" s="21">
        <f t="shared" si="9"/>
        <v>0.0</v>
      </c>
      <c r="T30" s="21">
        <f t="shared" si="10"/>
        <v>0.0</v>
      </c>
      <c r="U30" s="21">
        <f t="shared" si="14"/>
        <v>0.0</v>
      </c>
      <c r="V30" s="21">
        <f t="shared" si="11"/>
        <v>0.0</v>
      </c>
      <c r="W30" s="21">
        <f t="shared" si="12"/>
        <v>0.0</v>
      </c>
      <c r="X30" s="21">
        <f t="shared" si="13"/>
        <v>0.0</v>
      </c>
      <c r="Y30" s="21"/>
      <c r="Z30" s="21"/>
      <c r="AA30" s="21"/>
      <c r="AB30" s="21"/>
      <c r="AC30" s="21"/>
      <c r="AD30" s="21"/>
      <c r="AE30" s="21"/>
      <c r="AF30" s="21"/>
      <c r="AG30" s="21"/>
      <c r="AH30" s="21"/>
      <c r="AI30" s="21"/>
      <c r="AJ30" s="21"/>
      <c r="AK30" s="21"/>
      <c r="AL30" s="21"/>
    </row>
    <row r="31" spans="8:8" ht="15.0">
      <c r="B31" s="19"/>
      <c r="C31" s="22"/>
      <c r="D31" s="20">
        <f t="shared" si="15"/>
        <v>0.0</v>
      </c>
      <c r="E31" s="20">
        <f t="shared" si="2"/>
        <v>0.0</v>
      </c>
      <c r="F31" s="20">
        <f t="shared" si="3"/>
        <v>0.0</v>
      </c>
      <c r="G31" s="20">
        <f t="shared" si="4"/>
        <v>0.0</v>
      </c>
      <c r="H31" s="20">
        <f t="shared" si="5"/>
        <v>0.0</v>
      </c>
      <c r="I31" s="20">
        <f t="shared" si="6"/>
        <v>0.0</v>
      </c>
      <c r="J31" s="20">
        <f t="shared" si="7"/>
        <v>0.0</v>
      </c>
      <c r="K31" s="21"/>
      <c r="L31" s="21"/>
      <c r="M31" s="21"/>
      <c r="N31" s="21"/>
      <c r="O31" s="21"/>
      <c r="P31" s="21"/>
      <c r="Q31" s="21"/>
      <c r="R31" s="21">
        <f t="shared" si="8"/>
        <v>0.0</v>
      </c>
      <c r="S31" s="21">
        <f t="shared" si="9"/>
        <v>0.0</v>
      </c>
      <c r="T31" s="21">
        <f t="shared" si="10"/>
        <v>0.0</v>
      </c>
      <c r="U31" s="21">
        <f t="shared" si="14"/>
        <v>0.0</v>
      </c>
      <c r="V31" s="21">
        <f t="shared" si="11"/>
        <v>0.0</v>
      </c>
      <c r="W31" s="21">
        <f t="shared" si="12"/>
        <v>0.0</v>
      </c>
      <c r="X31" s="21">
        <f t="shared" si="13"/>
        <v>0.0</v>
      </c>
      <c r="Y31" s="21"/>
      <c r="Z31" s="21"/>
      <c r="AA31" s="21"/>
      <c r="AB31" s="21"/>
      <c r="AC31" s="21"/>
      <c r="AD31" s="21"/>
      <c r="AE31" s="21"/>
      <c r="AF31" s="21"/>
      <c r="AG31" s="21"/>
      <c r="AH31" s="21"/>
      <c r="AI31" s="21"/>
      <c r="AJ31" s="21"/>
      <c r="AK31" s="21"/>
      <c r="AL31" s="21"/>
    </row>
    <row r="32" spans="8:8" ht="15.0">
      <c r="B32" s="19"/>
      <c r="C32" s="22"/>
      <c r="D32" s="20">
        <f t="shared" si="15"/>
        <v>0.0</v>
      </c>
      <c r="E32" s="20">
        <f t="shared" si="2"/>
        <v>0.0</v>
      </c>
      <c r="F32" s="20">
        <f t="shared" si="3"/>
        <v>0.0</v>
      </c>
      <c r="G32" s="20">
        <f t="shared" si="4"/>
        <v>0.0</v>
      </c>
      <c r="H32" s="20">
        <f t="shared" si="5"/>
        <v>0.0</v>
      </c>
      <c r="I32" s="20">
        <f t="shared" si="6"/>
        <v>0.0</v>
      </c>
      <c r="J32" s="20">
        <f t="shared" si="7"/>
        <v>0.0</v>
      </c>
      <c r="K32" s="21"/>
      <c r="L32" s="21"/>
      <c r="M32" s="21"/>
      <c r="N32" s="21"/>
      <c r="O32" s="21"/>
      <c r="P32" s="21"/>
      <c r="Q32" s="21"/>
      <c r="R32" s="21">
        <f t="shared" si="8"/>
        <v>0.0</v>
      </c>
      <c r="S32" s="21">
        <f t="shared" si="9"/>
        <v>0.0</v>
      </c>
      <c r="T32" s="21">
        <f t="shared" si="10"/>
        <v>0.0</v>
      </c>
      <c r="U32" s="21">
        <f t="shared" si="14"/>
        <v>0.0</v>
      </c>
      <c r="V32" s="21">
        <f t="shared" si="11"/>
        <v>0.0</v>
      </c>
      <c r="W32" s="21">
        <f t="shared" si="12"/>
        <v>0.0</v>
      </c>
      <c r="X32" s="21">
        <f t="shared" si="13"/>
        <v>0.0</v>
      </c>
      <c r="Y32" s="21"/>
      <c r="Z32" s="21"/>
      <c r="AA32" s="21"/>
      <c r="AB32" s="21"/>
      <c r="AC32" s="21"/>
      <c r="AD32" s="21"/>
      <c r="AE32" s="21"/>
      <c r="AF32" s="21"/>
      <c r="AG32" s="21"/>
      <c r="AH32" s="21"/>
      <c r="AI32" s="21"/>
      <c r="AJ32" s="21"/>
      <c r="AK32" s="21"/>
      <c r="AL32" s="21"/>
    </row>
    <row r="33" spans="8:8" ht="15.0">
      <c r="B33" s="19"/>
      <c r="C33" s="22"/>
      <c r="D33" s="20">
        <f t="shared" si="15"/>
        <v>0.0</v>
      </c>
      <c r="E33" s="20">
        <f t="shared" si="2"/>
        <v>0.0</v>
      </c>
      <c r="F33" s="20">
        <f t="shared" si="3"/>
        <v>0.0</v>
      </c>
      <c r="G33" s="20">
        <f t="shared" si="4"/>
        <v>0.0</v>
      </c>
      <c r="H33" s="20">
        <f t="shared" si="5"/>
        <v>0.0</v>
      </c>
      <c r="I33" s="20">
        <f t="shared" si="6"/>
        <v>0.0</v>
      </c>
      <c r="J33" s="20">
        <f t="shared" si="7"/>
        <v>0.0</v>
      </c>
      <c r="K33" s="21"/>
      <c r="L33" s="21"/>
      <c r="M33" s="21"/>
      <c r="N33" s="21"/>
      <c r="O33" s="21"/>
      <c r="P33" s="21"/>
      <c r="Q33" s="21"/>
      <c r="R33" s="21">
        <f t="shared" si="8"/>
        <v>0.0</v>
      </c>
      <c r="S33" s="21">
        <f t="shared" si="9"/>
        <v>0.0</v>
      </c>
      <c r="T33" s="21">
        <f t="shared" si="10"/>
        <v>0.0</v>
      </c>
      <c r="U33" s="21">
        <f t="shared" si="14"/>
        <v>0.0</v>
      </c>
      <c r="V33" s="21">
        <f t="shared" si="11"/>
        <v>0.0</v>
      </c>
      <c r="W33" s="21">
        <f t="shared" si="12"/>
        <v>0.0</v>
      </c>
      <c r="X33" s="21">
        <f t="shared" si="13"/>
        <v>0.0</v>
      </c>
      <c r="Y33" s="21"/>
      <c r="Z33" s="21"/>
      <c r="AA33" s="21"/>
      <c r="AB33" s="21"/>
      <c r="AC33" s="21"/>
      <c r="AD33" s="21"/>
      <c r="AE33" s="21"/>
      <c r="AF33" s="21"/>
      <c r="AG33" s="21"/>
      <c r="AH33" s="21"/>
      <c r="AI33" s="21"/>
      <c r="AJ33" s="21"/>
      <c r="AK33" s="21"/>
      <c r="AL33" s="21"/>
    </row>
    <row r="34" spans="8:8" ht="15.0">
      <c r="B34" s="19"/>
      <c r="C34" s="22"/>
      <c r="D34" s="20">
        <f t="shared" si="15"/>
        <v>0.0</v>
      </c>
      <c r="E34" s="20">
        <f t="shared" si="2"/>
        <v>0.0</v>
      </c>
      <c r="F34" s="20">
        <f t="shared" si="3"/>
        <v>0.0</v>
      </c>
      <c r="G34" s="20">
        <f t="shared" si="4"/>
        <v>0.0</v>
      </c>
      <c r="H34" s="20">
        <f t="shared" si="5"/>
        <v>0.0</v>
      </c>
      <c r="I34" s="20">
        <f t="shared" si="6"/>
        <v>0.0</v>
      </c>
      <c r="J34" s="20">
        <f t="shared" si="7"/>
        <v>0.0</v>
      </c>
      <c r="K34" s="21"/>
      <c r="L34" s="21"/>
      <c r="M34" s="21"/>
      <c r="N34" s="21"/>
      <c r="O34" s="21"/>
      <c r="P34" s="21"/>
      <c r="Q34" s="21"/>
      <c r="R34" s="21">
        <f t="shared" si="8"/>
        <v>0.0</v>
      </c>
      <c r="S34" s="21">
        <f t="shared" si="9"/>
        <v>0.0</v>
      </c>
      <c r="T34" s="21">
        <f t="shared" si="10"/>
        <v>0.0</v>
      </c>
      <c r="U34" s="21">
        <f t="shared" si="14"/>
        <v>0.0</v>
      </c>
      <c r="V34" s="21">
        <f t="shared" si="11"/>
        <v>0.0</v>
      </c>
      <c r="W34" s="21">
        <f t="shared" si="12"/>
        <v>0.0</v>
      </c>
      <c r="X34" s="21">
        <f t="shared" si="13"/>
        <v>0.0</v>
      </c>
      <c r="Y34" s="21"/>
      <c r="Z34" s="21"/>
      <c r="AA34" s="21"/>
      <c r="AB34" s="21"/>
      <c r="AC34" s="21"/>
      <c r="AD34" s="21"/>
      <c r="AE34" s="21"/>
      <c r="AF34" s="21"/>
      <c r="AG34" s="21"/>
      <c r="AH34" s="21"/>
      <c r="AI34" s="21"/>
      <c r="AJ34" s="21"/>
      <c r="AK34" s="21"/>
      <c r="AL34" s="21"/>
    </row>
    <row r="35" spans="8:8" ht="15.0">
      <c r="B35" s="19"/>
      <c r="C35" s="22"/>
      <c r="D35" s="20">
        <f t="shared" si="15"/>
        <v>0.0</v>
      </c>
      <c r="E35" s="20">
        <f t="shared" si="2"/>
        <v>0.0</v>
      </c>
      <c r="F35" s="20">
        <f t="shared" si="3"/>
        <v>0.0</v>
      </c>
      <c r="G35" s="20">
        <f t="shared" si="4"/>
        <v>0.0</v>
      </c>
      <c r="H35" s="20">
        <f t="shared" si="5"/>
        <v>0.0</v>
      </c>
      <c r="I35" s="20">
        <f t="shared" si="6"/>
        <v>0.0</v>
      </c>
      <c r="J35" s="20">
        <f t="shared" si="7"/>
        <v>0.0</v>
      </c>
      <c r="K35" s="21"/>
      <c r="L35" s="21"/>
      <c r="M35" s="21"/>
      <c r="N35" s="21"/>
      <c r="O35" s="21"/>
      <c r="P35" s="21"/>
      <c r="Q35" s="21"/>
      <c r="R35" s="21">
        <f t="shared" si="8"/>
        <v>0.0</v>
      </c>
      <c r="S35" s="21">
        <f t="shared" si="9"/>
        <v>0.0</v>
      </c>
      <c r="T35" s="21">
        <f t="shared" si="10"/>
        <v>0.0</v>
      </c>
      <c r="U35" s="21">
        <f t="shared" si="14"/>
        <v>0.0</v>
      </c>
      <c r="V35" s="21">
        <f t="shared" si="11"/>
        <v>0.0</v>
      </c>
      <c r="W35" s="21">
        <f t="shared" si="12"/>
        <v>0.0</v>
      </c>
      <c r="X35" s="21">
        <f t="shared" si="13"/>
        <v>0.0</v>
      </c>
      <c r="Y35" s="21"/>
      <c r="Z35" s="21"/>
      <c r="AA35" s="21"/>
      <c r="AB35" s="21"/>
      <c r="AC35" s="21"/>
      <c r="AD35" s="21"/>
      <c r="AE35" s="21"/>
      <c r="AF35" s="21"/>
      <c r="AG35" s="21"/>
      <c r="AH35" s="21"/>
      <c r="AI35" s="21"/>
      <c r="AJ35" s="21"/>
      <c r="AK35" s="21"/>
      <c r="AL35" s="21"/>
    </row>
    <row r="36" spans="8:8" ht="15.0">
      <c r="B36" s="19"/>
      <c r="C36" s="22"/>
      <c r="D36" s="20">
        <f t="shared" si="15"/>
        <v>0.0</v>
      </c>
      <c r="E36" s="20">
        <f t="shared" si="2"/>
        <v>0.0</v>
      </c>
      <c r="F36" s="20">
        <f t="shared" si="3"/>
        <v>0.0</v>
      </c>
      <c r="G36" s="20">
        <f t="shared" si="4"/>
        <v>0.0</v>
      </c>
      <c r="H36" s="20">
        <f t="shared" si="5"/>
        <v>0.0</v>
      </c>
      <c r="I36" s="20">
        <f t="shared" si="6"/>
        <v>0.0</v>
      </c>
      <c r="J36" s="20">
        <f t="shared" si="7"/>
        <v>0.0</v>
      </c>
      <c r="K36" s="21"/>
      <c r="L36" s="21"/>
      <c r="M36" s="21"/>
      <c r="N36" s="21"/>
      <c r="O36" s="21"/>
      <c r="P36" s="21"/>
      <c r="Q36" s="21"/>
      <c r="R36" s="21">
        <f t="shared" si="8"/>
        <v>0.0</v>
      </c>
      <c r="S36" s="21">
        <f t="shared" si="9"/>
        <v>0.0</v>
      </c>
      <c r="T36" s="21">
        <f t="shared" si="10"/>
        <v>0.0</v>
      </c>
      <c r="U36" s="21">
        <f t="shared" si="14"/>
        <v>0.0</v>
      </c>
      <c r="V36" s="21">
        <f t="shared" si="11"/>
        <v>0.0</v>
      </c>
      <c r="W36" s="21">
        <f t="shared" si="12"/>
        <v>0.0</v>
      </c>
      <c r="X36" s="21">
        <f t="shared" si="13"/>
        <v>0.0</v>
      </c>
      <c r="Y36" s="21"/>
      <c r="Z36" s="21"/>
      <c r="AA36" s="21"/>
      <c r="AB36" s="21"/>
      <c r="AC36" s="21"/>
      <c r="AD36" s="21"/>
      <c r="AE36" s="21"/>
      <c r="AF36" s="21"/>
      <c r="AG36" s="21"/>
      <c r="AH36" s="21"/>
      <c r="AI36" s="21"/>
      <c r="AJ36" s="21"/>
      <c r="AK36" s="21"/>
      <c r="AL36" s="21"/>
    </row>
    <row r="37" spans="8:8" ht="15.0">
      <c r="B37" s="19"/>
      <c r="C37" s="22"/>
      <c r="D37" s="20">
        <f t="shared" si="15"/>
        <v>0.0</v>
      </c>
      <c r="E37" s="20">
        <f t="shared" si="2"/>
        <v>0.0</v>
      </c>
      <c r="F37" s="20">
        <f t="shared" si="3"/>
        <v>0.0</v>
      </c>
      <c r="G37" s="20">
        <f t="shared" si="4"/>
        <v>0.0</v>
      </c>
      <c r="H37" s="20">
        <f t="shared" si="5"/>
        <v>0.0</v>
      </c>
      <c r="I37" s="20">
        <f t="shared" si="6"/>
        <v>0.0</v>
      </c>
      <c r="J37" s="20">
        <f t="shared" si="7"/>
        <v>0.0</v>
      </c>
      <c r="K37" s="21"/>
      <c r="L37" s="21"/>
      <c r="M37" s="21"/>
      <c r="N37" s="21"/>
      <c r="O37" s="21"/>
      <c r="P37" s="21"/>
      <c r="Q37" s="21"/>
      <c r="R37" s="21">
        <f t="shared" si="8"/>
        <v>0.0</v>
      </c>
      <c r="S37" s="21">
        <f t="shared" si="9"/>
        <v>0.0</v>
      </c>
      <c r="T37" s="21">
        <f t="shared" si="10"/>
        <v>0.0</v>
      </c>
      <c r="U37" s="21">
        <f t="shared" si="14"/>
        <v>0.0</v>
      </c>
      <c r="V37" s="21">
        <f t="shared" si="11"/>
        <v>0.0</v>
      </c>
      <c r="W37" s="21">
        <f t="shared" si="12"/>
        <v>0.0</v>
      </c>
      <c r="X37" s="21">
        <f t="shared" si="13"/>
        <v>0.0</v>
      </c>
      <c r="Y37" s="21"/>
      <c r="Z37" s="21"/>
      <c r="AA37" s="21"/>
      <c r="AB37" s="21"/>
      <c r="AC37" s="21"/>
      <c r="AD37" s="21"/>
      <c r="AE37" s="21"/>
      <c r="AF37" s="21"/>
      <c r="AG37" s="21"/>
      <c r="AH37" s="21"/>
      <c r="AI37" s="21"/>
      <c r="AJ37" s="21"/>
      <c r="AK37" s="21"/>
      <c r="AL37" s="21"/>
    </row>
    <row r="38" spans="8:8" ht="15.0">
      <c r="B38" s="19"/>
      <c r="C38" s="22"/>
      <c r="D38" s="20">
        <f t="shared" si="15"/>
        <v>0.0</v>
      </c>
      <c r="E38" s="20">
        <f t="shared" si="2"/>
        <v>0.0</v>
      </c>
      <c r="F38" s="20">
        <f t="shared" si="3"/>
        <v>0.0</v>
      </c>
      <c r="G38" s="20">
        <f t="shared" si="4"/>
        <v>0.0</v>
      </c>
      <c r="H38" s="20">
        <f t="shared" si="5"/>
        <v>0.0</v>
      </c>
      <c r="I38" s="20">
        <f t="shared" si="6"/>
        <v>0.0</v>
      </c>
      <c r="J38" s="20">
        <f t="shared" si="7"/>
        <v>0.0</v>
      </c>
      <c r="K38" s="21"/>
      <c r="L38" s="21"/>
      <c r="M38" s="21"/>
      <c r="N38" s="21"/>
      <c r="O38" s="21"/>
      <c r="P38" s="21"/>
      <c r="Q38" s="21"/>
      <c r="R38" s="21">
        <f t="shared" si="8"/>
        <v>0.0</v>
      </c>
      <c r="S38" s="21">
        <f t="shared" si="9"/>
        <v>0.0</v>
      </c>
      <c r="T38" s="21">
        <f t="shared" si="10"/>
        <v>0.0</v>
      </c>
      <c r="U38" s="21">
        <f t="shared" si="14"/>
        <v>0.0</v>
      </c>
      <c r="V38" s="21">
        <f t="shared" si="11"/>
        <v>0.0</v>
      </c>
      <c r="W38" s="21">
        <f t="shared" si="12"/>
        <v>0.0</v>
      </c>
      <c r="X38" s="21">
        <f t="shared" si="13"/>
        <v>0.0</v>
      </c>
      <c r="Y38" s="21"/>
      <c r="Z38" s="21"/>
      <c r="AA38" s="21"/>
      <c r="AB38" s="21"/>
      <c r="AC38" s="21"/>
      <c r="AD38" s="21"/>
      <c r="AE38" s="21"/>
      <c r="AF38" s="21"/>
      <c r="AG38" s="21"/>
      <c r="AH38" s="21"/>
      <c r="AI38" s="21"/>
      <c r="AJ38" s="21"/>
      <c r="AK38" s="21"/>
      <c r="AL38" s="21"/>
    </row>
    <row r="39" spans="8:8" ht="15.0">
      <c r="B39" s="19"/>
      <c r="C39" s="22"/>
      <c r="D39" s="20">
        <f t="shared" si="15"/>
        <v>0.0</v>
      </c>
      <c r="E39" s="20">
        <f t="shared" si="2"/>
        <v>0.0</v>
      </c>
      <c r="F39" s="20">
        <f t="shared" si="3"/>
        <v>0.0</v>
      </c>
      <c r="G39" s="20">
        <f t="shared" si="4"/>
        <v>0.0</v>
      </c>
      <c r="H39" s="20">
        <f t="shared" si="5"/>
        <v>0.0</v>
      </c>
      <c r="I39" s="20">
        <f t="shared" si="6"/>
        <v>0.0</v>
      </c>
      <c r="J39" s="20">
        <f t="shared" si="7"/>
        <v>0.0</v>
      </c>
      <c r="K39" s="21"/>
      <c r="L39" s="21"/>
      <c r="M39" s="21"/>
      <c r="N39" s="21"/>
      <c r="O39" s="21"/>
      <c r="P39" s="21"/>
      <c r="Q39" s="21"/>
      <c r="R39" s="21">
        <f t="shared" si="8"/>
        <v>0.0</v>
      </c>
      <c r="S39" s="21">
        <f t="shared" si="9"/>
        <v>0.0</v>
      </c>
      <c r="T39" s="21">
        <f t="shared" si="10"/>
        <v>0.0</v>
      </c>
      <c r="U39" s="21">
        <f t="shared" si="14"/>
        <v>0.0</v>
      </c>
      <c r="V39" s="21">
        <f t="shared" si="11"/>
        <v>0.0</v>
      </c>
      <c r="W39" s="21">
        <f t="shared" si="12"/>
        <v>0.0</v>
      </c>
      <c r="X39" s="21">
        <f t="shared" si="13"/>
        <v>0.0</v>
      </c>
      <c r="Y39" s="21"/>
      <c r="Z39" s="21"/>
      <c r="AA39" s="21"/>
      <c r="AB39" s="21"/>
      <c r="AC39" s="21"/>
      <c r="AD39" s="21"/>
      <c r="AE39" s="21"/>
      <c r="AF39" s="21"/>
      <c r="AG39" s="21"/>
      <c r="AH39" s="21"/>
      <c r="AI39" s="21"/>
      <c r="AJ39" s="21"/>
      <c r="AK39" s="21"/>
      <c r="AL39" s="21"/>
    </row>
    <row r="40" spans="8:8" ht="15.0">
      <c r="B40" s="19"/>
      <c r="C40" s="22"/>
      <c r="D40" s="20">
        <f t="shared" si="15"/>
        <v>0.0</v>
      </c>
      <c r="E40" s="20">
        <f t="shared" si="2"/>
        <v>0.0</v>
      </c>
      <c r="F40" s="20">
        <f t="shared" si="3"/>
        <v>0.0</v>
      </c>
      <c r="G40" s="20">
        <f t="shared" si="4"/>
        <v>0.0</v>
      </c>
      <c r="H40" s="20">
        <f t="shared" si="5"/>
        <v>0.0</v>
      </c>
      <c r="I40" s="20">
        <f t="shared" si="6"/>
        <v>0.0</v>
      </c>
      <c r="J40" s="20">
        <f t="shared" si="7"/>
        <v>0.0</v>
      </c>
      <c r="K40" s="21"/>
      <c r="L40" s="21"/>
      <c r="M40" s="21"/>
      <c r="N40" s="21"/>
      <c r="O40" s="21"/>
      <c r="P40" s="21"/>
      <c r="Q40" s="21"/>
      <c r="R40" s="21">
        <f t="shared" si="8"/>
        <v>0.0</v>
      </c>
      <c r="S40" s="21">
        <f t="shared" si="9"/>
        <v>0.0</v>
      </c>
      <c r="T40" s="21">
        <f t="shared" si="10"/>
        <v>0.0</v>
      </c>
      <c r="U40" s="21">
        <f t="shared" si="14"/>
        <v>0.0</v>
      </c>
      <c r="V40" s="21">
        <f t="shared" si="11"/>
        <v>0.0</v>
      </c>
      <c r="W40" s="21">
        <f t="shared" si="12"/>
        <v>0.0</v>
      </c>
      <c r="X40" s="21">
        <f t="shared" si="13"/>
        <v>0.0</v>
      </c>
      <c r="Y40" s="21"/>
      <c r="Z40" s="21"/>
      <c r="AA40" s="21"/>
      <c r="AB40" s="21"/>
      <c r="AC40" s="21"/>
      <c r="AD40" s="21"/>
      <c r="AE40" s="21"/>
      <c r="AF40" s="21"/>
      <c r="AG40" s="21"/>
      <c r="AH40" s="21"/>
      <c r="AI40" s="21"/>
      <c r="AJ40" s="21"/>
      <c r="AK40" s="21"/>
      <c r="AL40" s="21"/>
    </row>
    <row r="41" spans="8:8" ht="15.0">
      <c r="B41" s="19"/>
      <c r="C41" s="22"/>
      <c r="D41" s="20">
        <f t="shared" si="15"/>
        <v>0.0</v>
      </c>
      <c r="E41" s="20">
        <f t="shared" si="2"/>
        <v>0.0</v>
      </c>
      <c r="F41" s="20">
        <f t="shared" si="3"/>
        <v>0.0</v>
      </c>
      <c r="G41" s="20">
        <f t="shared" si="4"/>
        <v>0.0</v>
      </c>
      <c r="H41" s="20">
        <f t="shared" si="5"/>
        <v>0.0</v>
      </c>
      <c r="I41" s="20">
        <f t="shared" si="6"/>
        <v>0.0</v>
      </c>
      <c r="J41" s="20">
        <f t="shared" si="7"/>
        <v>0.0</v>
      </c>
      <c r="K41" s="21"/>
      <c r="L41" s="21"/>
      <c r="M41" s="21"/>
      <c r="N41" s="21"/>
      <c r="O41" s="21"/>
      <c r="P41" s="21"/>
      <c r="Q41" s="21"/>
      <c r="R41" s="21">
        <f t="shared" si="8"/>
        <v>0.0</v>
      </c>
      <c r="S41" s="21">
        <f t="shared" si="9"/>
        <v>0.0</v>
      </c>
      <c r="T41" s="21">
        <f t="shared" si="10"/>
        <v>0.0</v>
      </c>
      <c r="U41" s="21">
        <f t="shared" si="14"/>
        <v>0.0</v>
      </c>
      <c r="V41" s="21">
        <f t="shared" si="11"/>
        <v>0.0</v>
      </c>
      <c r="W41" s="21">
        <f t="shared" si="12"/>
        <v>0.0</v>
      </c>
      <c r="X41" s="21">
        <f t="shared" si="13"/>
        <v>0.0</v>
      </c>
      <c r="Y41" s="21"/>
      <c r="Z41" s="21"/>
      <c r="AA41" s="21"/>
      <c r="AB41" s="21"/>
      <c r="AC41" s="21"/>
      <c r="AD41" s="21"/>
      <c r="AE41" s="21"/>
      <c r="AF41" s="21"/>
      <c r="AG41" s="21"/>
      <c r="AH41" s="21"/>
      <c r="AI41" s="21"/>
      <c r="AJ41" s="21"/>
      <c r="AK41" s="21"/>
      <c r="AL41" s="21"/>
    </row>
    <row r="42" spans="8:8" ht="15.0">
      <c r="B42" s="19"/>
      <c r="C42" s="22"/>
      <c r="D42" s="20">
        <f t="shared" si="15"/>
        <v>0.0</v>
      </c>
      <c r="E42" s="20">
        <f t="shared" si="2"/>
        <v>0.0</v>
      </c>
      <c r="F42" s="20">
        <f t="shared" si="3"/>
        <v>0.0</v>
      </c>
      <c r="G42" s="20">
        <f t="shared" si="4"/>
        <v>0.0</v>
      </c>
      <c r="H42" s="20">
        <f t="shared" si="5"/>
        <v>0.0</v>
      </c>
      <c r="I42" s="20">
        <f t="shared" si="6"/>
        <v>0.0</v>
      </c>
      <c r="J42" s="20">
        <f t="shared" si="7"/>
        <v>0.0</v>
      </c>
      <c r="K42" s="21"/>
      <c r="L42" s="21"/>
      <c r="M42" s="21"/>
      <c r="N42" s="21"/>
      <c r="O42" s="21"/>
      <c r="P42" s="21"/>
      <c r="Q42" s="21"/>
      <c r="R42" s="21">
        <f t="shared" si="8"/>
        <v>0.0</v>
      </c>
      <c r="S42" s="21">
        <f t="shared" si="9"/>
        <v>0.0</v>
      </c>
      <c r="T42" s="21">
        <f t="shared" si="10"/>
        <v>0.0</v>
      </c>
      <c r="U42" s="21">
        <f t="shared" si="14"/>
        <v>0.0</v>
      </c>
      <c r="V42" s="21">
        <f t="shared" si="11"/>
        <v>0.0</v>
      </c>
      <c r="W42" s="21">
        <f t="shared" si="12"/>
        <v>0.0</v>
      </c>
      <c r="X42" s="21">
        <f t="shared" si="13"/>
        <v>0.0</v>
      </c>
      <c r="Y42" s="21"/>
      <c r="Z42" s="21"/>
      <c r="AA42" s="21"/>
      <c r="AB42" s="21"/>
      <c r="AC42" s="21"/>
      <c r="AD42" s="21"/>
      <c r="AE42" s="21"/>
      <c r="AF42" s="21"/>
      <c r="AG42" s="21"/>
      <c r="AH42" s="21"/>
      <c r="AI42" s="21"/>
      <c r="AJ42" s="21"/>
      <c r="AK42" s="21"/>
      <c r="AL42" s="21"/>
    </row>
    <row r="43" spans="8:8" ht="15.0">
      <c r="B43" s="19"/>
      <c r="C43" s="22"/>
      <c r="D43" s="20">
        <f t="shared" si="15"/>
        <v>0.0</v>
      </c>
      <c r="E43" s="20">
        <f t="shared" si="2"/>
        <v>0.0</v>
      </c>
      <c r="F43" s="20">
        <f t="shared" si="3"/>
        <v>0.0</v>
      </c>
      <c r="G43" s="20">
        <f t="shared" si="4"/>
        <v>0.0</v>
      </c>
      <c r="H43" s="20">
        <f t="shared" si="5"/>
        <v>0.0</v>
      </c>
      <c r="I43" s="20">
        <f t="shared" si="6"/>
        <v>0.0</v>
      </c>
      <c r="J43" s="20">
        <f t="shared" si="7"/>
        <v>0.0</v>
      </c>
      <c r="K43" s="21"/>
      <c r="L43" s="21"/>
      <c r="M43" s="21"/>
      <c r="N43" s="21"/>
      <c r="O43" s="21"/>
      <c r="P43" s="21"/>
      <c r="Q43" s="21"/>
      <c r="R43" s="21">
        <f t="shared" si="8"/>
        <v>0.0</v>
      </c>
      <c r="S43" s="21">
        <f t="shared" si="9"/>
        <v>0.0</v>
      </c>
      <c r="T43" s="21">
        <f t="shared" si="10"/>
        <v>0.0</v>
      </c>
      <c r="U43" s="21">
        <f t="shared" si="14"/>
        <v>0.0</v>
      </c>
      <c r="V43" s="21">
        <f t="shared" si="11"/>
        <v>0.0</v>
      </c>
      <c r="W43" s="21">
        <f t="shared" si="12"/>
        <v>0.0</v>
      </c>
      <c r="X43" s="21">
        <f t="shared" si="13"/>
        <v>0.0</v>
      </c>
      <c r="Y43" s="21"/>
      <c r="Z43" s="21"/>
      <c r="AA43" s="21"/>
      <c r="AB43" s="21"/>
      <c r="AC43" s="21"/>
      <c r="AD43" s="21"/>
      <c r="AE43" s="21"/>
      <c r="AF43" s="21"/>
      <c r="AG43" s="21"/>
      <c r="AH43" s="21"/>
      <c r="AI43" s="21"/>
      <c r="AJ43" s="21"/>
      <c r="AK43" s="21"/>
      <c r="AL43" s="21"/>
    </row>
    <row r="44" spans="8:8" ht="15.0">
      <c r="B44" s="19"/>
      <c r="C44" s="22"/>
      <c r="D44" s="20">
        <f t="shared" si="15"/>
        <v>0.0</v>
      </c>
      <c r="E44" s="20">
        <f t="shared" si="2"/>
        <v>0.0</v>
      </c>
      <c r="F44" s="20">
        <f t="shared" si="3"/>
        <v>0.0</v>
      </c>
      <c r="G44" s="20">
        <f t="shared" si="4"/>
        <v>0.0</v>
      </c>
      <c r="H44" s="20">
        <f t="shared" si="5"/>
        <v>0.0</v>
      </c>
      <c r="I44" s="20">
        <f t="shared" si="6"/>
        <v>0.0</v>
      </c>
      <c r="J44" s="20">
        <f t="shared" si="7"/>
        <v>0.0</v>
      </c>
      <c r="K44" s="21"/>
      <c r="L44" s="21"/>
      <c r="M44" s="21"/>
      <c r="N44" s="21"/>
      <c r="O44" s="21"/>
      <c r="P44" s="21"/>
      <c r="Q44" s="21"/>
      <c r="R44" s="21">
        <f t="shared" si="8"/>
        <v>0.0</v>
      </c>
      <c r="S44" s="21">
        <f t="shared" si="9"/>
        <v>0.0</v>
      </c>
      <c r="T44" s="21">
        <f t="shared" si="10"/>
        <v>0.0</v>
      </c>
      <c r="U44" s="21">
        <f t="shared" si="14"/>
        <v>0.0</v>
      </c>
      <c r="V44" s="21">
        <f t="shared" si="11"/>
        <v>0.0</v>
      </c>
      <c r="W44" s="21">
        <f t="shared" si="12"/>
        <v>0.0</v>
      </c>
      <c r="X44" s="21">
        <f t="shared" si="13"/>
        <v>0.0</v>
      </c>
      <c r="Y44" s="21"/>
      <c r="Z44" s="21"/>
      <c r="AA44" s="21"/>
      <c r="AB44" s="21"/>
      <c r="AC44" s="21"/>
      <c r="AD44" s="21"/>
      <c r="AE44" s="21"/>
      <c r="AF44" s="21"/>
      <c r="AG44" s="21"/>
      <c r="AH44" s="21"/>
      <c r="AI44" s="21"/>
      <c r="AJ44" s="21"/>
      <c r="AK44" s="21"/>
      <c r="AL44" s="21"/>
    </row>
    <row r="45" spans="8:8" ht="15.0">
      <c r="B45" s="19"/>
      <c r="C45" s="22"/>
      <c r="D45" s="20">
        <f t="shared" si="15"/>
        <v>0.0</v>
      </c>
      <c r="E45" s="20">
        <f t="shared" si="2"/>
        <v>0.0</v>
      </c>
      <c r="F45" s="20">
        <f t="shared" si="3"/>
        <v>0.0</v>
      </c>
      <c r="G45" s="20">
        <f t="shared" si="4"/>
        <v>0.0</v>
      </c>
      <c r="H45" s="20">
        <f t="shared" si="5"/>
        <v>0.0</v>
      </c>
      <c r="I45" s="20">
        <f t="shared" si="6"/>
        <v>0.0</v>
      </c>
      <c r="J45" s="20">
        <f t="shared" si="7"/>
        <v>0.0</v>
      </c>
      <c r="K45" s="21"/>
      <c r="L45" s="21"/>
      <c r="M45" s="21"/>
      <c r="N45" s="21"/>
      <c r="O45" s="21"/>
      <c r="P45" s="21"/>
      <c r="Q45" s="21"/>
      <c r="R45" s="21">
        <f t="shared" si="8"/>
        <v>0.0</v>
      </c>
      <c r="S45" s="21">
        <f t="shared" si="9"/>
        <v>0.0</v>
      </c>
      <c r="T45" s="21">
        <f t="shared" si="10"/>
        <v>0.0</v>
      </c>
      <c r="U45" s="21">
        <f t="shared" si="14"/>
        <v>0.0</v>
      </c>
      <c r="V45" s="21">
        <f t="shared" si="11"/>
        <v>0.0</v>
      </c>
      <c r="W45" s="21">
        <f t="shared" si="12"/>
        <v>0.0</v>
      </c>
      <c r="X45" s="21">
        <f t="shared" si="13"/>
        <v>0.0</v>
      </c>
      <c r="Y45" s="21"/>
      <c r="Z45" s="21"/>
      <c r="AA45" s="21"/>
      <c r="AB45" s="21"/>
      <c r="AC45" s="21"/>
      <c r="AD45" s="21"/>
      <c r="AE45" s="21"/>
      <c r="AF45" s="21"/>
      <c r="AG45" s="21"/>
      <c r="AH45" s="21"/>
      <c r="AI45" s="21"/>
      <c r="AJ45" s="21"/>
      <c r="AK45" s="21"/>
      <c r="AL45" s="21"/>
    </row>
    <row r="46" spans="8:8" ht="15.0">
      <c r="B46" s="19"/>
      <c r="C46" s="22"/>
      <c r="D46" s="20">
        <f t="shared" si="15"/>
        <v>0.0</v>
      </c>
      <c r="E46" s="20">
        <f t="shared" si="2"/>
        <v>0.0</v>
      </c>
      <c r="F46" s="20">
        <f t="shared" si="3"/>
        <v>0.0</v>
      </c>
      <c r="G46" s="20">
        <f t="shared" si="4"/>
        <v>0.0</v>
      </c>
      <c r="H46" s="20">
        <f t="shared" si="5"/>
        <v>0.0</v>
      </c>
      <c r="I46" s="20">
        <f t="shared" si="6"/>
        <v>0.0</v>
      </c>
      <c r="J46" s="20">
        <f t="shared" si="7"/>
        <v>0.0</v>
      </c>
      <c r="K46" s="21"/>
      <c r="L46" s="21"/>
      <c r="M46" s="21"/>
      <c r="N46" s="21"/>
      <c r="O46" s="21"/>
      <c r="P46" s="21"/>
      <c r="Q46" s="21"/>
      <c r="R46" s="21">
        <f t="shared" si="8"/>
        <v>0.0</v>
      </c>
      <c r="S46" s="21">
        <f t="shared" si="9"/>
        <v>0.0</v>
      </c>
      <c r="T46" s="21">
        <f t="shared" si="10"/>
        <v>0.0</v>
      </c>
      <c r="U46" s="21">
        <f t="shared" si="14"/>
        <v>0.0</v>
      </c>
      <c r="V46" s="21">
        <f t="shared" si="11"/>
        <v>0.0</v>
      </c>
      <c r="W46" s="21">
        <f t="shared" si="12"/>
        <v>0.0</v>
      </c>
      <c r="X46" s="21">
        <f t="shared" si="13"/>
        <v>0.0</v>
      </c>
      <c r="Y46" s="21"/>
      <c r="Z46" s="21"/>
      <c r="AA46" s="21"/>
      <c r="AB46" s="21"/>
      <c r="AC46" s="21"/>
      <c r="AD46" s="21"/>
      <c r="AE46" s="21"/>
      <c r="AF46" s="21"/>
      <c r="AG46" s="21"/>
      <c r="AH46" s="21"/>
      <c r="AI46" s="21"/>
      <c r="AJ46" s="21"/>
      <c r="AK46" s="21"/>
      <c r="AL46" s="21"/>
    </row>
    <row r="47" spans="8:8" ht="15.0">
      <c r="B47" s="19"/>
      <c r="C47" s="22"/>
      <c r="D47" s="20">
        <f t="shared" si="15"/>
        <v>0.0</v>
      </c>
      <c r="E47" s="20">
        <f t="shared" si="2"/>
        <v>0.0</v>
      </c>
      <c r="F47" s="20">
        <f t="shared" si="3"/>
        <v>0.0</v>
      </c>
      <c r="G47" s="20">
        <f t="shared" si="4"/>
        <v>0.0</v>
      </c>
      <c r="H47" s="20">
        <f t="shared" si="5"/>
        <v>0.0</v>
      </c>
      <c r="I47" s="20">
        <f t="shared" si="6"/>
        <v>0.0</v>
      </c>
      <c r="J47" s="20">
        <f t="shared" si="7"/>
        <v>0.0</v>
      </c>
      <c r="K47" s="21"/>
      <c r="L47" s="21"/>
      <c r="M47" s="21"/>
      <c r="N47" s="21"/>
      <c r="O47" s="21"/>
      <c r="P47" s="21"/>
      <c r="Q47" s="21"/>
      <c r="R47" s="21">
        <f t="shared" si="8"/>
        <v>0.0</v>
      </c>
      <c r="S47" s="21">
        <f t="shared" si="9"/>
        <v>0.0</v>
      </c>
      <c r="T47" s="21">
        <f t="shared" si="10"/>
        <v>0.0</v>
      </c>
      <c r="U47" s="21">
        <f t="shared" si="14"/>
        <v>0.0</v>
      </c>
      <c r="V47" s="21">
        <f t="shared" si="11"/>
        <v>0.0</v>
      </c>
      <c r="W47" s="21">
        <f t="shared" si="12"/>
        <v>0.0</v>
      </c>
      <c r="X47" s="21">
        <f t="shared" si="13"/>
        <v>0.0</v>
      </c>
      <c r="Y47" s="21"/>
      <c r="Z47" s="21"/>
      <c r="AA47" s="21"/>
      <c r="AB47" s="21"/>
      <c r="AC47" s="21"/>
      <c r="AD47" s="21"/>
      <c r="AE47" s="21"/>
      <c r="AF47" s="21"/>
      <c r="AG47" s="21"/>
      <c r="AH47" s="21"/>
      <c r="AI47" s="21"/>
      <c r="AJ47" s="21"/>
      <c r="AK47" s="21"/>
      <c r="AL47" s="21"/>
    </row>
    <row r="48" spans="8:8">
      <c r="B48" s="19"/>
      <c r="C48" s="22"/>
      <c r="D48" s="15"/>
      <c r="E48" s="15"/>
      <c r="F48" s="15"/>
      <c r="G48" s="15"/>
      <c r="H48" s="15"/>
      <c r="I48" s="15"/>
      <c r="J48" s="15"/>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row>
    <row r="49" spans="8:8">
      <c r="B49" s="19"/>
      <c r="C49" s="22"/>
      <c r="D49" s="15"/>
      <c r="E49" s="15"/>
      <c r="F49" s="15"/>
      <c r="G49" s="15"/>
      <c r="H49" s="15"/>
      <c r="I49" s="15"/>
      <c r="J49" s="15"/>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row>
    <row r="50" spans="8:8">
      <c r="B50" s="19"/>
      <c r="C50" s="22"/>
      <c r="D50" s="15"/>
      <c r="E50" s="15"/>
      <c r="F50" s="15"/>
      <c r="G50" s="15"/>
      <c r="H50" s="15"/>
      <c r="I50" s="15"/>
      <c r="J50" s="15"/>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row>
    <row r="51" spans="8:8">
      <c r="B51" s="19"/>
      <c r="C51" s="22"/>
      <c r="D51" s="15"/>
      <c r="E51" s="15"/>
      <c r="F51" s="15"/>
      <c r="G51" s="15"/>
      <c r="H51" s="15"/>
      <c r="I51" s="15"/>
      <c r="J51" s="15"/>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row>
    <row r="52" spans="8:8">
      <c r="B52" s="19"/>
      <c r="C52" s="22"/>
      <c r="D52" s="15"/>
      <c r="E52" s="15"/>
      <c r="F52" s="15"/>
      <c r="G52" s="15"/>
      <c r="H52" s="15"/>
      <c r="I52" s="15"/>
      <c r="J52" s="15"/>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row>
    <row r="53" spans="8:8">
      <c r="B53" s="19"/>
      <c r="C53" s="22"/>
      <c r="D53" s="15"/>
      <c r="E53" s="15"/>
      <c r="F53" s="15"/>
      <c r="G53" s="15"/>
      <c r="H53" s="15"/>
      <c r="I53" s="15"/>
      <c r="J53" s="15"/>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row>
    <row r="54" spans="8:8">
      <c r="B54" s="19"/>
      <c r="C54" s="22"/>
      <c r="D54" s="15"/>
      <c r="E54" s="15"/>
      <c r="F54" s="15"/>
      <c r="G54" s="15"/>
      <c r="H54" s="15"/>
      <c r="I54" s="15"/>
      <c r="J54" s="15"/>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row>
    <row r="55" spans="8:8">
      <c r="B55" s="19"/>
      <c r="C55" s="22"/>
      <c r="D55" s="15"/>
      <c r="E55" s="15"/>
      <c r="F55" s="15"/>
      <c r="G55" s="15"/>
      <c r="H55" s="15"/>
      <c r="I55" s="15"/>
      <c r="J55" s="15"/>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row>
    <row r="56" spans="8:8">
      <c r="B56" s="19"/>
      <c r="C56" s="22"/>
      <c r="D56" s="15"/>
      <c r="E56" s="15"/>
      <c r="F56" s="15"/>
      <c r="G56" s="15"/>
      <c r="H56" s="15"/>
      <c r="I56" s="15"/>
      <c r="J56" s="15"/>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row>
    <row r="57" spans="8:8">
      <c r="B57" s="19"/>
      <c r="C57" s="22"/>
      <c r="D57" s="15"/>
      <c r="E57" s="15"/>
      <c r="F57" s="15"/>
      <c r="G57" s="15"/>
      <c r="H57" s="15"/>
      <c r="I57" s="15"/>
      <c r="J57" s="15"/>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row>
    <row r="58" spans="8:8">
      <c r="B58" s="19"/>
      <c r="C58" s="22"/>
      <c r="D58" s="15"/>
      <c r="E58" s="15"/>
      <c r="F58" s="15"/>
      <c r="G58" s="15"/>
      <c r="H58" s="15"/>
      <c r="I58" s="15"/>
      <c r="J58" s="15"/>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row>
    <row r="59" spans="8:8">
      <c r="B59" s="19"/>
      <c r="C59" s="22"/>
      <c r="D59" s="15"/>
      <c r="E59" s="15"/>
      <c r="F59" s="15"/>
      <c r="G59" s="15"/>
      <c r="H59" s="15"/>
      <c r="I59" s="15"/>
      <c r="J59" s="15"/>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row>
    <row r="60" spans="8:8">
      <c r="B60" s="19"/>
      <c r="C60" s="22"/>
      <c r="D60" s="15"/>
      <c r="E60" s="15"/>
      <c r="F60" s="15"/>
      <c r="G60" s="15"/>
      <c r="H60" s="15"/>
      <c r="I60" s="15"/>
      <c r="J60" s="15"/>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row>
    <row r="61" spans="8:8">
      <c r="B61" s="19"/>
      <c r="C61" s="22"/>
      <c r="D61" s="15"/>
      <c r="E61" s="15"/>
      <c r="F61" s="15"/>
      <c r="G61" s="15"/>
      <c r="H61" s="15"/>
      <c r="I61" s="15"/>
      <c r="J61" s="15"/>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row>
    <row r="62" spans="8:8">
      <c r="B62" s="19"/>
      <c r="C62" s="22"/>
      <c r="D62" s="15"/>
      <c r="E62" s="15"/>
      <c r="F62" s="15"/>
      <c r="G62" s="15"/>
      <c r="H62" s="15"/>
      <c r="I62" s="15"/>
      <c r="J62" s="15"/>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row>
    <row r="63" spans="8:8">
      <c r="B63" s="19"/>
      <c r="C63" s="22"/>
      <c r="D63" s="15"/>
      <c r="E63" s="15"/>
      <c r="F63" s="15"/>
      <c r="G63" s="15"/>
      <c r="H63" s="15"/>
      <c r="I63" s="15"/>
      <c r="J63" s="15"/>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row>
    <row r="64" spans="8:8">
      <c r="B64" s="19"/>
      <c r="C64" s="22"/>
      <c r="D64" s="15"/>
      <c r="E64" s="15"/>
      <c r="F64" s="15"/>
      <c r="G64" s="15"/>
      <c r="H64" s="15"/>
      <c r="I64" s="15"/>
      <c r="J64" s="15"/>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row>
    <row r="65" spans="8:8">
      <c r="B65" s="19"/>
      <c r="C65" s="22"/>
      <c r="D65" s="15"/>
      <c r="E65" s="15"/>
      <c r="F65" s="15"/>
      <c r="G65" s="15"/>
      <c r="H65" s="15"/>
      <c r="I65" s="15"/>
      <c r="J65" s="15"/>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row>
    <row r="66" spans="8:8">
      <c r="B66" s="19"/>
      <c r="C66" s="22"/>
      <c r="D66" s="15"/>
      <c r="E66" s="15"/>
      <c r="F66" s="15"/>
      <c r="G66" s="15"/>
      <c r="H66" s="15"/>
      <c r="I66" s="15"/>
      <c r="J66" s="15"/>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row>
    <row r="67" spans="8:8">
      <c r="B67" s="19"/>
      <c r="C67" s="22"/>
      <c r="D67" s="15"/>
      <c r="E67" s="15"/>
      <c r="F67" s="15"/>
      <c r="G67" s="15"/>
      <c r="H67" s="15"/>
      <c r="I67" s="15"/>
      <c r="J67" s="15"/>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row>
    <row r="68" spans="8:8">
      <c r="B68" s="19"/>
      <c r="C68" s="22"/>
      <c r="D68" s="15"/>
      <c r="E68" s="15"/>
      <c r="F68" s="15"/>
      <c r="G68" s="15"/>
      <c r="H68" s="15"/>
      <c r="I68" s="15"/>
      <c r="J68" s="15"/>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row>
    <row r="69" spans="8:8">
      <c r="B69" s="19"/>
      <c r="C69" s="22"/>
      <c r="D69" s="15"/>
      <c r="E69" s="15"/>
      <c r="F69" s="15"/>
      <c r="G69" s="15"/>
      <c r="H69" s="15"/>
      <c r="I69" s="15"/>
      <c r="J69" s="15"/>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row>
    <row r="70" spans="8:8">
      <c r="B70" s="19"/>
      <c r="C70" s="22"/>
      <c r="D70" s="15"/>
      <c r="E70" s="15"/>
      <c r="F70" s="15"/>
      <c r="G70" s="15"/>
      <c r="H70" s="15"/>
      <c r="I70" s="15"/>
      <c r="J70" s="15"/>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row>
    <row r="71" spans="8:8">
      <c r="B71" s="19"/>
      <c r="C71" s="22"/>
      <c r="D71" s="15"/>
      <c r="E71" s="15"/>
      <c r="F71" s="15"/>
      <c r="G71" s="15"/>
      <c r="H71" s="15"/>
      <c r="I71" s="15"/>
      <c r="J71" s="15"/>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row>
    <row r="72" spans="8:8">
      <c r="B72" s="19"/>
      <c r="C72" s="22"/>
      <c r="D72" s="15"/>
      <c r="E72" s="15"/>
      <c r="F72" s="15"/>
      <c r="G72" s="15"/>
      <c r="H72" s="15"/>
      <c r="I72" s="15"/>
      <c r="J72" s="15"/>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row>
    <row r="73" spans="8:8">
      <c r="B73" s="19"/>
      <c r="C73" s="22"/>
      <c r="D73" s="15"/>
      <c r="E73" s="15"/>
      <c r="F73" s="15"/>
      <c r="G73" s="15"/>
      <c r="H73" s="15"/>
      <c r="I73" s="15"/>
      <c r="J73" s="15"/>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row>
    <row r="74" spans="8:8">
      <c r="B74" s="19"/>
      <c r="C74" s="22"/>
      <c r="D74" s="15"/>
      <c r="E74" s="15"/>
      <c r="F74" s="15"/>
      <c r="G74" s="15"/>
      <c r="H74" s="15"/>
      <c r="I74" s="15"/>
      <c r="J74" s="15"/>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row>
    <row r="75" spans="8:8">
      <c r="B75" s="19"/>
      <c r="C75" s="22"/>
      <c r="D75" s="15"/>
      <c r="E75" s="15"/>
      <c r="F75" s="15"/>
      <c r="G75" s="15"/>
      <c r="H75" s="15"/>
      <c r="I75" s="15"/>
      <c r="J75" s="15"/>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row>
    <row r="76" spans="8:8">
      <c r="B76" s="19"/>
      <c r="C76" s="22"/>
      <c r="D76" s="15"/>
      <c r="E76" s="15"/>
      <c r="F76" s="15"/>
      <c r="G76" s="15"/>
      <c r="H76" s="15"/>
      <c r="I76" s="15"/>
      <c r="J76" s="15"/>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row>
    <row r="77" spans="8:8">
      <c r="B77" s="19"/>
      <c r="C77" s="22"/>
      <c r="D77" s="15"/>
      <c r="E77" s="15"/>
      <c r="F77" s="15"/>
      <c r="G77" s="15"/>
      <c r="H77" s="15"/>
      <c r="I77" s="15"/>
      <c r="J77" s="15"/>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row>
    <row r="78" spans="8:8">
      <c r="B78" s="19"/>
      <c r="C78" s="22"/>
      <c r="D78" s="15"/>
      <c r="E78" s="15"/>
      <c r="F78" s="15"/>
      <c r="G78" s="15"/>
      <c r="H78" s="15"/>
      <c r="I78" s="15"/>
      <c r="J78" s="15"/>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row>
    <row r="79" spans="8:8">
      <c r="B79" s="19"/>
      <c r="C79" s="22"/>
      <c r="D79" s="15"/>
      <c r="E79" s="15"/>
      <c r="F79" s="15"/>
      <c r="G79" s="15"/>
      <c r="H79" s="15"/>
      <c r="I79" s="15"/>
      <c r="J79" s="15"/>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row>
    <row r="80" spans="8:8">
      <c r="B80" s="19"/>
      <c r="C80" s="22"/>
      <c r="D80" s="15"/>
      <c r="E80" s="15"/>
      <c r="F80" s="15"/>
      <c r="G80" s="15"/>
      <c r="H80" s="15"/>
      <c r="I80" s="15"/>
      <c r="J80" s="15"/>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row>
    <row r="81" spans="8:8">
      <c r="B81" s="19"/>
      <c r="C81" s="22"/>
      <c r="D81" s="15"/>
      <c r="E81" s="15"/>
      <c r="F81" s="15"/>
      <c r="G81" s="15"/>
      <c r="H81" s="15"/>
      <c r="I81" s="15"/>
      <c r="J81" s="15"/>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row>
    <row r="82" spans="8:8">
      <c r="B82" s="19"/>
      <c r="C82" s="22"/>
      <c r="D82" s="15"/>
      <c r="E82" s="15"/>
      <c r="F82" s="15"/>
      <c r="G82" s="15"/>
      <c r="H82" s="15"/>
      <c r="I82" s="15"/>
      <c r="J82" s="15"/>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row>
    <row r="83" spans="8:8">
      <c r="B83" s="19"/>
      <c r="C83" s="22"/>
      <c r="D83" s="15"/>
      <c r="E83" s="15"/>
      <c r="F83" s="15"/>
      <c r="G83" s="15"/>
      <c r="H83" s="15"/>
      <c r="I83" s="15"/>
      <c r="J83" s="15"/>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row>
    <row r="84" spans="8:8">
      <c r="B84" s="19"/>
      <c r="C84" s="22"/>
      <c r="D84" s="15"/>
      <c r="E84" s="15"/>
      <c r="F84" s="15"/>
      <c r="G84" s="15"/>
      <c r="H84" s="15"/>
      <c r="I84" s="15"/>
      <c r="J84" s="15"/>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row>
    <row r="85" spans="8:8">
      <c r="B85" s="19"/>
      <c r="C85" s="22"/>
      <c r="D85" s="15"/>
      <c r="E85" s="15"/>
      <c r="F85" s="15"/>
      <c r="G85" s="15"/>
      <c r="H85" s="15"/>
      <c r="I85" s="15"/>
      <c r="J85" s="15"/>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row>
    <row r="86" spans="8:8">
      <c r="B86" s="19"/>
      <c r="C86" s="22"/>
      <c r="D86" s="15"/>
      <c r="E86" s="15"/>
      <c r="F86" s="15"/>
      <c r="G86" s="15"/>
      <c r="H86" s="15"/>
      <c r="I86" s="15"/>
      <c r="J86" s="15"/>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row>
    <row r="87" spans="8:8">
      <c r="B87" s="19"/>
      <c r="C87" s="22"/>
      <c r="D87" s="15"/>
      <c r="E87" s="15"/>
      <c r="F87" s="15"/>
      <c r="G87" s="15"/>
      <c r="H87" s="15"/>
      <c r="I87" s="15"/>
      <c r="J87" s="15"/>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row>
    <row r="88" spans="8:8">
      <c r="B88" s="19"/>
      <c r="C88" s="22"/>
      <c r="D88" s="15"/>
      <c r="E88" s="15"/>
      <c r="F88" s="15"/>
      <c r="G88" s="15"/>
      <c r="H88" s="15"/>
      <c r="I88" s="15"/>
      <c r="J88" s="15"/>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row>
    <row r="89" spans="8:8">
      <c r="B89" s="19"/>
      <c r="C89" s="22"/>
      <c r="D89" s="15"/>
      <c r="E89" s="15"/>
      <c r="F89" s="15"/>
      <c r="G89" s="15"/>
      <c r="H89" s="15"/>
      <c r="I89" s="15"/>
      <c r="J89" s="15"/>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row>
    <row r="90" spans="8:8">
      <c r="B90" s="19"/>
      <c r="C90" s="22"/>
      <c r="D90" s="15"/>
      <c r="E90" s="15"/>
      <c r="F90" s="15"/>
      <c r="G90" s="15"/>
      <c r="H90" s="15"/>
      <c r="I90" s="15"/>
      <c r="J90" s="15"/>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row>
    <row r="91" spans="8:8">
      <c r="B91" s="19"/>
      <c r="C91" s="22"/>
      <c r="D91" s="15"/>
      <c r="E91" s="15"/>
      <c r="F91" s="15"/>
      <c r="G91" s="15"/>
      <c r="H91" s="15"/>
      <c r="I91" s="15"/>
      <c r="J91" s="15"/>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row>
    <row r="92" spans="8:8">
      <c r="B92" s="19"/>
      <c r="C92" s="22"/>
      <c r="D92" s="15"/>
      <c r="E92" s="15"/>
      <c r="F92" s="15"/>
      <c r="G92" s="15"/>
      <c r="H92" s="15"/>
      <c r="I92" s="15"/>
      <c r="J92" s="15"/>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row>
    <row r="93" spans="8:8">
      <c r="B93" s="19"/>
      <c r="C93" s="22"/>
      <c r="D93" s="15"/>
      <c r="E93" s="15"/>
      <c r="F93" s="15"/>
      <c r="G93" s="15"/>
      <c r="H93" s="15"/>
      <c r="I93" s="15"/>
      <c r="J93" s="15"/>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row>
    <row r="94" spans="8:8">
      <c r="B94" s="19"/>
      <c r="C94" s="22"/>
      <c r="D94" s="15"/>
      <c r="E94" s="15"/>
      <c r="F94" s="15"/>
      <c r="G94" s="15"/>
      <c r="H94" s="15"/>
      <c r="I94" s="15"/>
      <c r="J94" s="15"/>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row>
    <row r="95" spans="8:8">
      <c r="B95" s="19"/>
      <c r="C95" s="22"/>
      <c r="D95" s="15"/>
      <c r="E95" s="15"/>
      <c r="F95" s="15"/>
      <c r="G95" s="15"/>
      <c r="H95" s="15"/>
      <c r="I95" s="15"/>
      <c r="J95" s="15"/>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row>
    <row r="96" spans="8:8">
      <c r="B96" s="19"/>
      <c r="C96" s="22"/>
      <c r="D96" s="15"/>
      <c r="E96" s="15"/>
      <c r="F96" s="15"/>
      <c r="G96" s="15"/>
      <c r="H96" s="15"/>
      <c r="I96" s="15"/>
      <c r="J96" s="15"/>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row>
    <row r="97" spans="8:8">
      <c r="B97" s="19"/>
      <c r="C97" s="22"/>
      <c r="D97" s="15"/>
      <c r="E97" s="15"/>
      <c r="F97" s="15"/>
      <c r="G97" s="15"/>
      <c r="H97" s="15"/>
      <c r="I97" s="15"/>
      <c r="J97" s="15"/>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row>
    <row r="98" spans="8:8">
      <c r="B98" s="19"/>
      <c r="C98" s="22"/>
      <c r="D98" s="15"/>
      <c r="E98" s="15"/>
      <c r="F98" s="15"/>
      <c r="G98" s="15"/>
      <c r="H98" s="15"/>
      <c r="I98" s="15"/>
      <c r="J98" s="15"/>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row>
    <row r="99" spans="8:8">
      <c r="B99" s="19"/>
      <c r="C99" s="22"/>
      <c r="D99" s="15"/>
      <c r="E99" s="15"/>
      <c r="F99" s="15"/>
      <c r="G99" s="15"/>
      <c r="H99" s="15"/>
      <c r="I99" s="15"/>
      <c r="J99" s="15"/>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row>
    <row r="100" spans="8:8">
      <c r="B100" s="19"/>
      <c r="C100" s="22"/>
      <c r="D100" s="15"/>
      <c r="E100" s="15"/>
      <c r="F100" s="15"/>
      <c r="G100" s="15"/>
      <c r="H100" s="15"/>
      <c r="I100" s="15"/>
      <c r="J100" s="15"/>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row>
    <row r="101" spans="8:8">
      <c r="B101" s="19"/>
      <c r="C101" s="22"/>
      <c r="D101" s="15"/>
      <c r="E101" s="15"/>
      <c r="F101" s="15"/>
      <c r="G101" s="15"/>
      <c r="H101" s="15"/>
      <c r="I101" s="15"/>
      <c r="J101" s="15"/>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row>
    <row r="102" spans="8:8">
      <c r="B102" s="19"/>
      <c r="C102" s="22"/>
      <c r="D102" s="15"/>
      <c r="E102" s="15"/>
      <c r="F102" s="15"/>
      <c r="G102" s="15"/>
      <c r="H102" s="15"/>
      <c r="I102" s="15"/>
      <c r="J102" s="15"/>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row>
    <row r="103" spans="8:8">
      <c r="B103" s="19"/>
      <c r="C103" s="22"/>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row>
  </sheetData>
  <pageMargins left="0.75" right="0.75" top="1.0" bottom="1.0" header="0.5" footer="0.5"/>
  <legacyDrawing r:id="rId1"/>
</worksheet>
</file>

<file path=xl/worksheets/sheet4.xml><?xml version="1.0" encoding="utf-8"?>
<worksheet xmlns:r="http://schemas.openxmlformats.org/officeDocument/2006/relationships" xmlns="http://schemas.openxmlformats.org/spreadsheetml/2006/main">
  <dimension ref="B1:AX127"/>
  <sheetViews>
    <sheetView tabSelected="1" workbookViewId="0" topLeftCell="B1" zoomScale="30">
      <selection activeCell="J7" sqref="J7"/>
    </sheetView>
  </sheetViews>
  <sheetFormatPr defaultRowHeight="14.0" defaultColWidth="9"/>
  <cols>
    <col min="1" max="1" customWidth="1" width="10.90625" style="0"/>
    <col min="2" max="2" customWidth="1" width="16.0" style="0"/>
    <col min="3" max="50" customWidth="1" width="10.90625" style="0"/>
  </cols>
  <sheetData>
    <row r="1" spans="8:8" ht="20.15" customHeight="1"/>
    <row r="2" spans="8:8" ht="20.15" customHeight="1">
      <c r="F2" s="24"/>
      <c r="G2" s="24"/>
      <c r="H2" s="24"/>
      <c r="I2" s="24"/>
      <c r="J2" s="24"/>
      <c r="K2" s="24"/>
      <c r="L2" s="24"/>
      <c r="M2" s="24"/>
      <c r="N2" s="24"/>
      <c r="O2" s="24"/>
      <c r="P2" s="24"/>
      <c r="Q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row>
    <row r="3" spans="8:8" ht="20.15" customHeight="1">
      <c r="B3" s="25" t="s">
        <v>85</v>
      </c>
      <c r="C3" s="26"/>
      <c r="D3" s="27" t="s">
        <v>86</v>
      </c>
      <c r="E3" s="28"/>
    </row>
    <row r="4" spans="8:8" ht="20.15" customHeight="1">
      <c r="B4" s="29"/>
      <c r="C4" s="30"/>
      <c r="D4" s="31"/>
      <c r="E4" s="32"/>
      <c r="T4" s="23" t="s">
        <v>87</v>
      </c>
      <c r="U4" s="23"/>
      <c r="V4" s="23"/>
      <c r="Z4" s="24"/>
      <c r="AD4" s="24"/>
    </row>
    <row r="5" spans="8:8" ht="20.15" customHeight="1">
      <c r="B5" s="33" t="s">
        <v>88</v>
      </c>
      <c r="C5" s="34" t="s">
        <v>47</v>
      </c>
      <c r="D5" s="34" t="s">
        <v>48</v>
      </c>
      <c r="E5" s="34" t="s">
        <v>49</v>
      </c>
      <c r="F5" s="34" t="s">
        <v>50</v>
      </c>
      <c r="G5" s="34" t="s">
        <v>51</v>
      </c>
      <c r="H5" s="34" t="s">
        <v>52</v>
      </c>
      <c r="I5" s="35" t="s">
        <v>53</v>
      </c>
      <c r="J5" s="36" t="s">
        <v>89</v>
      </c>
      <c r="K5" s="37" t="s">
        <v>90</v>
      </c>
      <c r="L5" s="38" t="s">
        <v>91</v>
      </c>
      <c r="T5" s="39" t="s">
        <v>92</v>
      </c>
      <c r="U5" s="40" t="s">
        <v>93</v>
      </c>
      <c r="V5" s="41" t="s">
        <v>94</v>
      </c>
      <c r="W5" s="41" t="s">
        <v>94</v>
      </c>
      <c r="X5" s="41" t="s">
        <v>94</v>
      </c>
      <c r="Y5" s="42" t="s">
        <v>94</v>
      </c>
      <c r="Z5" s="43" t="s">
        <v>93</v>
      </c>
      <c r="AA5" s="44" t="s">
        <v>94</v>
      </c>
      <c r="AB5" s="44" t="s">
        <v>94</v>
      </c>
      <c r="AC5" s="44" t="s">
        <v>94</v>
      </c>
      <c r="AD5" s="45" t="s">
        <v>94</v>
      </c>
    </row>
    <row r="6" spans="8:8" ht="20.15" customHeight="1">
      <c r="B6" s="46" t="str">
        <f>C17</f>
        <v>醉枭赌徒</v>
      </c>
      <c r="C6" s="47"/>
      <c r="D6" s="47"/>
      <c r="E6" s="47"/>
      <c r="F6" s="47"/>
      <c r="G6" s="47"/>
      <c r="H6" s="47"/>
      <c r="I6" s="48"/>
      <c r="J6" s="49"/>
      <c r="K6" s="50"/>
      <c r="L6" s="51"/>
      <c r="T6" s="52"/>
      <c r="U6" s="53"/>
      <c r="V6" s="54"/>
      <c r="W6" s="54"/>
      <c r="X6" s="54"/>
      <c r="Y6" s="55"/>
      <c r="Z6" s="56">
        <v>150.0</v>
      </c>
      <c r="AA6" s="54"/>
      <c r="AB6" s="54"/>
      <c r="AC6" s="57"/>
      <c r="AD6" s="58"/>
    </row>
    <row r="7" spans="8:8" ht="20.15" customHeight="1">
      <c r="B7" s="46" t="str">
        <f>D17</f>
        <v>焰狼</v>
      </c>
      <c r="C7" s="47"/>
      <c r="D7" s="47">
        <v>-10.0</v>
      </c>
      <c r="E7" s="47"/>
      <c r="F7" s="47"/>
      <c r="G7" s="47"/>
      <c r="H7" s="47"/>
      <c r="I7" s="48"/>
      <c r="J7" s="49">
        <v>5.0</v>
      </c>
      <c r="K7" s="50"/>
      <c r="L7" s="51"/>
      <c r="T7" s="59" t="s">
        <v>95</v>
      </c>
      <c r="U7" s="60"/>
      <c r="V7" s="61"/>
      <c r="W7" s="61"/>
      <c r="X7" s="61"/>
      <c r="Y7" s="62"/>
      <c r="Z7" s="63"/>
      <c r="AA7" s="61"/>
      <c r="AB7" s="61"/>
      <c r="AC7" s="61"/>
      <c r="AD7" s="64"/>
    </row>
    <row r="8" spans="8:8" ht="20.15" customHeight="1">
      <c r="B8" s="46" t="str">
        <f>E17</f>
        <v>哈基米嗷</v>
      </c>
      <c r="C8" s="47"/>
      <c r="D8" s="47"/>
      <c r="E8" s="47">
        <v>-5.0</v>
      </c>
      <c r="F8" s="47"/>
      <c r="G8" s="47"/>
      <c r="H8" s="47"/>
      <c r="I8" s="48"/>
      <c r="J8" s="49"/>
      <c r="K8" s="50"/>
      <c r="L8" s="51"/>
      <c r="T8" s="65" t="s">
        <v>96</v>
      </c>
      <c r="U8" s="53"/>
      <c r="V8" s="54"/>
      <c r="W8" s="54"/>
      <c r="X8" s="54"/>
      <c r="Y8" s="55"/>
      <c r="Z8" s="66"/>
      <c r="AA8" s="54"/>
      <c r="AB8" s="54"/>
      <c r="AC8" s="54"/>
      <c r="AD8" s="58"/>
    </row>
    <row r="9" spans="8:8" ht="20.15" customHeight="1">
      <c r="B9" s="46" t="str">
        <f>F17</f>
        <v>无</v>
      </c>
      <c r="C9" s="47"/>
      <c r="D9" s="47"/>
      <c r="E9" s="47"/>
      <c r="F9" s="47"/>
      <c r="G9" s="47"/>
      <c r="H9" s="47"/>
      <c r="I9" s="48"/>
      <c r="J9" s="49"/>
      <c r="K9" s="50"/>
      <c r="L9" s="51"/>
      <c r="T9" s="59" t="s">
        <v>97</v>
      </c>
      <c r="U9" s="60"/>
      <c r="V9" s="61"/>
      <c r="W9" s="61"/>
      <c r="X9" s="61"/>
      <c r="Y9" s="62"/>
      <c r="Z9" s="63">
        <v>30.0</v>
      </c>
      <c r="AA9" s="61"/>
      <c r="AB9" s="61"/>
      <c r="AC9" s="61"/>
      <c r="AD9" s="64"/>
    </row>
    <row r="10" spans="8:8" ht="20.15" customHeight="1">
      <c r="B10" s="46" t="str">
        <f>G17</f>
        <v>无</v>
      </c>
      <c r="C10" s="47"/>
      <c r="D10" s="47"/>
      <c r="E10" s="47"/>
      <c r="F10" s="47"/>
      <c r="G10" s="47"/>
      <c r="H10" s="47"/>
      <c r="I10" s="48"/>
      <c r="J10" s="67"/>
      <c r="K10" s="68"/>
      <c r="L10" s="69"/>
      <c r="T10" s="70" t="s">
        <v>98</v>
      </c>
      <c r="U10" s="71"/>
      <c r="V10" s="72"/>
      <c r="W10" s="72"/>
      <c r="X10" s="72"/>
      <c r="Y10" s="73"/>
      <c r="Z10" s="74">
        <v>90.0</v>
      </c>
      <c r="AA10" s="72"/>
      <c r="AB10" s="72"/>
      <c r="AC10" s="72"/>
      <c r="AD10" s="75"/>
    </row>
    <row r="11" spans="8:8" ht="20.15" customHeight="1">
      <c r="B11" s="76" t="str">
        <f>I17</f>
        <v>机甲少女</v>
      </c>
      <c r="C11" s="77"/>
      <c r="D11" s="77">
        <v>10.0</v>
      </c>
      <c r="E11" s="77">
        <v>10.0</v>
      </c>
      <c r="F11" s="77">
        <v>10.0</v>
      </c>
      <c r="G11" s="77"/>
      <c r="H11" s="77"/>
      <c r="I11" s="78"/>
      <c r="J11" s="79"/>
      <c r="K11" s="80"/>
      <c r="L11" s="81"/>
      <c r="T11" s="70" t="s">
        <v>99</v>
      </c>
      <c r="U11" s="71"/>
      <c r="V11" s="72"/>
      <c r="W11" s="72"/>
      <c r="X11" s="72"/>
      <c r="Y11" s="73"/>
      <c r="Z11" s="74"/>
      <c r="AA11" s="72"/>
      <c r="AB11" s="72"/>
      <c r="AC11" s="72"/>
      <c r="AD11" s="75"/>
    </row>
    <row r="12" spans="8:8" ht="20.15" customHeight="1">
      <c r="B12" s="82" t="str">
        <f>J17</f>
        <v>无</v>
      </c>
      <c r="C12" s="47"/>
      <c r="D12" s="47"/>
      <c r="E12" s="47"/>
      <c r="F12" s="47"/>
      <c r="G12" s="83"/>
      <c r="H12" s="47"/>
      <c r="I12" s="84"/>
      <c r="J12" s="85"/>
      <c r="K12" s="86"/>
      <c r="L12" s="87"/>
      <c r="T12" s="70" t="s">
        <v>100</v>
      </c>
      <c r="U12" s="71"/>
      <c r="V12" s="72"/>
      <c r="W12" s="72"/>
      <c r="X12" s="72"/>
      <c r="Y12" s="73"/>
      <c r="Z12" s="88"/>
      <c r="AA12" s="72"/>
      <c r="AB12" s="72"/>
      <c r="AC12" s="72"/>
      <c r="AD12" s="75"/>
    </row>
    <row r="13" spans="8:8" ht="20.15" customHeight="1">
      <c r="B13" s="82" t="str">
        <f>K17</f>
        <v>无</v>
      </c>
      <c r="C13" s="47"/>
      <c r="D13" s="47"/>
      <c r="E13" s="47"/>
      <c r="F13" s="47"/>
      <c r="G13" s="47"/>
      <c r="H13" s="47"/>
      <c r="I13" s="84"/>
      <c r="J13" s="85"/>
      <c r="K13" s="86"/>
      <c r="L13" s="87"/>
      <c r="T13" s="89" t="s">
        <v>101</v>
      </c>
      <c r="U13" s="90"/>
      <c r="V13" s="91"/>
      <c r="W13" s="91"/>
      <c r="X13" s="91"/>
      <c r="Y13" s="92"/>
      <c r="Z13" s="93"/>
      <c r="AA13" s="91"/>
      <c r="AB13" s="91"/>
      <c r="AC13" s="91"/>
      <c r="AD13" s="94"/>
    </row>
    <row r="14" spans="8:8" ht="20.15" customHeight="1">
      <c r="B14" s="82" t="str">
        <f>L17</f>
        <v>无</v>
      </c>
      <c r="C14" s="47"/>
      <c r="D14" s="47"/>
      <c r="E14" s="47"/>
      <c r="F14" s="47"/>
      <c r="G14" s="47"/>
      <c r="H14" s="47"/>
      <c r="I14" s="84"/>
      <c r="J14" s="85"/>
      <c r="K14" s="86"/>
      <c r="L14" s="87"/>
      <c r="M14" s="24"/>
      <c r="N14" s="24"/>
      <c r="T14" s="95" t="s">
        <v>102</v>
      </c>
      <c r="U14" s="96">
        <f t="shared" si="0" ref="U14:AD14">U6-SUM(U7:U13)</f>
        <v>0.0</v>
      </c>
      <c r="V14" s="96">
        <f t="shared" si="0"/>
        <v>0.0</v>
      </c>
      <c r="W14" s="96">
        <f t="shared" si="0"/>
        <v>0.0</v>
      </c>
      <c r="X14" s="96">
        <f t="shared" si="0"/>
        <v>0.0</v>
      </c>
      <c r="Y14" s="97">
        <f t="shared" si="0"/>
        <v>0.0</v>
      </c>
      <c r="Z14" s="98">
        <f t="shared" si="0"/>
        <v>30.0</v>
      </c>
      <c r="AA14" s="98">
        <f t="shared" si="0"/>
        <v>0.0</v>
      </c>
      <c r="AB14" s="98">
        <f t="shared" si="0"/>
        <v>0.0</v>
      </c>
      <c r="AC14" s="98">
        <f t="shared" si="0"/>
        <v>0.0</v>
      </c>
      <c r="AD14" s="99">
        <f t="shared" si="0"/>
        <v>0.0</v>
      </c>
      <c r="AE14" s="24"/>
      <c r="AF14" s="24"/>
      <c r="AG14" s="24"/>
      <c r="AH14" s="24"/>
      <c r="AI14" s="24"/>
      <c r="AJ14" s="24"/>
    </row>
    <row r="15" spans="8:8" ht="20.15" customHeight="1">
      <c r="B15" s="100" t="str">
        <f>M17</f>
        <v>无</v>
      </c>
      <c r="C15" s="101"/>
      <c r="D15" s="101"/>
      <c r="E15" s="101"/>
      <c r="F15" s="101"/>
      <c r="G15" s="101"/>
      <c r="H15" s="101"/>
      <c r="I15" s="102"/>
      <c r="J15" s="103"/>
      <c r="K15" s="104"/>
      <c r="L15" s="105"/>
      <c r="M15" s="24"/>
      <c r="N15" s="24"/>
      <c r="T15" s="59" t="s">
        <v>103</v>
      </c>
      <c r="U15" s="106">
        <f t="shared" si="1" ref="U15:AD15">IF(U6&lt;0,INT(U6/-20)*10,0)</f>
        <v>0.0</v>
      </c>
      <c r="V15" s="61">
        <f t="shared" si="1"/>
        <v>0.0</v>
      </c>
      <c r="W15" s="61">
        <f t="shared" si="1"/>
        <v>0.0</v>
      </c>
      <c r="X15" s="61">
        <f t="shared" si="1"/>
        <v>0.0</v>
      </c>
      <c r="Y15" s="107">
        <f t="shared" si="1"/>
        <v>0.0</v>
      </c>
      <c r="Z15" s="60">
        <f t="shared" si="1"/>
        <v>0.0</v>
      </c>
      <c r="AA15" s="61">
        <f t="shared" si="1"/>
        <v>0.0</v>
      </c>
      <c r="AB15" s="61">
        <f t="shared" si="1"/>
        <v>0.0</v>
      </c>
      <c r="AC15" s="61">
        <f t="shared" si="1"/>
        <v>0.0</v>
      </c>
      <c r="AD15" s="107">
        <f t="shared" si="1"/>
        <v>0.0</v>
      </c>
      <c r="AE15" s="24"/>
      <c r="AF15" s="24"/>
      <c r="AG15" s="24"/>
      <c r="AH15" s="24"/>
      <c r="AI15" s="24"/>
      <c r="AJ15" s="24"/>
    </row>
    <row r="16" spans="8:8" ht="20.15" customHeight="1">
      <c r="B16" s="108"/>
      <c r="C16" s="109" t="s">
        <v>93</v>
      </c>
      <c r="D16" s="109" t="s">
        <v>94</v>
      </c>
      <c r="E16" s="109" t="s">
        <v>94</v>
      </c>
      <c r="F16" s="109" t="s">
        <v>94</v>
      </c>
      <c r="G16" s="109" t="s">
        <v>94</v>
      </c>
      <c r="H16" s="110" t="s">
        <v>104</v>
      </c>
      <c r="I16" s="111" t="s">
        <v>93</v>
      </c>
      <c r="J16" s="112" t="s">
        <v>94</v>
      </c>
      <c r="K16" s="112" t="s">
        <v>94</v>
      </c>
      <c r="L16" s="112" t="s">
        <v>94</v>
      </c>
      <c r="M16" s="112" t="s">
        <v>94</v>
      </c>
      <c r="N16" s="113" t="s">
        <v>104</v>
      </c>
      <c r="O16" s="114" t="s">
        <v>105</v>
      </c>
      <c r="P16" s="114"/>
      <c r="T16" s="65" t="s">
        <v>106</v>
      </c>
      <c r="U16" s="56">
        <f t="shared" si="2" ref="U16:AD16">U15/2</f>
        <v>0.0</v>
      </c>
      <c r="V16" s="54">
        <f t="shared" si="2"/>
        <v>0.0</v>
      </c>
      <c r="W16" s="54">
        <f t="shared" si="2"/>
        <v>0.0</v>
      </c>
      <c r="X16" s="54">
        <f t="shared" si="2"/>
        <v>0.0</v>
      </c>
      <c r="Y16" s="115">
        <f t="shared" si="2"/>
        <v>0.0</v>
      </c>
      <c r="Z16" s="53">
        <f t="shared" si="2"/>
        <v>0.0</v>
      </c>
      <c r="AA16" s="54">
        <f t="shared" si="2"/>
        <v>0.0</v>
      </c>
      <c r="AB16" s="54">
        <f t="shared" si="2"/>
        <v>0.0</v>
      </c>
      <c r="AC16" s="54">
        <f t="shared" si="2"/>
        <v>0.0</v>
      </c>
      <c r="AD16" s="115">
        <f t="shared" si="2"/>
        <v>0.0</v>
      </c>
      <c r="AE16" s="24"/>
      <c r="AF16" s="24"/>
      <c r="AG16" s="24"/>
      <c r="AH16" s="24"/>
      <c r="AI16" s="24"/>
      <c r="AJ16" s="24"/>
    </row>
    <row r="17" spans="8:8" ht="29.5" customHeight="1">
      <c r="B17" s="116"/>
      <c r="C17" s="117" t="s">
        <v>268</v>
      </c>
      <c r="D17" s="117" t="s">
        <v>270</v>
      </c>
      <c r="E17" s="117" t="s">
        <v>271</v>
      </c>
      <c r="F17" s="117" t="s">
        <v>84</v>
      </c>
      <c r="G17" s="117" t="s">
        <v>84</v>
      </c>
      <c r="H17" s="118" t="s">
        <v>104</v>
      </c>
      <c r="I17" s="119" t="s">
        <v>269</v>
      </c>
      <c r="J17" s="117" t="s">
        <v>84</v>
      </c>
      <c r="K17" s="117" t="s">
        <v>84</v>
      </c>
      <c r="L17" s="117" t="s">
        <v>84</v>
      </c>
      <c r="M17" s="117" t="s">
        <v>84</v>
      </c>
      <c r="N17" s="120" t="s">
        <v>104</v>
      </c>
      <c r="O17" s="121" t="s">
        <v>107</v>
      </c>
      <c r="P17" s="121">
        <v>0.0</v>
      </c>
      <c r="T17" s="122" t="s">
        <v>108</v>
      </c>
      <c r="U17" s="106"/>
      <c r="V17" s="61"/>
      <c r="W17" s="61"/>
      <c r="X17" s="123"/>
      <c r="Y17" s="64"/>
      <c r="Z17" s="63"/>
      <c r="AA17" s="123"/>
      <c r="AB17" s="123"/>
      <c r="AC17" s="123"/>
      <c r="AD17" s="64"/>
      <c r="AE17" s="24"/>
      <c r="AF17" s="24"/>
      <c r="AG17" s="24"/>
      <c r="AH17" s="24"/>
      <c r="AI17" s="24"/>
      <c r="AJ17" s="24"/>
      <c r="AV17" s="24"/>
    </row>
    <row r="18" spans="8:8" ht="20.15" customHeight="1">
      <c r="B18" s="124" t="s">
        <v>105</v>
      </c>
      <c r="C18" s="125">
        <v>0.0</v>
      </c>
      <c r="D18" s="126">
        <v>0.0</v>
      </c>
      <c r="E18" s="126">
        <v>0.0</v>
      </c>
      <c r="F18" s="126">
        <v>0.0</v>
      </c>
      <c r="G18" s="126">
        <v>0.0</v>
      </c>
      <c r="H18" s="127" t="s">
        <v>109</v>
      </c>
      <c r="I18" s="128">
        <v>0.0</v>
      </c>
      <c r="J18" s="126">
        <v>0.0</v>
      </c>
      <c r="K18" s="126">
        <v>0.0</v>
      </c>
      <c r="L18" s="126">
        <v>0.0</v>
      </c>
      <c r="M18" s="126">
        <v>0.0</v>
      </c>
      <c r="N18" s="129" t="s">
        <v>109</v>
      </c>
      <c r="O18" s="114" t="s">
        <v>110</v>
      </c>
      <c r="P18" s="114">
        <v>-5.0</v>
      </c>
      <c r="T18" s="130" t="s">
        <v>111</v>
      </c>
      <c r="U18" s="88"/>
      <c r="V18" s="72"/>
      <c r="W18" s="131"/>
      <c r="X18" s="131"/>
      <c r="Y18" s="75"/>
      <c r="Z18" s="74"/>
      <c r="AA18" s="131"/>
      <c r="AB18" s="131"/>
      <c r="AC18" s="131"/>
      <c r="AD18" s="75"/>
      <c r="AE18" s="24"/>
      <c r="AF18" s="24"/>
      <c r="AG18" s="24"/>
      <c r="AH18" s="24"/>
      <c r="AI18" s="24"/>
      <c r="AJ18" s="24"/>
      <c r="AV18" s="24"/>
    </row>
    <row r="19" spans="8:8" ht="20.15" customHeight="1">
      <c r="B19" s="132" t="s">
        <v>47</v>
      </c>
      <c r="C19" s="133">
        <f>INDEX('战斗计算（新）'!$B$1:$L$103,MATCH(C17,'战斗计算（新）'!$C$1:$C$103,0),3)+C6</f>
        <v>70.0</v>
      </c>
      <c r="D19" s="134">
        <f>INDEX('战斗计算（新）'!$B$1:$L$103,MATCH(D17,'战斗计算（新）'!$C$1:$C$103,0),3)+C7</f>
        <v>70.0</v>
      </c>
      <c r="E19" s="135">
        <f>INDEX('战斗计算（新）'!$B$1:$L$103,MATCH(E17,'战斗计算（新）'!$C$1:$C$103,0),3)+C8</f>
        <v>40.0</v>
      </c>
      <c r="F19" s="135">
        <f>INDEX('战斗计算（新）'!$B$1:$L$103,MATCH(F17,'战斗计算（新）'!$C$1:$C$103,0),3)+C9</f>
        <v>0.0</v>
      </c>
      <c r="G19" s="135">
        <f>INDEX('战斗计算（新）'!$B$1:$L$103,MATCH(G17,'战斗计算（新）'!$C$1:$C$103,0),3)+C10</f>
        <v>0.0</v>
      </c>
      <c r="H19" s="135">
        <f>C19</f>
        <v>70.0</v>
      </c>
      <c r="I19" s="136">
        <f>INDEX('战斗计算（新）'!$B$1:$L$103,MATCH(I17,'战斗计算（新）'!$C$1:$C$103,0),3)+C11</f>
        <v>45.0</v>
      </c>
      <c r="J19" s="137">
        <f>INDEX('战斗计算（新）'!$B$1:$L$103,MATCH(J17,'战斗计算（新）'!$C$1:$C$103,0),3)+C12</f>
        <v>0.0</v>
      </c>
      <c r="K19" s="138">
        <f>INDEX('战斗计算（新）'!$B$1:$L$103,MATCH(K17,'战斗计算（新）'!$C$1:$C$103,0),3)+C13</f>
        <v>0.0</v>
      </c>
      <c r="L19" s="138">
        <f>INDEX('战斗计算（新）'!$B$1:$L$103,MATCH(L17,'战斗计算（新）'!$C$1:$C$103,0),3)+C14</f>
        <v>0.0</v>
      </c>
      <c r="M19" s="138">
        <f>INDEX('战斗计算（新）'!$B$1:$L$103,MATCH(M17,'战斗计算（新）'!$C$1:$C$103,0),3)+C15</f>
        <v>0.0</v>
      </c>
      <c r="N19" s="138">
        <f>I19</f>
        <v>45.0</v>
      </c>
      <c r="O19" s="121" t="s">
        <v>112</v>
      </c>
      <c r="P19" s="121">
        <v>-10.0</v>
      </c>
      <c r="T19" s="65" t="s">
        <v>113</v>
      </c>
      <c r="U19" s="139">
        <f>MAX(0,MAX(U17:Y17)-MAX(Z18:AD18))</f>
        <v>0.0</v>
      </c>
      <c r="V19" s="140"/>
      <c r="W19" s="140"/>
      <c r="X19" s="140"/>
      <c r="Y19" s="141"/>
      <c r="Z19" s="142">
        <f>MAX(0,MAX(Z17:AD17)-MAX(U18:Y18))</f>
        <v>0.0</v>
      </c>
      <c r="AA19" s="143"/>
      <c r="AB19" s="143"/>
      <c r="AC19" s="143"/>
      <c r="AD19" s="144"/>
      <c r="AE19" s="24"/>
      <c r="AF19" s="24"/>
      <c r="AG19" s="24"/>
      <c r="AH19" s="24"/>
      <c r="AI19" s="24"/>
      <c r="AJ19" s="24"/>
      <c r="AV19" s="24"/>
    </row>
    <row r="20" spans="8:8" ht="20.15" customHeight="1">
      <c r="B20" s="145" t="s">
        <v>48</v>
      </c>
      <c r="C20" s="146">
        <f>INDEX('战斗计算（新）'!$B$1:$L$103,MATCH(C17,'战斗计算（新）'!$C$1:$C$103,0),4)+C18+D6+SUM(J6:L6)</f>
        <v>105.0</v>
      </c>
      <c r="D20" s="147">
        <f>INDEX('战斗计算（新）'!$B$1:$L$103,MATCH(D17,'战斗计算（新）'!$C$1:$C$103,0),4)+D18+D7+SUM(J7:L7)</f>
        <v>10.0</v>
      </c>
      <c r="E20" s="148">
        <f>INDEX('战斗计算（新）'!$B$1:$L$103,MATCH(E17,'战斗计算（新）'!$C$1:$C$103,0),4)+E18+D8+SUM(J8:L8)</f>
        <v>70.0</v>
      </c>
      <c r="F20" s="148">
        <f>INDEX('战斗计算（新）'!$B$1:$L$103,MATCH(F17,'战斗计算（新）'!$C$1:$C$103,0),4)+F18+D9+SUM(J9:L9)</f>
        <v>0.0</v>
      </c>
      <c r="G20" s="148">
        <f>INDEX('战斗计算（新）'!$B$1:$L$103,MATCH(G17,'战斗计算（新）'!$C$1:$C$103,0),4)+G18+D10+SUM(J10:L10)</f>
        <v>0.0</v>
      </c>
      <c r="H20" s="148">
        <f t="shared" si="3" ref="H20:H25">C20+(D20+E20+G20+F20)/2</f>
        <v>145.0</v>
      </c>
      <c r="I20" s="149">
        <f>INDEX('战斗计算（新）'!$B$1:$L$103,MATCH(I17,'战斗计算（新）'!$C$1:$C$103,0),4)+I18+D11+SUM(J11:L11)</f>
        <v>70.0</v>
      </c>
      <c r="J20" s="150">
        <f>INDEX('战斗计算（新）'!$B$1:$L$103,MATCH(J17,'战斗计算（新）'!$C$1:$C$103,0),4)+J18+D12+SUM(J12:L12)</f>
        <v>0.0</v>
      </c>
      <c r="K20" s="151">
        <f>INDEX('战斗计算（新）'!$B$1:$L$103,MATCH(K17,'战斗计算（新）'!$C$1:$C$103,0),4)+K18+D13+SUM(J13:L13)</f>
        <v>0.0</v>
      </c>
      <c r="L20" s="151">
        <f>INDEX('战斗计算（新）'!$B$1:$L$103,MATCH(L17,'战斗计算（新）'!$C$1:$C$103,0),4)+L18+D14+SUM(J14:L14)</f>
        <v>0.0</v>
      </c>
      <c r="M20" s="151">
        <f>INDEX('战斗计算（新）'!$B$1:$L$103,MATCH(M17,'战斗计算（新）'!$C$1:$C$103,0),4)+M18+D15+SUM(J15:L15)</f>
        <v>0.0</v>
      </c>
      <c r="N20" s="151">
        <f t="shared" si="4" ref="N20:N25">I20+(M20+L20+K20+J20)/2</f>
        <v>70.0</v>
      </c>
      <c r="O20" s="114" t="s">
        <v>114</v>
      </c>
      <c r="P20" s="114">
        <v>-15.0</v>
      </c>
      <c r="AE20" s="24"/>
      <c r="AF20" s="24"/>
      <c r="AG20" s="24"/>
      <c r="AH20" s="24"/>
      <c r="AI20" s="24"/>
      <c r="AJ20" s="24"/>
      <c r="AV20" s="24"/>
    </row>
    <row r="21" spans="8:8" ht="20.15" customHeight="1">
      <c r="B21" s="145" t="s">
        <v>49</v>
      </c>
      <c r="C21" s="152">
        <f>INDEX('战斗计算（新）'!$B$1:$L$103,MATCH(C17,'战斗计算（新）'!$C$1:$C$103,0),5)+C18+E6+SUM(J6:L6)</f>
        <v>175.0</v>
      </c>
      <c r="D21" s="153">
        <f>INDEX('战斗计算（新）'!$B$1:$L$103,MATCH(D17,'战斗计算（新）'!$C$1:$C$103,0),5)+D18+E7+SUM(J7:L7)</f>
        <v>25.0</v>
      </c>
      <c r="E21" s="154">
        <f>INDEX('战斗计算（新）'!$B$1:$L$103,MATCH(E17,'战斗计算（新）'!$C$1:$C$103,0),5)+E18+E8+SUM(J8:L8)</f>
        <v>65.0</v>
      </c>
      <c r="F21" s="154">
        <f>INDEX('战斗计算（新）'!$B$1:$L$103,MATCH(F17,'战斗计算（新）'!$C$1:$C$103,0),5)+F18+E9+SUM(J9:L9)</f>
        <v>0.0</v>
      </c>
      <c r="G21" s="154">
        <f>INDEX('战斗计算（新）'!$B$1:$L$103,MATCH(G17,'战斗计算（新）'!$C$1:$C$103,0),5)+G18+E10+SUM(J10:L10)</f>
        <v>0.0</v>
      </c>
      <c r="H21" s="154">
        <f t="shared" si="3"/>
        <v>220.0</v>
      </c>
      <c r="I21" s="155">
        <f>INDEX('战斗计算（新）'!$B$1:$L$103,MATCH(I17,'战斗计算（新）'!$C$1:$C$103,0),5)+I18+E11+SUM(J11:L11)</f>
        <v>70.0</v>
      </c>
      <c r="J21" s="156">
        <f>INDEX('战斗计算（新）'!$B$1:$L$103,MATCH(J17,'战斗计算（新）'!$C$1:$C$103,0),5)+J18+E12+SUM(J12:L12)</f>
        <v>0.0</v>
      </c>
      <c r="K21" s="157">
        <f>INDEX('战斗计算（新）'!$B$1:$L$103,MATCH(K17,'战斗计算（新）'!$C$1:$C$103,0),5)+K18+E13+SUM(J13:L13)</f>
        <v>0.0</v>
      </c>
      <c r="L21" s="157">
        <f>INDEX('战斗计算（新）'!$B$1:$L$103,MATCH(L17,'战斗计算（新）'!$C$1:$C$103,0),5)+L18+E14+SUM(J14:L14)</f>
        <v>0.0</v>
      </c>
      <c r="M21" s="157">
        <f>INDEX('战斗计算（新）'!$B$1:$L$103,MATCH(M17,'战斗计算（新）'!$C$1:$C$103,0),5)+M18+E15+SUM(J15:L15)</f>
        <v>0.0</v>
      </c>
      <c r="N21" s="157">
        <f t="shared" si="4"/>
        <v>70.0</v>
      </c>
      <c r="O21" s="121" t="s">
        <v>115</v>
      </c>
      <c r="P21" s="121">
        <v>-20.0</v>
      </c>
      <c r="AE21" s="24"/>
      <c r="AF21" s="24"/>
      <c r="AG21" s="24"/>
      <c r="AH21" s="24"/>
      <c r="AI21" s="24"/>
      <c r="AJ21" s="24"/>
      <c r="AV21" s="24"/>
    </row>
    <row r="22" spans="8:8" ht="20.15" customHeight="1">
      <c r="B22" s="145" t="s">
        <v>50</v>
      </c>
      <c r="C22" s="146">
        <f>INDEX('战斗计算（新）'!$B$1:$L$103,MATCH(C17,'战斗计算（新）'!$C$1:$C$103,0),6)+C18+F6+SUM(J6:L6)</f>
        <v>40.0</v>
      </c>
      <c r="D22" s="147">
        <f>INDEX('战斗计算（新）'!$B$1:$L$103,MATCH(D17,'战斗计算（新）'!$C$1:$C$103,0),6)+D18+F7</f>
        <v>40.0</v>
      </c>
      <c r="E22" s="148">
        <f>INDEX('战斗计算（新）'!$B$1:$L$103,MATCH(E17,'战斗计算（新）'!$C$1:$C$103,0),6)+E18+F8+SUM(J8:L8)</f>
        <v>70.0</v>
      </c>
      <c r="F22" s="148">
        <f>INDEX('战斗计算（新）'!$B$1:$L$103,MATCH(F17,'战斗计算（新）'!$C$1:$C$103,0),6)+F18+F9+SUM(J9:L9)</f>
        <v>0.0</v>
      </c>
      <c r="G22" s="148">
        <f>INDEX('战斗计算（新）'!$B$1:$L$103,MATCH(G17,'战斗计算（新）'!$C$1:$C$103,0),6)+G18+F10+SUM(J10:L10)</f>
        <v>0.0</v>
      </c>
      <c r="H22" s="148">
        <f t="shared" si="3"/>
        <v>95.0</v>
      </c>
      <c r="I22" s="149">
        <f>INDEX('战斗计算（新）'!$B$1:$L$103,MATCH(I17,'战斗计算（新）'!$C$1:$C$103,0),6)+I18+F11+SUM(J11:L11)</f>
        <v>70.0</v>
      </c>
      <c r="J22" s="150">
        <f>INDEX('战斗计算（新）'!$B$1:$L$103,MATCH(J17,'战斗计算（新）'!$C$1:$C$103,0),6)+J18+F12+SUM(J12:L12)</f>
        <v>0.0</v>
      </c>
      <c r="K22" s="151">
        <f>INDEX('战斗计算（新）'!$B$1:$L$103,MATCH(K17,'战斗计算（新）'!$C$1:$C$103,0),6)+K18+F13+SUM(J13:L13)</f>
        <v>0.0</v>
      </c>
      <c r="L22" s="151">
        <f>INDEX('战斗计算（新）'!$B$1:$L$103,MATCH(L17,'战斗计算（新）'!$C$1:$C$103,0),6)+L18+F14+SUM(J14:L14)</f>
        <v>0.0</v>
      </c>
      <c r="M22" s="151">
        <f>INDEX('战斗计算（新）'!$B$1:$L$103,MATCH(M17,'战斗计算（新）'!$C$1:$C$103,0),6)+M18+F15+SUM(J15:L15)</f>
        <v>0.0</v>
      </c>
      <c r="N22" s="151">
        <f t="shared" si="4"/>
        <v>70.0</v>
      </c>
      <c r="O22" s="114" t="s">
        <v>116</v>
      </c>
      <c r="P22" s="114">
        <v>-25.0</v>
      </c>
      <c r="T22" s="158" t="s">
        <v>117</v>
      </c>
      <c r="U22" s="159"/>
      <c r="V22" s="159"/>
      <c r="W22" s="159"/>
      <c r="X22" s="159"/>
      <c r="Y22" s="159"/>
      <c r="Z22" s="159"/>
      <c r="AA22" s="159"/>
      <c r="AB22" s="159"/>
      <c r="AC22" s="159"/>
      <c r="AD22" s="159"/>
      <c r="AE22" s="160"/>
      <c r="AF22" s="24"/>
      <c r="AG22" s="24"/>
      <c r="AH22" s="24"/>
      <c r="AI22" s="24"/>
      <c r="AJ22" s="24"/>
      <c r="AV22" s="24"/>
    </row>
    <row r="23" spans="8:8" ht="20.15" customHeight="1">
      <c r="B23" s="145" t="s">
        <v>51</v>
      </c>
      <c r="C23" s="152">
        <f>INDEX('战斗计算（新）'!$B$1:$L$103,MATCH(C17,'战斗计算（新）'!$C$1:$C$103,0),7)+C18+G6</f>
        <v>35.0</v>
      </c>
      <c r="D23" s="153">
        <f>INDEX('战斗计算（新）'!$B$1:$L$103,MATCH(D17,'战斗计算（新）'!$C$1:$C$103,0),7)+D18+G7+SUM(J7:K7)</f>
        <v>20.0</v>
      </c>
      <c r="E23" s="154">
        <f>INDEX('战斗计算（新）'!$B$1:$L$103,MATCH(E17,'战斗计算（新）'!$C$1:$C$103,0),7)+E18+G8+SUM(J8:K8)</f>
        <v>0.0</v>
      </c>
      <c r="F23" s="154">
        <f>INDEX('战斗计算（新）'!$B$1:$L$103,MATCH(F17,'战斗计算（新）'!$C$1:$C$103,0),7)+F18+G9+SUM(J9:K9)</f>
        <v>0.0</v>
      </c>
      <c r="G23" s="154">
        <f>INDEX('战斗计算（新）'!$B$1:$L$103,MATCH(G17,'战斗计算（新）'!$C$1:$C$103,0),7)+G18+G10+SUM(J10:K10)</f>
        <v>0.0</v>
      </c>
      <c r="H23" s="154">
        <f t="shared" si="3"/>
        <v>45.0</v>
      </c>
      <c r="I23" s="155">
        <f>INDEX('战斗计算（新）'!$B$1:$L$103,MATCH(I17,'战斗计算（新）'!$C$1:$C$103,0),7)+I18+G11+SUM(J11:K11)</f>
        <v>80.0</v>
      </c>
      <c r="J23" s="156">
        <f>INDEX('战斗计算（新）'!$B$1:$L$103,MATCH(J17,'战斗计算（新）'!$C$1:$C$103,0),7)+J18+G12+SUM(J12:K12)</f>
        <v>0.0</v>
      </c>
      <c r="K23" s="157">
        <f>INDEX('战斗计算（新）'!$B$1:$L$103,MATCH(K17,'战斗计算（新）'!$C$1:$C$103,0),7)+K18+G13+SUM(J13:K13)</f>
        <v>0.0</v>
      </c>
      <c r="L23" s="157">
        <f>INDEX('战斗计算（新）'!$B$1:$L$103,MATCH(L17,'战斗计算（新）'!$C$1:$C$103,0),7)+L18+G14+SUM(J14:K14)</f>
        <v>0.0</v>
      </c>
      <c r="M23" s="157">
        <f>INDEX('战斗计算（新）'!$B$1:$L$103,MATCH(M17,'战斗计算（新）'!$C$1:$C$103,0),7)+M18+G15+SUM(J15:K15)</f>
        <v>0.0</v>
      </c>
      <c r="N23" s="157">
        <f t="shared" si="4"/>
        <v>80.0</v>
      </c>
      <c r="O23" s="121" t="s">
        <v>118</v>
      </c>
      <c r="P23" s="121">
        <v>-30.0</v>
      </c>
      <c r="T23" s="161" t="s">
        <v>119</v>
      </c>
      <c r="U23" s="162"/>
      <c r="V23" s="162"/>
      <c r="W23" s="163"/>
      <c r="X23" s="164" t="s">
        <v>120</v>
      </c>
      <c r="Y23" s="165"/>
      <c r="Z23" s="165"/>
      <c r="AA23" s="166"/>
      <c r="AB23" s="167" t="s">
        <v>121</v>
      </c>
      <c r="AC23" s="168"/>
      <c r="AD23" s="168"/>
      <c r="AE23" s="169"/>
      <c r="AF23" s="24"/>
      <c r="AG23" s="24"/>
      <c r="AH23" s="24"/>
      <c r="AI23" s="24"/>
      <c r="AJ23" s="24"/>
      <c r="AV23" s="24"/>
    </row>
    <row r="24" spans="8:8" ht="20.15" customHeight="1">
      <c r="B24" s="145" t="s">
        <v>52</v>
      </c>
      <c r="C24" s="146">
        <f>INDEX('战斗计算（新）'!$B$1:$L$103,MATCH(C17,'战斗计算（新）'!$C$1:$C$103,0),8)+C18+H6+SUM(J6:K6)</f>
        <v>80.0</v>
      </c>
      <c r="D24" s="147">
        <f>INDEX('战斗计算（新）'!$B$1:$L$103,MATCH(D17,'战斗计算（新）'!$C$1:$C$103,0),8)+D18+H7+SUM(J7:K7)</f>
        <v>45.0</v>
      </c>
      <c r="E24" s="148">
        <f>INDEX('战斗计算（新）'!$B$1:$L$103,MATCH(E17,'战斗计算（新）'!$C$1:$C$103,0),8)+E18+H8+SUM(J8:K8)</f>
        <v>50.0</v>
      </c>
      <c r="F24" s="148">
        <f>INDEX('战斗计算（新）'!$B$1:$L$103,MATCH(F17,'战斗计算（新）'!$C$1:$C$103,0),8)+F18+H9+SUM(J9:K9)</f>
        <v>0.0</v>
      </c>
      <c r="G24" s="148">
        <f>INDEX('战斗计算（新）'!$B$1:$L$103,MATCH(G17,'战斗计算（新）'!$C$1:$C$103,0),8)+G18+H10+SUM(J10:K10)</f>
        <v>0.0</v>
      </c>
      <c r="H24" s="148">
        <f t="shared" si="3"/>
        <v>127.5</v>
      </c>
      <c r="I24" s="149">
        <f>INDEX('战斗计算（新）'!$B$1:$L$103,MATCH(I17,'战斗计算（新）'!$C$1:$C$103,0),8)+I18+H11+SUM(J11:K11)</f>
        <v>40.0</v>
      </c>
      <c r="J24" s="150">
        <f>INDEX('战斗计算（新）'!$B$1:$L$103,MATCH(J17,'战斗计算（新）'!$C$1:$C$103,0),8)+J18+H12+SUM(J12:K12)</f>
        <v>0.0</v>
      </c>
      <c r="K24" s="151">
        <f>INDEX('战斗计算（新）'!$B$1:$L$103,MATCH(K17,'战斗计算（新）'!$C$1:$C$103,0),8)+K18+H13+SUM(J13:K13)</f>
        <v>0.0</v>
      </c>
      <c r="L24" s="151">
        <f>INDEX('战斗计算（新）'!$B$1:$L$103,MATCH(L17,'战斗计算（新）'!$C$1:$C$103,0),8)+L18+H14+SUM(J14:K14)</f>
        <v>0.0</v>
      </c>
      <c r="M24" s="151">
        <f>INDEX('战斗计算（新）'!$B$1:$L$103,MATCH(M17,'战斗计算（新）'!$C$1:$C$103,0),8)+M18+H15+SUM(J15:K15)</f>
        <v>0.0</v>
      </c>
      <c r="N24" s="151">
        <f t="shared" si="4"/>
        <v>40.0</v>
      </c>
      <c r="O24" s="114" t="s">
        <v>122</v>
      </c>
      <c r="P24" s="114">
        <v>-35.0</v>
      </c>
      <c r="T24" s="170"/>
      <c r="U24" s="171"/>
      <c r="V24" s="171"/>
      <c r="W24" s="172"/>
      <c r="X24" s="170"/>
      <c r="Y24" s="171"/>
      <c r="Z24" s="171"/>
      <c r="AA24" s="172"/>
      <c r="AB24" s="170"/>
      <c r="AC24" s="171"/>
      <c r="AD24" s="171"/>
      <c r="AE24" s="172"/>
      <c r="AF24" s="24"/>
      <c r="AG24" s="24"/>
      <c r="AH24" s="24"/>
      <c r="AI24" s="24"/>
      <c r="AJ24" s="24"/>
      <c r="AV24" s="24"/>
    </row>
    <row r="25" spans="8:8" ht="20.15" customHeight="1">
      <c r="B25" s="173" t="s">
        <v>53</v>
      </c>
      <c r="C25" s="174">
        <f>INDEX('战斗计算（新）'!$B$1:$L$103,MATCH(C17,'战斗计算（新）'!$C$1:$C$103,0),9)+I6+K6</f>
        <v>55.0</v>
      </c>
      <c r="D25" s="175">
        <f>INDEX('战斗计算（新）'!$B$1:$L$103,MATCH(D17,'战斗计算（新）'!$C$1:$C$103,0),9)+I7+K7</f>
        <v>95.0</v>
      </c>
      <c r="E25" s="176">
        <f>INDEX('战斗计算（新）'!$B$1:$L$103,MATCH(E17,'战斗计算（新）'!$C$1:$C$103,0),9)+I8+K7</f>
        <v>0.0</v>
      </c>
      <c r="F25" s="176">
        <f>INDEX('战斗计算（新）'!$B$1:$L$103,MATCH(F17,'战斗计算（新）'!$C$1:$C$103,0),9)+I9+K9</f>
        <v>0.0</v>
      </c>
      <c r="G25" s="176">
        <f>INDEX('战斗计算（新）'!$B$1:$L$103,MATCH(G17,'战斗计算（新）'!$C$1:$C$103,0),9)+I10+K10</f>
        <v>0.0</v>
      </c>
      <c r="H25" s="176">
        <f t="shared" si="3"/>
        <v>102.5</v>
      </c>
      <c r="I25" s="177">
        <f>INDEX('战斗计算（新）'!$B$1:$L$103,MATCH(I17,'战斗计算（新）'!$C$1:$C$103,0),9)+I11+K11</f>
        <v>0.0</v>
      </c>
      <c r="J25" s="178">
        <f>INDEX('战斗计算（新）'!$B$1:$L$103,MATCH(J17,'战斗计算（新）'!$C$1:$C$103,0),9)+I12+K12</f>
        <v>0.0</v>
      </c>
      <c r="K25" s="179">
        <f>INDEX('战斗计算（新）'!$B$1:$L$103,MATCH(K17,'战斗计算（新）'!$C$1:$C$103,0),9)+I13+K13</f>
        <v>0.0</v>
      </c>
      <c r="L25" s="179">
        <f>INDEX('战斗计算（新）'!$B$1:$L$103,MATCH(L17,'战斗计算（新）'!$C$1:$C$103,0),9)+I14+K14</f>
        <v>0.0</v>
      </c>
      <c r="M25" s="179">
        <f>INDEX('战斗计算（新）'!$B$1:$L$103,MATCH(M17,'战斗计算（新）'!$C$1:$C$103,0),9)+I15+K15</f>
        <v>0.0</v>
      </c>
      <c r="N25" s="179">
        <f t="shared" si="4"/>
        <v>0.0</v>
      </c>
      <c r="O25" s="121" t="s">
        <v>123</v>
      </c>
      <c r="P25" s="121">
        <v>-40.0</v>
      </c>
      <c r="T25" s="170"/>
      <c r="U25" s="171"/>
      <c r="V25" s="171"/>
      <c r="W25" s="172"/>
      <c r="X25" s="170"/>
      <c r="Y25" s="171"/>
      <c r="Z25" s="171"/>
      <c r="AA25" s="172"/>
      <c r="AB25" s="170"/>
      <c r="AC25" s="171"/>
      <c r="AD25" s="171"/>
      <c r="AE25" s="172"/>
      <c r="AF25" s="24"/>
      <c r="AG25" s="24"/>
      <c r="AH25" s="24"/>
      <c r="AI25" s="24"/>
      <c r="AJ25" s="24"/>
      <c r="AV25" s="24"/>
    </row>
    <row r="26" spans="8:8" ht="20.15" customHeight="1">
      <c r="B26" s="180" t="s">
        <v>124</v>
      </c>
      <c r="C26" s="181">
        <v>20.0</v>
      </c>
      <c r="D26" s="182"/>
      <c r="E26" s="182"/>
      <c r="F26" s="182"/>
      <c r="G26" s="183"/>
      <c r="H26" s="184">
        <f>IF($E$96="辅助胜率正常",SUM(C26:G26),C26+SUM(D26:G26)/2)</f>
        <v>20.0</v>
      </c>
      <c r="I26" s="185"/>
      <c r="J26" s="186"/>
      <c r="K26" s="186"/>
      <c r="L26" s="186"/>
      <c r="M26" s="187"/>
      <c r="N26" s="188">
        <f>IF($E$96="辅助胜率正常",SUM(I26:M26),I26+SUM(J26:M26)/2)</f>
        <v>0.0</v>
      </c>
      <c r="O26" s="23"/>
      <c r="P26" s="23"/>
      <c r="T26" s="170"/>
      <c r="U26" s="171"/>
      <c r="V26" s="171"/>
      <c r="W26" s="172"/>
      <c r="X26" s="170"/>
      <c r="Y26" s="171"/>
      <c r="Z26" s="171"/>
      <c r="AA26" s="172"/>
      <c r="AB26" s="170"/>
      <c r="AC26" s="171"/>
      <c r="AD26" s="171"/>
      <c r="AE26" s="172"/>
      <c r="AV26" s="24"/>
    </row>
    <row r="27" spans="8:8" ht="20.15" customHeight="1">
      <c r="B27" s="180" t="s">
        <v>125</v>
      </c>
      <c r="C27" s="189"/>
      <c r="D27" s="182"/>
      <c r="E27" s="190"/>
      <c r="F27" s="190"/>
      <c r="G27" s="191"/>
      <c r="H27" s="192">
        <f>SUM(C27:G27)</f>
        <v>0.0</v>
      </c>
      <c r="I27" s="193"/>
      <c r="J27" s="194"/>
      <c r="K27" s="194"/>
      <c r="L27" s="194"/>
      <c r="M27" s="195"/>
      <c r="N27" s="196">
        <f>SUM(I27:M27)</f>
        <v>0.0</v>
      </c>
      <c r="O27" s="23"/>
      <c r="P27" s="23"/>
      <c r="T27" s="170"/>
      <c r="U27" s="171"/>
      <c r="V27" s="171"/>
      <c r="W27" s="172"/>
      <c r="X27" s="170"/>
      <c r="Y27" s="171"/>
      <c r="Z27" s="171"/>
      <c r="AA27" s="172"/>
      <c r="AB27" s="170"/>
      <c r="AC27" s="171"/>
      <c r="AD27" s="171"/>
      <c r="AE27" s="172"/>
      <c r="AF27" s="24"/>
      <c r="AG27" s="24"/>
      <c r="AH27" s="24"/>
      <c r="AI27" s="24"/>
      <c r="AJ27" s="24"/>
      <c r="AV27" s="24"/>
    </row>
    <row r="28" spans="8:8" ht="20.15" customHeight="1">
      <c r="B28" s="24"/>
      <c r="C28" s="24"/>
      <c r="D28" s="24"/>
      <c r="E28" s="24"/>
      <c r="F28" s="24"/>
      <c r="G28" s="24"/>
      <c r="H28" s="24"/>
      <c r="I28" s="24"/>
      <c r="J28" s="24"/>
      <c r="K28" s="24"/>
      <c r="L28" s="24"/>
      <c r="M28" s="24"/>
      <c r="N28" s="24"/>
      <c r="O28" s="24"/>
      <c r="P28" s="24"/>
      <c r="T28" s="170"/>
      <c r="U28" s="171"/>
      <c r="V28" s="171"/>
      <c r="W28" s="172"/>
      <c r="X28" s="170"/>
      <c r="Y28" s="171"/>
      <c r="Z28" s="171"/>
      <c r="AA28" s="172"/>
      <c r="AB28" s="170"/>
      <c r="AC28" s="171"/>
      <c r="AD28" s="171"/>
      <c r="AE28" s="172"/>
      <c r="AF28" s="24"/>
      <c r="AG28" s="24"/>
      <c r="AH28" s="24"/>
      <c r="AI28" s="24"/>
      <c r="AJ28" s="24"/>
      <c r="AV28" s="24"/>
    </row>
    <row r="29" spans="8:8" ht="20.15" customHeight="1">
      <c r="B29" s="197"/>
      <c r="C29" s="197"/>
      <c r="D29" s="198"/>
      <c r="E29" s="198"/>
      <c r="F29" s="24"/>
      <c r="G29" s="24"/>
      <c r="H29" s="24"/>
      <c r="J29" s="199"/>
      <c r="K29" s="199"/>
      <c r="L29" s="199"/>
      <c r="M29" s="199"/>
      <c r="N29" s="199"/>
      <c r="T29" s="170"/>
      <c r="U29" s="171"/>
      <c r="V29" s="171"/>
      <c r="W29" s="172"/>
      <c r="X29" s="170"/>
      <c r="Y29" s="171"/>
      <c r="Z29" s="171"/>
      <c r="AA29" s="172"/>
      <c r="AB29" s="170"/>
      <c r="AC29" s="171"/>
      <c r="AD29" s="171"/>
      <c r="AE29" s="172"/>
      <c r="AF29" s="24"/>
      <c r="AG29" s="24"/>
      <c r="AH29" s="24"/>
      <c r="AI29" s="24"/>
      <c r="AJ29" s="24"/>
      <c r="AK29" s="24"/>
      <c r="AL29" s="24"/>
      <c r="AM29" s="24"/>
      <c r="AN29" s="24"/>
      <c r="AO29" s="24"/>
      <c r="AP29" s="24"/>
      <c r="AQ29" s="24"/>
      <c r="AR29" s="24"/>
      <c r="AS29" s="24"/>
      <c r="AT29" s="24"/>
      <c r="AU29" s="24"/>
    </row>
    <row r="30" spans="8:8" ht="20.15" customHeight="1">
      <c r="B30" s="200"/>
      <c r="C30" s="201"/>
      <c r="D30" s="201"/>
      <c r="E30" s="201"/>
      <c r="F30" s="24"/>
      <c r="G30" s="24"/>
      <c r="H30" s="24"/>
      <c r="J30" s="199"/>
      <c r="K30" s="199"/>
      <c r="L30" s="199"/>
      <c r="M30" s="199"/>
      <c r="N30" s="199"/>
      <c r="P30" s="24"/>
      <c r="T30" s="170"/>
      <c r="U30" s="171"/>
      <c r="V30" s="171"/>
      <c r="W30" s="172"/>
      <c r="X30" s="170"/>
      <c r="Y30" s="171"/>
      <c r="Z30" s="171"/>
      <c r="AA30" s="172"/>
      <c r="AB30" s="170"/>
      <c r="AC30" s="171"/>
      <c r="AD30" s="171"/>
      <c r="AE30" s="172"/>
      <c r="AF30" s="24"/>
      <c r="AG30" s="24"/>
      <c r="AH30" s="24"/>
      <c r="AI30" s="24"/>
      <c r="AJ30" s="24"/>
      <c r="AK30" s="24"/>
      <c r="AL30" s="24"/>
      <c r="AM30" s="24"/>
      <c r="AN30" s="24"/>
      <c r="AO30" s="24"/>
      <c r="AP30" s="24"/>
      <c r="AQ30" s="24"/>
      <c r="AR30" s="24"/>
      <c r="AS30" s="24"/>
      <c r="AT30" s="24"/>
      <c r="AU30" s="24"/>
      <c r="AV30" s="24"/>
    </row>
    <row r="31" spans="8:8" ht="20.15" customHeight="1">
      <c r="B31" s="33" t="s">
        <v>88</v>
      </c>
      <c r="C31" s="34" t="s">
        <v>47</v>
      </c>
      <c r="D31" s="34" t="s">
        <v>48</v>
      </c>
      <c r="E31" s="34" t="s">
        <v>49</v>
      </c>
      <c r="F31" s="34" t="s">
        <v>50</v>
      </c>
      <c r="G31" s="34" t="s">
        <v>51</v>
      </c>
      <c r="H31" s="34" t="s">
        <v>52</v>
      </c>
      <c r="I31" s="202" t="s">
        <v>53</v>
      </c>
      <c r="J31" s="203" t="s">
        <v>89</v>
      </c>
      <c r="K31" s="37" t="s">
        <v>90</v>
      </c>
      <c r="L31" s="38" t="s">
        <v>91</v>
      </c>
      <c r="M31" s="24"/>
      <c r="N31" s="24"/>
      <c r="O31" s="24"/>
      <c r="Q31" s="24"/>
      <c r="T31" s="170"/>
      <c r="U31" s="171"/>
      <c r="V31" s="171"/>
      <c r="W31" s="172"/>
      <c r="X31" s="170"/>
      <c r="Y31" s="171"/>
      <c r="Z31" s="171"/>
      <c r="AA31" s="172"/>
      <c r="AB31" s="170"/>
      <c r="AC31" s="171"/>
      <c r="AD31" s="171"/>
      <c r="AE31" s="172"/>
      <c r="AF31" s="24"/>
      <c r="AG31" s="24"/>
      <c r="AH31" s="24"/>
      <c r="AI31" s="24"/>
      <c r="AJ31" s="24"/>
      <c r="AK31" s="24"/>
      <c r="AL31" s="24"/>
      <c r="AM31" s="24"/>
      <c r="AN31" s="24"/>
      <c r="AO31" s="24"/>
      <c r="AP31" s="24"/>
      <c r="AQ31" s="24"/>
      <c r="AR31" s="24"/>
      <c r="AS31" s="24"/>
      <c r="AT31" s="24"/>
      <c r="AU31" s="24"/>
      <c r="AV31" s="24"/>
    </row>
    <row r="32" spans="8:8" ht="20.15" customHeight="1">
      <c r="B32" s="46" t="str">
        <f>C17</f>
        <v>醉枭赌徒</v>
      </c>
      <c r="C32" s="47"/>
      <c r="D32" s="47"/>
      <c r="E32" s="47"/>
      <c r="F32" s="47"/>
      <c r="G32" s="47"/>
      <c r="H32" s="47"/>
      <c r="I32" s="84"/>
      <c r="J32" s="204"/>
      <c r="K32" s="50"/>
      <c r="L32" s="51"/>
      <c r="M32" s="24"/>
      <c r="N32" s="24"/>
      <c r="O32" s="24"/>
      <c r="P32" s="24"/>
      <c r="Q32" s="24"/>
      <c r="T32" s="170"/>
      <c r="U32" s="171"/>
      <c r="V32" s="171"/>
      <c r="W32" s="172"/>
      <c r="X32" s="170"/>
      <c r="Y32" s="171"/>
      <c r="Z32" s="171"/>
      <c r="AA32" s="172"/>
      <c r="AB32" s="170"/>
      <c r="AC32" s="171"/>
      <c r="AD32" s="171"/>
      <c r="AE32" s="172"/>
      <c r="AF32" s="24"/>
      <c r="AG32" s="24"/>
      <c r="AH32" s="24"/>
      <c r="AI32" s="24"/>
      <c r="AJ32" s="24"/>
      <c r="AK32" s="24"/>
      <c r="AL32" s="24"/>
      <c r="AM32" s="24"/>
      <c r="AN32" s="24"/>
      <c r="AO32" s="24"/>
      <c r="AP32" s="24"/>
      <c r="AQ32" s="24"/>
      <c r="AR32" s="24"/>
      <c r="AS32" s="24"/>
      <c r="AT32" s="24"/>
      <c r="AU32" s="24"/>
      <c r="AV32" s="24"/>
    </row>
    <row r="33" spans="8:8" ht="20.15" customHeight="1">
      <c r="B33" s="46" t="str">
        <f>D17</f>
        <v>焰狼</v>
      </c>
      <c r="C33" s="47"/>
      <c r="D33" s="47"/>
      <c r="E33" s="47"/>
      <c r="F33" s="47"/>
      <c r="G33" s="47"/>
      <c r="H33" s="47"/>
      <c r="I33" s="84"/>
      <c r="J33" s="204"/>
      <c r="K33" s="50"/>
      <c r="L33" s="51"/>
      <c r="M33" s="24"/>
      <c r="N33" s="24"/>
      <c r="O33" s="24"/>
      <c r="P33" s="24"/>
      <c r="Q33" s="24"/>
      <c r="T33" s="170"/>
      <c r="U33" s="171"/>
      <c r="V33" s="171"/>
      <c r="W33" s="172"/>
      <c r="X33" s="170"/>
      <c r="Y33" s="171"/>
      <c r="Z33" s="171"/>
      <c r="AA33" s="172"/>
      <c r="AB33" s="170"/>
      <c r="AC33" s="171"/>
      <c r="AD33" s="171"/>
      <c r="AE33" s="172"/>
      <c r="AF33" s="24"/>
      <c r="AG33" s="24"/>
      <c r="AH33" s="24"/>
      <c r="AI33" s="24"/>
      <c r="AJ33" s="24"/>
      <c r="AK33" s="24"/>
      <c r="AL33" s="24"/>
      <c r="AM33" s="24"/>
      <c r="AN33" s="24"/>
      <c r="AO33" s="24"/>
      <c r="AP33" s="24"/>
      <c r="AQ33" s="24"/>
      <c r="AR33" s="24"/>
      <c r="AS33" s="24"/>
      <c r="AT33" s="24"/>
      <c r="AU33" s="24"/>
      <c r="AV33" s="24"/>
    </row>
    <row r="34" spans="8:8" ht="20.15" customHeight="1">
      <c r="B34" s="46" t="str">
        <f>E17</f>
        <v>哈基米嗷</v>
      </c>
      <c r="C34" s="47"/>
      <c r="D34" s="47"/>
      <c r="E34" s="47"/>
      <c r="F34" s="47"/>
      <c r="G34" s="47"/>
      <c r="H34" s="47"/>
      <c r="I34" s="84"/>
      <c r="J34" s="204"/>
      <c r="K34" s="50"/>
      <c r="L34" s="51"/>
      <c r="M34" s="24"/>
      <c r="N34" s="24"/>
      <c r="O34" s="24"/>
      <c r="P34" s="24"/>
      <c r="Q34" s="24"/>
      <c r="T34" s="170"/>
      <c r="U34" s="171"/>
      <c r="V34" s="171"/>
      <c r="W34" s="172"/>
      <c r="X34" s="170"/>
      <c r="Y34" s="171"/>
      <c r="Z34" s="171"/>
      <c r="AA34" s="172"/>
      <c r="AB34" s="170"/>
      <c r="AC34" s="171"/>
      <c r="AD34" s="171"/>
      <c r="AE34" s="172"/>
      <c r="AF34" s="24"/>
      <c r="AG34" s="24"/>
      <c r="AH34" s="24"/>
      <c r="AI34" s="24"/>
      <c r="AJ34" s="24"/>
      <c r="AK34" s="24"/>
      <c r="AL34" s="24"/>
      <c r="AM34" s="24"/>
      <c r="AN34" s="24"/>
      <c r="AO34" s="24"/>
      <c r="AP34" s="24"/>
      <c r="AQ34" s="24"/>
      <c r="AR34" s="24"/>
      <c r="AS34" s="24"/>
      <c r="AT34" s="24"/>
      <c r="AU34" s="24"/>
      <c r="AV34" s="24"/>
    </row>
    <row r="35" spans="8:8" ht="20.15" customHeight="1">
      <c r="B35" s="46" t="str">
        <f>F17</f>
        <v>无</v>
      </c>
      <c r="C35" s="47"/>
      <c r="D35" s="47"/>
      <c r="E35" s="47"/>
      <c r="F35" s="47"/>
      <c r="G35" s="47"/>
      <c r="H35" s="47"/>
      <c r="I35" s="84"/>
      <c r="J35" s="204"/>
      <c r="K35" s="50"/>
      <c r="L35" s="51"/>
      <c r="M35" s="24"/>
      <c r="N35" s="24"/>
      <c r="O35" s="24"/>
      <c r="P35" s="24"/>
      <c r="Q35" s="24"/>
      <c r="T35" s="170"/>
      <c r="U35" s="171"/>
      <c r="V35" s="171"/>
      <c r="W35" s="172"/>
      <c r="X35" s="170"/>
      <c r="Y35" s="171"/>
      <c r="Z35" s="171"/>
      <c r="AA35" s="172"/>
      <c r="AB35" s="170"/>
      <c r="AC35" s="171"/>
      <c r="AD35" s="171"/>
      <c r="AE35" s="172"/>
      <c r="AF35" s="24"/>
      <c r="AG35" s="24"/>
      <c r="AH35" s="24"/>
      <c r="AI35" s="24"/>
      <c r="AJ35" s="24"/>
      <c r="AK35" s="24"/>
      <c r="AL35" s="24"/>
      <c r="AM35" s="24"/>
      <c r="AN35" s="24"/>
      <c r="AO35" s="24"/>
      <c r="AP35" s="24"/>
      <c r="AQ35" s="24"/>
      <c r="AR35" s="24"/>
      <c r="AS35" s="24"/>
      <c r="AT35" s="24"/>
      <c r="AU35" s="24"/>
      <c r="AV35" s="24"/>
    </row>
    <row r="36" spans="8:8" ht="20.15" customHeight="1">
      <c r="B36" s="46" t="str">
        <f>G17</f>
        <v>无</v>
      </c>
      <c r="C36" s="47"/>
      <c r="D36" s="47"/>
      <c r="E36" s="47"/>
      <c r="F36" s="47"/>
      <c r="G36" s="47"/>
      <c r="H36" s="47"/>
      <c r="I36" s="84"/>
      <c r="J36" s="204"/>
      <c r="K36" s="50"/>
      <c r="L36" s="51"/>
      <c r="M36" s="24"/>
      <c r="N36" s="24"/>
      <c r="O36" s="24"/>
      <c r="P36" s="24"/>
      <c r="Q36" s="24"/>
      <c r="T36" s="170"/>
      <c r="U36" s="171"/>
      <c r="V36" s="171"/>
      <c r="W36" s="172"/>
      <c r="X36" s="170"/>
      <c r="Y36" s="171"/>
      <c r="Z36" s="171"/>
      <c r="AA36" s="172"/>
      <c r="AB36" s="170"/>
      <c r="AC36" s="171"/>
      <c r="AD36" s="171"/>
      <c r="AE36" s="172"/>
      <c r="AF36" s="24"/>
      <c r="AG36" s="24"/>
    </row>
    <row r="37" spans="8:8" ht="20.15" customHeight="1">
      <c r="B37" s="76" t="str">
        <f>I17</f>
        <v>机甲少女</v>
      </c>
      <c r="C37" s="77"/>
      <c r="D37" s="77"/>
      <c r="E37" s="77"/>
      <c r="F37" s="77"/>
      <c r="G37" s="77"/>
      <c r="H37" s="77"/>
      <c r="I37" s="78"/>
      <c r="J37" s="79"/>
      <c r="K37" s="80"/>
      <c r="L37" s="81"/>
      <c r="M37" s="24"/>
      <c r="N37" s="24"/>
      <c r="O37" s="24"/>
      <c r="P37" s="24"/>
      <c r="Q37" s="24"/>
      <c r="T37" s="170"/>
      <c r="U37" s="171"/>
      <c r="V37" s="171"/>
      <c r="W37" s="172"/>
      <c r="X37" s="170"/>
      <c r="Y37" s="171"/>
      <c r="Z37" s="171"/>
      <c r="AA37" s="172"/>
      <c r="AB37" s="170"/>
      <c r="AC37" s="171"/>
      <c r="AD37" s="171"/>
      <c r="AE37" s="172"/>
      <c r="AF37" s="24"/>
      <c r="AG37" s="24"/>
    </row>
    <row r="38" spans="8:8" ht="20.15" customHeight="1">
      <c r="B38" s="82" t="str">
        <f>J17</f>
        <v>无</v>
      </c>
      <c r="C38" s="47"/>
      <c r="D38" s="47"/>
      <c r="E38" s="47"/>
      <c r="F38" s="47"/>
      <c r="G38" s="83"/>
      <c r="H38" s="47"/>
      <c r="I38" s="84"/>
      <c r="J38" s="85"/>
      <c r="K38" s="86"/>
      <c r="L38" s="87"/>
      <c r="M38" s="24"/>
      <c r="N38" s="24"/>
      <c r="O38" s="24"/>
      <c r="P38" s="24"/>
      <c r="Q38" s="24"/>
      <c r="T38" s="170"/>
      <c r="U38" s="171"/>
      <c r="V38" s="171"/>
      <c r="W38" s="172"/>
      <c r="X38" s="170"/>
      <c r="Y38" s="171"/>
      <c r="Z38" s="171"/>
      <c r="AA38" s="172"/>
      <c r="AB38" s="170"/>
      <c r="AC38" s="171"/>
      <c r="AD38" s="171"/>
      <c r="AE38" s="172"/>
      <c r="AF38" s="24"/>
      <c r="AG38" s="24"/>
    </row>
    <row r="39" spans="8:8" ht="20.15" customHeight="1">
      <c r="B39" s="82" t="str">
        <f>K17</f>
        <v>无</v>
      </c>
      <c r="C39" s="47"/>
      <c r="D39" s="47"/>
      <c r="E39" s="47"/>
      <c r="F39" s="47"/>
      <c r="G39" s="47"/>
      <c r="H39" s="47"/>
      <c r="I39" s="84"/>
      <c r="J39" s="85"/>
      <c r="K39" s="86"/>
      <c r="L39" s="87"/>
      <c r="M39" s="24"/>
      <c r="N39" s="24"/>
      <c r="O39" s="24"/>
      <c r="P39" s="24"/>
      <c r="Q39" s="24"/>
      <c r="T39" s="170"/>
      <c r="U39" s="171"/>
      <c r="V39" s="171"/>
      <c r="W39" s="172"/>
      <c r="X39" s="170"/>
      <c r="Y39" s="171"/>
      <c r="Z39" s="171"/>
      <c r="AA39" s="172"/>
      <c r="AB39" s="170"/>
      <c r="AC39" s="171"/>
      <c r="AD39" s="171"/>
      <c r="AE39" s="172"/>
      <c r="AF39" s="24"/>
      <c r="AG39" s="24"/>
    </row>
    <row r="40" spans="8:8" ht="20.15" customHeight="1">
      <c r="B40" s="82" t="str">
        <f>L17</f>
        <v>无</v>
      </c>
      <c r="C40" s="47"/>
      <c r="D40" s="47"/>
      <c r="E40" s="47"/>
      <c r="F40" s="47"/>
      <c r="G40" s="47"/>
      <c r="H40" s="47"/>
      <c r="I40" s="84"/>
      <c r="J40" s="85"/>
      <c r="K40" s="86"/>
      <c r="L40" s="87"/>
      <c r="M40" s="22"/>
      <c r="N40" s="24"/>
      <c r="O40" s="24"/>
      <c r="P40" s="24"/>
      <c r="Q40" s="24"/>
      <c r="T40" s="170"/>
      <c r="U40" s="171"/>
      <c r="V40" s="171"/>
      <c r="W40" s="172"/>
      <c r="X40" s="170"/>
      <c r="Y40" s="171"/>
      <c r="Z40" s="171"/>
      <c r="AA40" s="172"/>
      <c r="AB40" s="170"/>
      <c r="AC40" s="171"/>
      <c r="AD40" s="171"/>
      <c r="AE40" s="172"/>
      <c r="AF40" s="24"/>
      <c r="AG40" s="24"/>
    </row>
    <row r="41" spans="8:8" ht="20.15" customHeight="1">
      <c r="B41" s="100" t="str">
        <f>M17</f>
        <v>无</v>
      </c>
      <c r="C41" s="101"/>
      <c r="D41" s="101"/>
      <c r="E41" s="101"/>
      <c r="F41" s="101"/>
      <c r="G41" s="101"/>
      <c r="H41" s="101"/>
      <c r="I41" s="102"/>
      <c r="J41" s="103"/>
      <c r="K41" s="104"/>
      <c r="L41" s="105"/>
      <c r="M41" s="22"/>
      <c r="N41" s="24"/>
      <c r="O41" s="24"/>
      <c r="P41" s="24"/>
      <c r="Q41" s="24"/>
      <c r="T41" s="170"/>
      <c r="U41" s="171"/>
      <c r="V41" s="171"/>
      <c r="W41" s="172"/>
      <c r="X41" s="170"/>
      <c r="Y41" s="171"/>
      <c r="Z41" s="171"/>
      <c r="AA41" s="172"/>
      <c r="AB41" s="170"/>
      <c r="AC41" s="171"/>
      <c r="AD41" s="171"/>
      <c r="AE41" s="172"/>
      <c r="AF41" s="24"/>
      <c r="AG41" s="24"/>
    </row>
    <row r="42" spans="8:8" ht="20.15" customHeight="1">
      <c r="B42" s="205" t="s">
        <v>109</v>
      </c>
      <c r="C42" s="206" t="s">
        <v>93</v>
      </c>
      <c r="D42" s="134" t="s">
        <v>94</v>
      </c>
      <c r="E42" s="134" t="s">
        <v>94</v>
      </c>
      <c r="F42" s="134" t="s">
        <v>94</v>
      </c>
      <c r="G42" s="134" t="s">
        <v>94</v>
      </c>
      <c r="H42" s="207" t="s">
        <v>104</v>
      </c>
      <c r="I42" s="208" t="s">
        <v>93</v>
      </c>
      <c r="J42" s="137" t="s">
        <v>94</v>
      </c>
      <c r="K42" s="137" t="s">
        <v>94</v>
      </c>
      <c r="L42" s="137" t="s">
        <v>94</v>
      </c>
      <c r="M42" s="137" t="s">
        <v>94</v>
      </c>
      <c r="N42" s="209" t="s">
        <v>104</v>
      </c>
      <c r="O42" s="210"/>
      <c r="P42" s="24"/>
      <c r="Q42" s="24"/>
      <c r="T42" s="170"/>
      <c r="U42" s="171"/>
      <c r="V42" s="171"/>
      <c r="W42" s="172"/>
      <c r="X42" s="170"/>
      <c r="Y42" s="171"/>
      <c r="Z42" s="171"/>
      <c r="AA42" s="172"/>
      <c r="AB42" s="170"/>
      <c r="AC42" s="171"/>
      <c r="AD42" s="171"/>
      <c r="AE42" s="172"/>
      <c r="AF42" s="24"/>
      <c r="AG42" s="24"/>
    </row>
    <row r="43" spans="8:8" ht="20.15" customHeight="1">
      <c r="B43" s="211" t="s">
        <v>126</v>
      </c>
      <c r="C43" s="212" t="str">
        <f>C17</f>
        <v>醉枭赌徒</v>
      </c>
      <c r="D43" s="213" t="str">
        <f t="shared" si="5" ref="D43:G43">D17</f>
        <v>焰狼</v>
      </c>
      <c r="E43" s="213" t="str">
        <f t="shared" si="5"/>
        <v>哈基米嗷</v>
      </c>
      <c r="F43" s="213" t="str">
        <f t="shared" si="5"/>
        <v>无</v>
      </c>
      <c r="G43" s="213" t="str">
        <f t="shared" si="5"/>
        <v>无</v>
      </c>
      <c r="H43" s="214" t="s">
        <v>109</v>
      </c>
      <c r="I43" s="215" t="str">
        <f t="shared" si="6" ref="I43:M43">I17</f>
        <v>机甲少女</v>
      </c>
      <c r="J43" s="150" t="str">
        <f t="shared" si="6"/>
        <v>无</v>
      </c>
      <c r="K43" s="150" t="str">
        <f t="shared" si="6"/>
        <v>无</v>
      </c>
      <c r="L43" s="150" t="str">
        <f t="shared" si="6"/>
        <v>无</v>
      </c>
      <c r="M43" s="150" t="str">
        <f t="shared" si="6"/>
        <v>无</v>
      </c>
      <c r="N43" s="216" t="s">
        <v>109</v>
      </c>
      <c r="O43" s="210"/>
      <c r="P43" s="24"/>
      <c r="Q43" s="24"/>
      <c r="T43" s="170"/>
      <c r="U43" s="171"/>
      <c r="V43" s="171"/>
      <c r="W43" s="172"/>
      <c r="X43" s="170"/>
      <c r="Y43" s="171"/>
      <c r="Z43" s="171"/>
      <c r="AA43" s="172"/>
      <c r="AB43" s="170"/>
      <c r="AC43" s="171"/>
      <c r="AD43" s="171"/>
      <c r="AE43" s="172"/>
      <c r="AF43" s="24"/>
      <c r="AG43" s="24"/>
    </row>
    <row r="44" spans="8:8" ht="20.15" customHeight="1">
      <c r="B44" s="217" t="s">
        <v>47</v>
      </c>
      <c r="C44" s="218">
        <f>MAX(0,C19+C32)</f>
        <v>70.0</v>
      </c>
      <c r="D44" s="153">
        <f>D19+C33</f>
        <v>70.0</v>
      </c>
      <c r="E44" s="153">
        <f>E19+C34</f>
        <v>40.0</v>
      </c>
      <c r="F44" s="153">
        <f>F19+C35</f>
        <v>0.0</v>
      </c>
      <c r="G44" s="153">
        <f>G19+C36</f>
        <v>0.0</v>
      </c>
      <c r="H44" s="219">
        <f>C44</f>
        <v>70.0</v>
      </c>
      <c r="I44" s="220">
        <f>MAX(0,I19+C37)</f>
        <v>45.0</v>
      </c>
      <c r="J44" s="156">
        <f>J19+C38</f>
        <v>0.0</v>
      </c>
      <c r="K44" s="156">
        <f>K19+C39</f>
        <v>0.0</v>
      </c>
      <c r="L44" s="156">
        <f>L19+C40</f>
        <v>0.0</v>
      </c>
      <c r="M44" s="156">
        <f>M19+C41</f>
        <v>0.0</v>
      </c>
      <c r="N44" s="221">
        <f>I44</f>
        <v>45.0</v>
      </c>
      <c r="O44" s="210"/>
      <c r="P44" s="24"/>
      <c r="Q44" s="24"/>
      <c r="T44" s="170"/>
      <c r="U44" s="171"/>
      <c r="V44" s="171"/>
      <c r="W44" s="172"/>
      <c r="X44" s="170"/>
      <c r="Y44" s="171"/>
      <c r="Z44" s="171"/>
      <c r="AA44" s="172"/>
      <c r="AB44" s="170"/>
      <c r="AC44" s="171"/>
      <c r="AD44" s="171"/>
      <c r="AE44" s="172"/>
      <c r="AF44" s="24"/>
      <c r="AG44" s="24"/>
    </row>
    <row r="45" spans="8:8" ht="20.15" customHeight="1">
      <c r="B45" s="222" t="s">
        <v>48</v>
      </c>
      <c r="C45" s="223">
        <f>MAX(0,C20+D32+J32+K32+L32)</f>
        <v>105.0</v>
      </c>
      <c r="D45" s="147">
        <f>MAX(0,D20+D33+J33+K33+L33)</f>
        <v>10.0</v>
      </c>
      <c r="E45" s="147">
        <f>MAX(0,E20+D34+J34+K34+L34)</f>
        <v>70.0</v>
      </c>
      <c r="F45" s="147">
        <f>MAX(0,F20+D35+J35+K35+L35)</f>
        <v>0.0</v>
      </c>
      <c r="G45" s="147">
        <f>MAX(0,G20+D36+J36+K36+L36)</f>
        <v>0.0</v>
      </c>
      <c r="H45" s="224">
        <f t="shared" si="7" ref="H45:H50">SUM(C45+((D45+E45+F45+G45)/2))</f>
        <v>145.0</v>
      </c>
      <c r="I45" s="215">
        <f>MAX(0,I20+D37+J37+K37+L37)</f>
        <v>70.0</v>
      </c>
      <c r="J45" s="150">
        <f>MAX(0,J20+D38+J38+K38+L38)</f>
        <v>0.0</v>
      </c>
      <c r="K45" s="150">
        <f>MAX(0,K20+D39+J39+K39+L39)</f>
        <v>0.0</v>
      </c>
      <c r="L45" s="150">
        <f>MAX(0,L20+D40+J40+K40+L40)</f>
        <v>0.0</v>
      </c>
      <c r="M45" s="150">
        <f>MAX(0,M20+D41+J41+K41+L41)</f>
        <v>0.0</v>
      </c>
      <c r="N45" s="225">
        <f t="shared" si="8" ref="N45:N50">SUM(I45+((J45+K45+L45+M45)/2))</f>
        <v>70.0</v>
      </c>
      <c r="O45" s="210"/>
      <c r="P45" s="24"/>
      <c r="T45" s="170"/>
      <c r="U45" s="171"/>
      <c r="V45" s="171"/>
      <c r="W45" s="172"/>
      <c r="X45" s="170"/>
      <c r="Y45" s="171"/>
      <c r="Z45" s="171"/>
      <c r="AA45" s="172"/>
      <c r="AB45" s="170"/>
      <c r="AC45" s="171"/>
      <c r="AD45" s="171"/>
      <c r="AE45" s="172"/>
      <c r="AF45" s="24"/>
      <c r="AG45" s="24"/>
    </row>
    <row r="46" spans="8:8" ht="20.15" customHeight="1">
      <c r="B46" s="222" t="s">
        <v>49</v>
      </c>
      <c r="C46" s="218">
        <f>MAX(0,C21+E32+J32+K32+L32)</f>
        <v>175.0</v>
      </c>
      <c r="D46" s="153">
        <f>MAX(0,D21+E33+J33+K33+L33)</f>
        <v>25.0</v>
      </c>
      <c r="E46" s="153">
        <f>MAX(0,E21+E34+J34+K34+L34)</f>
        <v>65.0</v>
      </c>
      <c r="F46" s="153">
        <f>MAX(0,F21+E35+J35+K35+L35)</f>
        <v>0.0</v>
      </c>
      <c r="G46" s="153">
        <f>MAX(0,G21+E36+J36+K36+L36)</f>
        <v>0.0</v>
      </c>
      <c r="H46" s="219">
        <f t="shared" si="7"/>
        <v>220.0</v>
      </c>
      <c r="I46" s="220">
        <f>MAX(0,I21+E37+J37+K37+L37)</f>
        <v>70.0</v>
      </c>
      <c r="J46" s="156">
        <f>MAX(0,J21+E38+J38+K38+L38)</f>
        <v>0.0</v>
      </c>
      <c r="K46" s="156">
        <f>MAX(0,K21+E39+J39+K39+L39)</f>
        <v>0.0</v>
      </c>
      <c r="L46" s="156">
        <f>MAX(0,L21+E40+J40+K40+L40)</f>
        <v>0.0</v>
      </c>
      <c r="M46" s="156">
        <f>MAX(0,M21+E41+J41+K41+L41)</f>
        <v>0.0</v>
      </c>
      <c r="N46" s="221">
        <f t="shared" si="8"/>
        <v>70.0</v>
      </c>
      <c r="O46" s="210"/>
      <c r="P46" s="24"/>
      <c r="T46" s="170"/>
      <c r="U46" s="171"/>
      <c r="V46" s="171"/>
      <c r="W46" s="172"/>
      <c r="X46" s="170"/>
      <c r="Y46" s="171"/>
      <c r="Z46" s="171"/>
      <c r="AA46" s="172"/>
      <c r="AB46" s="170"/>
      <c r="AC46" s="171"/>
      <c r="AD46" s="171"/>
      <c r="AE46" s="172"/>
      <c r="AF46" s="24"/>
      <c r="AG46" s="24"/>
    </row>
    <row r="47" spans="8:8" ht="20.15" customHeight="1">
      <c r="B47" s="222" t="s">
        <v>50</v>
      </c>
      <c r="C47" s="223">
        <f>MAX(0,C22+F32+J32+K32+L32)</f>
        <v>40.0</v>
      </c>
      <c r="D47" s="147">
        <f>MAX(0,D22+F33+J33+K33+L33)</f>
        <v>40.0</v>
      </c>
      <c r="E47" s="147">
        <f>MAX(0,E22+F34+J34+K34+L34)</f>
        <v>70.0</v>
      </c>
      <c r="F47" s="147">
        <f>MAX(0,F22+F35+J35+K35+L35)</f>
        <v>0.0</v>
      </c>
      <c r="G47" s="147">
        <f>MAX(0,G22+F36+J36+K36+L36)</f>
        <v>0.0</v>
      </c>
      <c r="H47" s="224">
        <f t="shared" si="7"/>
        <v>95.0</v>
      </c>
      <c r="I47" s="215">
        <f>MAX(0,I22+F37+J37+K37+L37)</f>
        <v>70.0</v>
      </c>
      <c r="J47" s="150">
        <f>MAX(0,J22+F38+J38+K38+L38)</f>
        <v>0.0</v>
      </c>
      <c r="K47" s="150">
        <f>MAX(0,K22+F39+J39+K39+L39)</f>
        <v>0.0</v>
      </c>
      <c r="L47" s="150">
        <f>MAX(0,L22+F40+J40+K40+L40)</f>
        <v>0.0</v>
      </c>
      <c r="M47" s="150">
        <f>MAX(0,M22+F41+J41+K41+L41)</f>
        <v>0.0</v>
      </c>
      <c r="N47" s="225">
        <f t="shared" si="8"/>
        <v>70.0</v>
      </c>
      <c r="O47" s="210"/>
      <c r="P47" s="24"/>
      <c r="Q47" s="24"/>
      <c r="T47" s="170"/>
      <c r="U47" s="171"/>
      <c r="V47" s="171"/>
      <c r="W47" s="172"/>
      <c r="X47" s="170"/>
      <c r="Y47" s="171"/>
      <c r="Z47" s="171"/>
      <c r="AA47" s="172"/>
      <c r="AB47" s="170"/>
      <c r="AC47" s="171"/>
      <c r="AD47" s="171"/>
      <c r="AE47" s="172"/>
      <c r="AF47" s="24"/>
      <c r="AG47" s="24"/>
    </row>
    <row r="48" spans="8:8" ht="20.15" customHeight="1">
      <c r="B48" s="222" t="s">
        <v>51</v>
      </c>
      <c r="C48" s="218">
        <f>MAX(0,C23+G32+J32+K32)</f>
        <v>35.0</v>
      </c>
      <c r="D48" s="153">
        <f>MAX(0,D23+G33+J33+K33)</f>
        <v>20.0</v>
      </c>
      <c r="E48" s="153">
        <f>MAX(0,E23+G34+J34+K34)</f>
        <v>0.0</v>
      </c>
      <c r="F48" s="153">
        <f>MAX(0,F23+G35+J35+K35)</f>
        <v>0.0</v>
      </c>
      <c r="G48" s="153">
        <f>MAX(0,G23+G36+J36+K36)</f>
        <v>0.0</v>
      </c>
      <c r="H48" s="219">
        <f t="shared" si="7"/>
        <v>45.0</v>
      </c>
      <c r="I48" s="220">
        <f>MAX(0,I23+G37+J37+K37)</f>
        <v>80.0</v>
      </c>
      <c r="J48" s="156">
        <f>MAX(0,J23+G38+J38+K38)</f>
        <v>0.0</v>
      </c>
      <c r="K48" s="156">
        <f>MAX(0,K23+G39+J39+K39)</f>
        <v>0.0</v>
      </c>
      <c r="L48" s="156">
        <f>MAX(0,K23+G40+J40+K40)</f>
        <v>0.0</v>
      </c>
      <c r="M48" s="156">
        <f>MAX(0,M23+G41+J41+K41)</f>
        <v>0.0</v>
      </c>
      <c r="N48" s="221">
        <f t="shared" si="8"/>
        <v>80.0</v>
      </c>
      <c r="O48" s="210"/>
      <c r="P48" s="24"/>
      <c r="Q48" s="24"/>
      <c r="T48" s="170"/>
      <c r="U48" s="171"/>
      <c r="V48" s="171"/>
      <c r="W48" s="172"/>
      <c r="X48" s="170"/>
      <c r="Y48" s="171"/>
      <c r="Z48" s="171"/>
      <c r="AA48" s="172"/>
      <c r="AB48" s="170"/>
      <c r="AC48" s="171"/>
      <c r="AD48" s="171"/>
      <c r="AE48" s="172"/>
      <c r="AF48" s="24"/>
      <c r="AG48" s="24"/>
    </row>
    <row r="49" spans="8:8" ht="20.15" customHeight="1">
      <c r="B49" s="222" t="s">
        <v>52</v>
      </c>
      <c r="C49" s="223">
        <f>MAX(0,C24+H32+J32+K32)</f>
        <v>80.0</v>
      </c>
      <c r="D49" s="147">
        <f>MAX(0,D24+H33+J33+K33)</f>
        <v>45.0</v>
      </c>
      <c r="E49" s="147">
        <f>MAX(0,E24+H34+J34+K34)</f>
        <v>50.0</v>
      </c>
      <c r="F49" s="147">
        <f>MAX(0,F24+H35+J35+K35)</f>
        <v>0.0</v>
      </c>
      <c r="G49" s="147">
        <f>MAX(0,G24+H36+J36+K36)</f>
        <v>0.0</v>
      </c>
      <c r="H49" s="224">
        <f t="shared" si="7"/>
        <v>127.5</v>
      </c>
      <c r="I49" s="215">
        <f>MAX(0,I24+H37+J37+K37)</f>
        <v>40.0</v>
      </c>
      <c r="J49" s="150">
        <f>MAX(0,J24+H38+J38+K38)</f>
        <v>0.0</v>
      </c>
      <c r="K49" s="150">
        <f>MAX(0,K24+H39+J39+K39)</f>
        <v>0.0</v>
      </c>
      <c r="L49" s="150">
        <f>MAX(0,L24+H40+J40+K40)</f>
        <v>0.0</v>
      </c>
      <c r="M49" s="150">
        <f>MAX(0,M24+H41+J41+K41)</f>
        <v>0.0</v>
      </c>
      <c r="N49" s="225">
        <f t="shared" si="8"/>
        <v>40.0</v>
      </c>
      <c r="O49" s="23"/>
      <c r="P49" s="24"/>
      <c r="Q49" s="24"/>
      <c r="AF49" s="24"/>
      <c r="AG49" s="24"/>
    </row>
    <row r="50" spans="8:8" ht="20.15" customHeight="1">
      <c r="B50" s="226" t="s">
        <v>53</v>
      </c>
      <c r="C50" s="227">
        <f>MAX(0,C25+I32+K32)</f>
        <v>55.0</v>
      </c>
      <c r="D50" s="175">
        <f>MAX(0,D25+I33+K33)</f>
        <v>95.0</v>
      </c>
      <c r="E50" s="175">
        <f>MAX(0,E25+I34+K34)</f>
        <v>0.0</v>
      </c>
      <c r="F50" s="175">
        <f>MAX(0,F25+I35+K35)</f>
        <v>0.0</v>
      </c>
      <c r="G50" s="175">
        <f>MAX(0,G25+I36+K36)</f>
        <v>0.0</v>
      </c>
      <c r="H50" s="228">
        <f t="shared" si="7"/>
        <v>102.5</v>
      </c>
      <c r="I50" s="229">
        <f>MAX(0,I25+I37+K37)</f>
        <v>0.0</v>
      </c>
      <c r="J50" s="178">
        <f>MAX(0,J25+I38+K38)</f>
        <v>0.0</v>
      </c>
      <c r="K50" s="178">
        <f>MAX(0,K25+I39+K39)</f>
        <v>0.0</v>
      </c>
      <c r="L50" s="178">
        <f>MAX(0,L25+I40+K40)</f>
        <v>0.0</v>
      </c>
      <c r="M50" s="178">
        <f>MAX(0,M25+I41+K41)</f>
        <v>0.0</v>
      </c>
      <c r="N50" s="230">
        <f t="shared" si="8"/>
        <v>0.0</v>
      </c>
      <c r="O50" s="23"/>
      <c r="P50" s="24"/>
      <c r="Q50" s="24"/>
      <c r="AF50" s="24"/>
      <c r="AG50" s="24"/>
    </row>
    <row r="51" spans="8:8" ht="20.15" customHeight="1">
      <c r="B51" s="180" t="s">
        <v>127</v>
      </c>
      <c r="C51" s="189"/>
      <c r="D51" s="190"/>
      <c r="E51" s="190"/>
      <c r="F51" s="190"/>
      <c r="G51" s="191"/>
      <c r="H51" s="192">
        <f>IF($E$96="辅助胜率正常",SUM(C51:G51),C51+SUM(D51:G51)/2)</f>
        <v>0.0</v>
      </c>
      <c r="I51" s="193"/>
      <c r="J51" s="194"/>
      <c r="K51" s="194"/>
      <c r="L51" s="194"/>
      <c r="M51" s="195"/>
      <c r="N51" s="196">
        <f>IF($E$96="辅助胜率正常",SUM(I51:M51),I51+SUM(J51:M51)/2)</f>
        <v>0.0</v>
      </c>
      <c r="O51" s="23"/>
      <c r="P51" s="24"/>
      <c r="Q51" s="24"/>
      <c r="AF51" s="24"/>
      <c r="AG51" s="24"/>
    </row>
    <row r="52" spans="8:8" ht="20.15" customHeight="1">
      <c r="B52" s="180" t="s">
        <v>128</v>
      </c>
      <c r="C52" s="189"/>
      <c r="D52" s="190"/>
      <c r="E52" s="190"/>
      <c r="F52" s="190"/>
      <c r="G52" s="191"/>
      <c r="H52" s="192">
        <f>SUM(C52:G52)</f>
        <v>0.0</v>
      </c>
      <c r="I52" s="193"/>
      <c r="J52" s="194"/>
      <c r="K52" s="194"/>
      <c r="L52" s="194"/>
      <c r="M52" s="195"/>
      <c r="N52" s="196">
        <f>SUM(I52:M52)</f>
        <v>0.0</v>
      </c>
      <c r="P52" s="24"/>
      <c r="Q52" s="24"/>
      <c r="AF52" s="24"/>
      <c r="AG52" s="24"/>
    </row>
    <row r="53" spans="8:8" ht="20.15" customHeight="1">
      <c r="B53" s="24"/>
      <c r="C53" s="24"/>
      <c r="D53" s="24"/>
      <c r="E53" s="24"/>
      <c r="F53" s="24"/>
      <c r="G53" s="24"/>
      <c r="H53" s="24"/>
      <c r="I53" s="24"/>
      <c r="J53" s="24"/>
      <c r="K53" s="24"/>
      <c r="L53" s="24"/>
      <c r="M53" s="24"/>
      <c r="N53" s="24"/>
      <c r="O53" s="24"/>
      <c r="P53" s="24"/>
      <c r="Q53" s="24"/>
      <c r="AF53" s="24"/>
      <c r="AG53" s="24"/>
    </row>
    <row r="54" spans="8:8" ht="20.15" customHeight="1">
      <c r="B54" s="24"/>
      <c r="C54" s="24"/>
      <c r="D54" s="24"/>
      <c r="E54" s="24"/>
      <c r="F54" s="24"/>
      <c r="G54" s="24"/>
      <c r="H54" s="24"/>
      <c r="I54" s="24"/>
      <c r="J54" s="24"/>
      <c r="K54" s="24"/>
      <c r="L54" s="24"/>
      <c r="M54" s="24"/>
      <c r="N54" s="24"/>
      <c r="O54" s="24"/>
      <c r="P54" s="24"/>
      <c r="Q54" s="24"/>
      <c r="AF54" s="24"/>
      <c r="AG54" s="24"/>
    </row>
    <row r="55" spans="8:8" ht="20.15" customHeight="1">
      <c r="B55" s="231"/>
      <c r="C55" s="231"/>
      <c r="D55" s="198"/>
      <c r="E55" s="198"/>
      <c r="F55" s="198"/>
      <c r="G55" s="198"/>
      <c r="H55" s="24"/>
      <c r="I55" s="24"/>
      <c r="J55" s="24"/>
      <c r="K55" s="24"/>
      <c r="L55" s="24"/>
      <c r="M55" s="24"/>
      <c r="N55" s="24"/>
      <c r="O55" s="24"/>
      <c r="P55" s="24"/>
      <c r="Q55" s="24"/>
      <c r="AF55" s="24"/>
      <c r="AG55" s="24"/>
    </row>
    <row r="56" spans="8:8" ht="20.15" customHeight="1">
      <c r="B56" s="231"/>
      <c r="C56" s="231"/>
      <c r="D56" s="198"/>
      <c r="E56" s="232"/>
      <c r="F56" s="198"/>
      <c r="G56" s="198"/>
      <c r="H56" s="233"/>
      <c r="I56" s="233"/>
      <c r="J56" s="24"/>
      <c r="K56" s="24"/>
      <c r="L56" s="24"/>
      <c r="M56" s="24"/>
      <c r="N56" s="234" t="s">
        <v>129</v>
      </c>
      <c r="O56" s="235" t="s">
        <v>130</v>
      </c>
      <c r="P56" s="24"/>
      <c r="Q56" s="24"/>
      <c r="AF56" s="24"/>
      <c r="AG56" s="24"/>
    </row>
    <row r="57" spans="8:8" ht="20.15" customHeight="1">
      <c r="B57" s="236" t="s">
        <v>131</v>
      </c>
      <c r="C57" s="237" t="s">
        <v>47</v>
      </c>
      <c r="D57" s="238" t="s">
        <v>50</v>
      </c>
      <c r="E57" s="238" t="s">
        <v>48</v>
      </c>
      <c r="F57" s="238" t="s">
        <v>49</v>
      </c>
      <c r="G57" s="239" t="s">
        <v>132</v>
      </c>
      <c r="H57" s="240" t="s">
        <v>127</v>
      </c>
      <c r="I57" s="241" t="s">
        <v>128</v>
      </c>
      <c r="J57" s="22"/>
      <c r="K57" s="24"/>
      <c r="L57" s="24"/>
      <c r="M57" s="24"/>
      <c r="N57" s="74" t="s">
        <v>133</v>
      </c>
      <c r="O57" s="242">
        <v>90.0</v>
      </c>
      <c r="P57" s="24"/>
      <c r="Q57" s="24"/>
      <c r="AF57" s="24"/>
      <c r="AG57" s="24"/>
    </row>
    <row r="58" spans="8:8" ht="20.15" customHeight="1">
      <c r="B58" s="243" t="str">
        <f>C17</f>
        <v>醉枭赌徒</v>
      </c>
      <c r="C58" s="244">
        <f>C44+C59+C60</f>
        <v>70.0</v>
      </c>
      <c r="D58" s="245">
        <f>MAX(0,INDEX($B$42:$H$50,MATCH(D$57,$B$42:$B$50,0),2)+$G58*10+IF(D$57&lt;&gt;"宝具",$G59)+$G60)</f>
        <v>40.0</v>
      </c>
      <c r="E58" s="245">
        <f>MAX(0,INDEX($B$42:$H$50,MATCH(E$57,$B$42:$B$50,0),2)+$G58*10+IF(E$57&lt;&gt;"宝具",$G59)+$G60)</f>
        <v>105.0</v>
      </c>
      <c r="F58" s="245">
        <f>MAX(0,INDEX($B$42:$H$50,MATCH(F$57,$B$42:$B$50,0),2)+$G58*10+IF(F$57&lt;&gt;"宝具",$G59)+$G60)</f>
        <v>175.0</v>
      </c>
      <c r="G58" s="246"/>
      <c r="H58" s="247"/>
      <c r="I58" s="247"/>
      <c r="J58" s="233"/>
      <c r="K58" s="24"/>
      <c r="L58" s="24"/>
      <c r="M58" s="24"/>
      <c r="N58" s="74" t="s">
        <v>134</v>
      </c>
      <c r="O58" s="242">
        <v>80.0</v>
      </c>
      <c r="P58" s="24"/>
      <c r="Q58" s="24"/>
      <c r="AD58" s="24"/>
      <c r="AE58" s="24"/>
      <c r="AF58" s="24"/>
      <c r="AG58" s="24"/>
    </row>
    <row r="59" spans="8:8" ht="20.15" customHeight="1">
      <c r="B59" s="248" t="s">
        <v>135</v>
      </c>
      <c r="C59" s="249"/>
      <c r="D59" s="250"/>
      <c r="E59" s="250"/>
      <c r="F59" s="250"/>
      <c r="G59" s="251"/>
      <c r="H59" s="252"/>
      <c r="I59" s="252"/>
      <c r="J59" s="233"/>
      <c r="K59" s="24"/>
      <c r="L59" s="24"/>
      <c r="M59" s="24"/>
      <c r="N59" s="253" t="s">
        <v>136</v>
      </c>
      <c r="O59" s="242">
        <v>70.0</v>
      </c>
      <c r="P59" s="24"/>
      <c r="Q59" s="24"/>
      <c r="AD59" s="24"/>
      <c r="AE59" s="24"/>
      <c r="AF59" s="24"/>
      <c r="AG59" s="24"/>
      <c r="AH59" s="24"/>
      <c r="AI59" s="24"/>
      <c r="AJ59" s="24"/>
      <c r="AK59" s="24"/>
      <c r="AL59" s="24"/>
    </row>
    <row r="60" spans="8:8" ht="20.15" customHeight="1">
      <c r="B60" s="254" t="s">
        <v>137</v>
      </c>
      <c r="C60" s="249"/>
      <c r="D60" s="255"/>
      <c r="E60" s="255"/>
      <c r="F60" s="250"/>
      <c r="G60" s="256"/>
      <c r="H60" s="257"/>
      <c r="I60" s="257"/>
      <c r="J60" s="233"/>
      <c r="K60" s="24"/>
      <c r="L60" s="24"/>
      <c r="M60" s="24"/>
      <c r="N60" s="253" t="s">
        <v>138</v>
      </c>
      <c r="O60" s="242">
        <v>60.0</v>
      </c>
      <c r="P60" s="24"/>
      <c r="Q60" s="24"/>
      <c r="AD60" s="24"/>
      <c r="AE60" s="24"/>
      <c r="AF60" s="24"/>
      <c r="AG60" s="24"/>
      <c r="AH60" s="24"/>
      <c r="AI60" s="24"/>
      <c r="AJ60" s="24"/>
      <c r="AK60" s="24"/>
      <c r="AL60" s="24"/>
    </row>
    <row r="61" spans="8:8" ht="20.15" customHeight="1">
      <c r="B61" s="254" t="str">
        <f>D17</f>
        <v>焰狼</v>
      </c>
      <c r="C61" s="258" t="s">
        <v>109</v>
      </c>
      <c r="D61" s="245">
        <f>MAX(0,INDEX($B$42:$H$50,MATCH(D$57,$B$42:$B$50,0),3)+$G61*10+IF(D$57&lt;&gt;"宝具",$G62)+$G63)</f>
        <v>40.0</v>
      </c>
      <c r="E61" s="245">
        <f>MAX(0,INDEX($B$42:$H$50,MATCH(E$57,$B$42:$B$50,0),3)+$G61*10+IF(E$57&lt;&gt;"宝具",$G62)+$G63)</f>
        <v>10.0</v>
      </c>
      <c r="F61" s="245">
        <f>MAX(0,INDEX($B$42:$H$50,MATCH(F$57,$B$42:$B$50,0),3)+$G61*10+IF(F$57&lt;&gt;"宝具",$G62)+$G63)</f>
        <v>25.0</v>
      </c>
      <c r="G61" s="259"/>
      <c r="H61" s="247"/>
      <c r="I61" s="247"/>
      <c r="J61" s="233"/>
      <c r="K61" s="24"/>
      <c r="L61" s="24"/>
      <c r="M61" s="24"/>
      <c r="N61" s="253" t="s">
        <v>139</v>
      </c>
      <c r="O61" s="242">
        <v>50.0</v>
      </c>
      <c r="P61" s="24"/>
      <c r="Q61" s="24"/>
      <c r="AD61" s="24"/>
      <c r="AE61" s="24"/>
      <c r="AF61" s="24"/>
      <c r="AG61" s="24"/>
      <c r="AH61" s="24"/>
      <c r="AI61" s="24"/>
      <c r="AJ61" s="24"/>
      <c r="AK61" s="24"/>
      <c r="AL61" s="24"/>
    </row>
    <row r="62" spans="8:8" ht="20.15" customHeight="1">
      <c r="B62" s="248" t="s">
        <v>135</v>
      </c>
      <c r="C62" s="260" t="s">
        <v>109</v>
      </c>
      <c r="D62" s="255"/>
      <c r="E62" s="255"/>
      <c r="F62" s="250"/>
      <c r="G62" s="261"/>
      <c r="H62" s="252"/>
      <c r="I62" s="252"/>
      <c r="J62" s="233"/>
      <c r="K62" s="24"/>
      <c r="L62" s="24"/>
      <c r="M62" s="24"/>
      <c r="N62" s="253" t="s">
        <v>140</v>
      </c>
      <c r="O62" s="242">
        <v>50.0</v>
      </c>
      <c r="P62" s="24"/>
      <c r="Q62" s="24"/>
      <c r="AD62" s="24"/>
      <c r="AE62" s="24"/>
      <c r="AF62" s="24"/>
      <c r="AG62" s="24"/>
      <c r="AH62" s="24"/>
      <c r="AI62" s="24"/>
      <c r="AJ62" s="24"/>
      <c r="AK62" s="24"/>
      <c r="AL62" s="24"/>
    </row>
    <row r="63" spans="8:8" ht="20.15" customHeight="1">
      <c r="B63" s="254" t="s">
        <v>137</v>
      </c>
      <c r="C63" s="260" t="s">
        <v>109</v>
      </c>
      <c r="D63" s="255"/>
      <c r="E63" s="255"/>
      <c r="F63" s="250"/>
      <c r="G63" s="262"/>
      <c r="H63" s="257"/>
      <c r="I63" s="257"/>
      <c r="J63" s="233"/>
      <c r="K63" s="24"/>
      <c r="L63" s="24"/>
      <c r="M63" s="24"/>
      <c r="N63" s="253" t="s">
        <v>141</v>
      </c>
      <c r="O63" s="242">
        <v>40.0</v>
      </c>
      <c r="P63" s="24"/>
      <c r="Q63" s="24"/>
      <c r="AD63" s="24"/>
      <c r="AE63" s="24"/>
      <c r="AF63" s="24"/>
      <c r="AG63" s="24"/>
      <c r="AH63" s="24"/>
      <c r="AI63" s="24"/>
      <c r="AJ63" s="24"/>
      <c r="AK63" s="24"/>
      <c r="AL63" s="24"/>
      <c r="AM63" s="24"/>
      <c r="AN63" s="24"/>
      <c r="AO63" s="24"/>
    </row>
    <row r="64" spans="8:8" ht="20.15" customHeight="1">
      <c r="B64" s="254" t="str">
        <f>E17</f>
        <v>哈基米嗷</v>
      </c>
      <c r="C64" s="258" t="s">
        <v>109</v>
      </c>
      <c r="D64" s="245">
        <f>MAX(0,INDEX($B$42:$H$50,MATCH(D$57,$B$42:$B$50,0),4)+$G64*10+IF(D$57&lt;&gt;"宝具",$G65)+$G66)</f>
        <v>70.0</v>
      </c>
      <c r="E64" s="245">
        <f>MAX(0,INDEX($B$42:$H$50,MATCH(E$57,$B$42:$B$50,0),4)+$G64*10+IF(E$57&lt;&gt;"宝具",$G65)+$G66)</f>
        <v>70.0</v>
      </c>
      <c r="F64" s="245">
        <f>MAX(0,INDEX($B$42:$H$50,MATCH(F$57,$B$42:$B$50,0),4)+$G64*10+IF(F$57&lt;&gt;"宝具",$G65)+$G66)</f>
        <v>65.0</v>
      </c>
      <c r="G64" s="259"/>
      <c r="H64" s="247"/>
      <c r="I64" s="247"/>
      <c r="J64" s="233"/>
      <c r="K64" s="24"/>
      <c r="L64" s="24"/>
      <c r="M64" s="24"/>
      <c r="N64" s="253" t="s">
        <v>142</v>
      </c>
      <c r="O64" s="242">
        <v>30.0</v>
      </c>
      <c r="P64" s="24"/>
      <c r="Q64" s="24"/>
      <c r="AD64" s="24"/>
      <c r="AE64" s="24"/>
      <c r="AF64" s="24"/>
      <c r="AG64" s="24"/>
      <c r="AH64" s="24"/>
      <c r="AI64" s="24"/>
      <c r="AJ64" s="24"/>
      <c r="AK64" s="24"/>
      <c r="AL64" s="24"/>
      <c r="AM64" s="24"/>
      <c r="AN64" s="24"/>
      <c r="AO64" s="24"/>
    </row>
    <row r="65" spans="8:8" ht="20.15" customHeight="1">
      <c r="B65" s="248" t="s">
        <v>135</v>
      </c>
      <c r="C65" s="260" t="s">
        <v>109</v>
      </c>
      <c r="D65" s="255"/>
      <c r="E65" s="255"/>
      <c r="F65" s="250"/>
      <c r="G65" s="261"/>
      <c r="H65" s="252"/>
      <c r="I65" s="252"/>
      <c r="J65" s="233"/>
      <c r="K65" s="24"/>
      <c r="L65" s="24"/>
      <c r="M65" s="24"/>
      <c r="N65" s="253" t="s">
        <v>143</v>
      </c>
      <c r="O65" s="242">
        <v>20.0</v>
      </c>
      <c r="P65" s="24"/>
      <c r="Q65" s="24"/>
      <c r="AD65" s="24"/>
      <c r="AE65" s="24"/>
      <c r="AF65" s="24"/>
      <c r="AG65" s="24"/>
      <c r="AH65" s="24"/>
      <c r="AI65" s="24"/>
      <c r="AJ65" s="24"/>
      <c r="AK65" s="24"/>
      <c r="AL65" s="24"/>
      <c r="AM65" s="24"/>
      <c r="AN65" s="24"/>
      <c r="AO65" s="24"/>
    </row>
    <row r="66" spans="8:8" ht="20.15" customHeight="1">
      <c r="B66" s="254" t="s">
        <v>137</v>
      </c>
      <c r="C66" s="260" t="s">
        <v>109</v>
      </c>
      <c r="D66" s="255"/>
      <c r="E66" s="255"/>
      <c r="F66" s="250"/>
      <c r="G66" s="262"/>
      <c r="H66" s="257"/>
      <c r="I66" s="257"/>
      <c r="J66" s="233"/>
      <c r="K66" s="24"/>
      <c r="L66" s="24"/>
      <c r="M66" s="24"/>
      <c r="N66" s="263" t="s">
        <v>144</v>
      </c>
      <c r="O66" s="115">
        <v>10.0</v>
      </c>
      <c r="P66" s="24"/>
      <c r="Q66" s="24"/>
      <c r="AD66" s="24"/>
      <c r="AE66" s="24"/>
      <c r="AF66" s="24"/>
      <c r="AG66" s="24"/>
      <c r="AH66" s="24"/>
      <c r="AI66" s="24"/>
      <c r="AJ66" s="24"/>
      <c r="AK66" s="24"/>
      <c r="AL66" s="24"/>
      <c r="AM66" s="24"/>
      <c r="AN66" s="24"/>
      <c r="AO66" s="24"/>
    </row>
    <row r="67" spans="8:8" ht="20.15" customHeight="1">
      <c r="B67" s="254" t="str">
        <f>F17</f>
        <v>无</v>
      </c>
      <c r="C67" s="258" t="s">
        <v>109</v>
      </c>
      <c r="D67" s="245">
        <f>INDEX($B$42:$H$50,MATCH(D$57,$B$42:$B$50,0),5)+$G67*10+IF(D$57&lt;&gt;"宝具",$G68)+$G69</f>
        <v>0.0</v>
      </c>
      <c r="E67" s="245">
        <f>INDEX($B$42:$H$50,MATCH(E$57,$B$42:$B$50,0),5)+$G67*10+IF(E$57&lt;&gt;"宝具",$G68)+$G69</f>
        <v>0.0</v>
      </c>
      <c r="F67" s="245">
        <f>INDEX($B$42:$H$50,MATCH(F$57,$B$42:$B$50,0),5)+$G67*10+IF(F$57&lt;&gt;"宝具",$G68)+$G69</f>
        <v>0.0</v>
      </c>
      <c r="G67" s="259"/>
      <c r="H67" s="247"/>
      <c r="I67" s="247"/>
      <c r="J67" s="22"/>
      <c r="K67" s="24"/>
      <c r="L67" s="24"/>
      <c r="M67" s="24"/>
      <c r="N67" s="24"/>
      <c r="O67" s="24"/>
      <c r="P67" s="24"/>
      <c r="Q67" s="24"/>
      <c r="AD67" s="24"/>
      <c r="AE67" s="24"/>
      <c r="AF67" s="24"/>
      <c r="AG67" s="24"/>
      <c r="AH67" s="24"/>
      <c r="AI67" s="24"/>
      <c r="AJ67" s="24"/>
      <c r="AK67" s="24"/>
      <c r="AL67" s="24"/>
      <c r="AM67" s="24"/>
      <c r="AN67" s="24"/>
      <c r="AO67" s="24"/>
    </row>
    <row r="68" spans="8:8" ht="20.15" customHeight="1">
      <c r="B68" s="248" t="s">
        <v>135</v>
      </c>
      <c r="C68" s="260" t="s">
        <v>109</v>
      </c>
      <c r="D68" s="255"/>
      <c r="E68" s="255"/>
      <c r="F68" s="250"/>
      <c r="G68" s="261"/>
      <c r="H68" s="252"/>
      <c r="I68" s="252"/>
      <c r="J68" s="22"/>
      <c r="K68" s="24"/>
      <c r="L68" s="24"/>
      <c r="M68" s="24"/>
      <c r="N68" s="24"/>
      <c r="O68" s="24"/>
      <c r="P68" s="24"/>
      <c r="Q68" s="24"/>
      <c r="AD68" s="24"/>
      <c r="AE68" s="24"/>
      <c r="AF68" s="24"/>
      <c r="AG68" s="24"/>
      <c r="AH68" s="24"/>
      <c r="AI68" s="24"/>
      <c r="AJ68" s="24"/>
      <c r="AK68" s="24"/>
      <c r="AL68" s="24"/>
      <c r="AM68" s="24"/>
      <c r="AN68" s="24"/>
      <c r="AO68" s="24"/>
    </row>
    <row r="69" spans="8:8" ht="20.15" customHeight="1">
      <c r="B69" s="254" t="s">
        <v>137</v>
      </c>
      <c r="C69" s="260" t="s">
        <v>109</v>
      </c>
      <c r="D69" s="255"/>
      <c r="E69" s="255"/>
      <c r="F69" s="250"/>
      <c r="G69" s="262"/>
      <c r="H69" s="257"/>
      <c r="I69" s="257"/>
      <c r="J69" s="22"/>
      <c r="K69" s="24"/>
      <c r="L69" s="24"/>
      <c r="M69" s="24"/>
      <c r="N69" s="24"/>
      <c r="O69" s="24"/>
      <c r="P69" s="24"/>
      <c r="Q69" s="24"/>
      <c r="AD69" s="24"/>
      <c r="AE69" s="24"/>
      <c r="AF69" s="24"/>
      <c r="AG69" s="24"/>
      <c r="AH69" s="24"/>
      <c r="AI69" s="24"/>
      <c r="AJ69" s="24"/>
      <c r="AK69" s="24"/>
      <c r="AL69" s="24"/>
      <c r="AM69" s="24"/>
      <c r="AN69" s="24"/>
      <c r="AO69" s="24"/>
    </row>
    <row r="70" spans="8:8" ht="20.15" customHeight="1">
      <c r="B70" s="254" t="str">
        <f>G17</f>
        <v>无</v>
      </c>
      <c r="C70" s="258" t="s">
        <v>109</v>
      </c>
      <c r="D70" s="245">
        <f>INDEX($B$42:$H$50,MATCH(D$57,$B$42:$B$50,0),6)+$G70*10+IF(D$57&lt;&gt;"宝具",$G71)+$G72</f>
        <v>0.0</v>
      </c>
      <c r="E70" s="245">
        <f>INDEX($B$42:$H$50,MATCH(E$57,$B$42:$B$50,0),6)+$G70*10+IF(E$57&lt;&gt;"宝具",$G71)+$G72</f>
        <v>0.0</v>
      </c>
      <c r="F70" s="245">
        <f>INDEX($B$42:$H$50,MATCH(F$57,$B$42:$B$50,0),6)+$G70*10+IF(F$57&lt;&gt;"宝具",$G71)+$G72</f>
        <v>0.0</v>
      </c>
      <c r="G70" s="259"/>
      <c r="H70" s="247"/>
      <c r="I70" s="247"/>
      <c r="J70" s="22"/>
      <c r="K70" s="24"/>
      <c r="L70" s="24"/>
      <c r="M70" s="24"/>
      <c r="N70" s="24"/>
      <c r="O70" s="24"/>
      <c r="P70" s="24"/>
      <c r="Q70" s="24"/>
      <c r="AD70" s="24"/>
      <c r="AE70" s="24"/>
      <c r="AF70" s="24"/>
      <c r="AG70" s="24"/>
      <c r="AH70" s="24"/>
      <c r="AI70" s="24"/>
      <c r="AJ70" s="24"/>
      <c r="AK70" s="24"/>
      <c r="AL70" s="24"/>
      <c r="AM70" s="24"/>
      <c r="AN70" s="24"/>
      <c r="AO70" s="24"/>
    </row>
    <row r="71" spans="8:8" ht="20.15" customHeight="1">
      <c r="B71" s="248" t="s">
        <v>135</v>
      </c>
      <c r="C71" s="260" t="s">
        <v>109</v>
      </c>
      <c r="D71" s="255"/>
      <c r="E71" s="255"/>
      <c r="F71" s="250"/>
      <c r="G71" s="261"/>
      <c r="H71" s="252"/>
      <c r="I71" s="252"/>
      <c r="J71" s="22"/>
      <c r="K71" s="24"/>
      <c r="L71" s="24"/>
      <c r="M71" s="24"/>
      <c r="N71" s="24"/>
      <c r="O71" s="24"/>
      <c r="P71" s="24"/>
      <c r="Q71" s="24"/>
      <c r="AD71" s="24"/>
      <c r="AE71" s="24"/>
      <c r="AF71" s="24"/>
      <c r="AG71" s="24"/>
      <c r="AH71" s="24"/>
      <c r="AI71" s="24"/>
      <c r="AJ71" s="24"/>
      <c r="AK71" s="24"/>
      <c r="AL71" s="24"/>
      <c r="AM71" s="24"/>
      <c r="AN71" s="24"/>
      <c r="AO71" s="24"/>
    </row>
    <row r="72" spans="8:8" ht="20.15" customHeight="1">
      <c r="B72" s="264" t="s">
        <v>137</v>
      </c>
      <c r="C72" s="265" t="s">
        <v>109</v>
      </c>
      <c r="D72" s="266"/>
      <c r="E72" s="266"/>
      <c r="F72" s="267"/>
      <c r="G72" s="268"/>
      <c r="H72" s="269"/>
      <c r="I72" s="269"/>
      <c r="J72" s="22"/>
      <c r="K72" s="24"/>
      <c r="L72" s="24"/>
      <c r="M72" s="24"/>
      <c r="N72" s="24"/>
      <c r="O72" s="24"/>
      <c r="P72" s="24"/>
      <c r="Q72" s="24"/>
      <c r="AD72" s="24"/>
      <c r="AE72" s="24"/>
      <c r="AF72" s="24"/>
      <c r="AG72" s="24"/>
      <c r="AH72" s="24"/>
      <c r="AI72" s="24"/>
      <c r="AJ72" s="24"/>
      <c r="AK72" s="24"/>
      <c r="AL72" s="24"/>
      <c r="AM72" s="24"/>
      <c r="AN72" s="24"/>
      <c r="AO72" s="24"/>
    </row>
    <row r="73" spans="8:8" ht="20.15" customHeight="1">
      <c r="B73" s="270" t="s">
        <v>145</v>
      </c>
      <c r="C73" s="271" t="s">
        <v>47</v>
      </c>
      <c r="D73" s="271" t="s">
        <v>146</v>
      </c>
      <c r="E73" s="271" t="s">
        <v>147</v>
      </c>
      <c r="F73" s="272" t="s">
        <v>148</v>
      </c>
      <c r="G73" s="273" t="s">
        <v>149</v>
      </c>
      <c r="H73" s="274" t="s">
        <v>127</v>
      </c>
      <c r="I73" s="274" t="s">
        <v>128</v>
      </c>
      <c r="J73" s="22"/>
      <c r="K73" s="22"/>
      <c r="L73" s="24"/>
      <c r="M73" s="24"/>
      <c r="N73" s="24"/>
      <c r="O73" s="24"/>
      <c r="P73" s="24"/>
      <c r="Q73" s="24"/>
      <c r="AD73" s="24"/>
      <c r="AE73" s="24"/>
      <c r="AF73" s="24"/>
      <c r="AG73" s="24"/>
      <c r="AH73" s="24"/>
      <c r="AI73" s="24"/>
      <c r="AJ73" s="24"/>
      <c r="AK73" s="24"/>
      <c r="AL73" s="24"/>
      <c r="AM73" s="24"/>
      <c r="AN73" s="24"/>
      <c r="AO73" s="24"/>
    </row>
    <row r="74" spans="8:8" ht="20.15" customHeight="1">
      <c r="B74" s="275" t="str">
        <f>I17</f>
        <v>机甲少女</v>
      </c>
      <c r="C74" s="276">
        <f>I44+C75+C76</f>
        <v>45.0</v>
      </c>
      <c r="D74" s="276">
        <f>MAX(0,INDEX($B$42:$N$50,MATCH(D$57,$B$42:$B$50,0),8)+$G74*10+IF(D$57&lt;&gt;"宝具",$G75)+$G76)</f>
        <v>70.0</v>
      </c>
      <c r="E74" s="276">
        <f>MAX(0,INDEX($B$42:$N$50,MATCH(E$57,$B$42:$B$50,0),8)+$G74*10+IF(E$57&lt;&gt;"宝具",$G75)+$G76)</f>
        <v>70.0</v>
      </c>
      <c r="F74" s="276">
        <f>MAX(0,INDEX($B$42:$N$50,MATCH(F$57,$B$42:$B$50,0),8)+$G74*10+IF(F$57&lt;&gt;"宝具",$G75)+$G76)</f>
        <v>70.0</v>
      </c>
      <c r="G74" s="277"/>
      <c r="H74" s="278"/>
      <c r="I74" s="278"/>
      <c r="J74" s="22"/>
      <c r="K74" s="24"/>
      <c r="L74" s="24"/>
      <c r="M74" s="24"/>
      <c r="N74" s="24"/>
      <c r="O74" s="24"/>
      <c r="P74" s="24"/>
      <c r="Q74" s="24"/>
      <c r="AD74" s="24"/>
      <c r="AE74" s="24"/>
      <c r="AF74" s="24"/>
      <c r="AG74" s="24"/>
      <c r="AH74" s="24"/>
      <c r="AI74" s="24"/>
      <c r="AJ74" s="24"/>
      <c r="AK74" s="24"/>
      <c r="AL74" s="24"/>
      <c r="AM74" s="24"/>
      <c r="AN74" s="24"/>
      <c r="AO74" s="24"/>
    </row>
    <row r="75" spans="8:8" ht="20.15" customHeight="1">
      <c r="B75" s="279" t="s">
        <v>135</v>
      </c>
      <c r="C75" s="280"/>
      <c r="D75" s="250"/>
      <c r="E75" s="250"/>
      <c r="F75" s="250"/>
      <c r="G75" s="281"/>
      <c r="H75" s="282"/>
      <c r="I75" s="282"/>
      <c r="J75" s="22"/>
      <c r="K75" s="24"/>
      <c r="L75" s="24"/>
      <c r="M75" s="24"/>
      <c r="N75" s="24"/>
      <c r="O75" s="24"/>
      <c r="P75" s="24"/>
      <c r="Q75" s="24"/>
      <c r="AD75" s="24"/>
      <c r="AE75" s="24"/>
      <c r="AF75" s="24"/>
      <c r="AG75" s="24"/>
      <c r="AH75" s="24"/>
      <c r="AI75" s="24"/>
      <c r="AJ75" s="24"/>
      <c r="AK75" s="24"/>
      <c r="AL75" s="24"/>
      <c r="AM75" s="24"/>
      <c r="AN75" s="24"/>
      <c r="AO75" s="24"/>
    </row>
    <row r="76" spans="8:8" ht="20.15" customHeight="1">
      <c r="B76" s="283" t="s">
        <v>137</v>
      </c>
      <c r="C76" s="280"/>
      <c r="D76" s="250"/>
      <c r="E76" s="250"/>
      <c r="F76" s="250"/>
      <c r="G76" s="262"/>
      <c r="H76" s="284"/>
      <c r="I76" s="284"/>
      <c r="J76" s="22"/>
      <c r="K76" s="24"/>
      <c r="L76" s="24"/>
      <c r="M76" s="24"/>
      <c r="N76" s="24"/>
      <c r="O76" s="24"/>
      <c r="P76" s="24"/>
      <c r="Q76" s="24"/>
      <c r="AD76" s="24"/>
      <c r="AE76" s="24"/>
      <c r="AF76" s="24"/>
      <c r="AG76" s="24"/>
      <c r="AH76" s="24"/>
      <c r="AI76" s="24"/>
      <c r="AJ76" s="24"/>
      <c r="AK76" s="24"/>
      <c r="AL76" s="24"/>
      <c r="AM76" s="24"/>
      <c r="AN76" s="24"/>
      <c r="AO76" s="24"/>
    </row>
    <row r="77" spans="8:8" ht="20.15" customHeight="1">
      <c r="B77" s="283" t="str">
        <f>J17</f>
        <v>无</v>
      </c>
      <c r="C77" s="285" t="s">
        <v>109</v>
      </c>
      <c r="D77" s="286">
        <f>INDEX($B$42:$N$50,MATCH(D$57,$B$42:$B$50,0),9)+$G77*10+IF(D$57&lt;&gt;"宝具",$G78)+$G79</f>
        <v>0.0</v>
      </c>
      <c r="E77" s="286">
        <f>INDEX($B$42:$N$50,MATCH(E$57,$B$42:$B$50,0),9)+$G77*10+IF(E$57&lt;&gt;"宝具",$G78)+$G79</f>
        <v>0.0</v>
      </c>
      <c r="F77" s="286">
        <f>INDEX($B$42:$N$50,MATCH(F$57,$B$42:$B$50,0),9)+$G77*10+IF(F$57&lt;&gt;"宝具",$G78)+$G79</f>
        <v>0.0</v>
      </c>
      <c r="G77" s="287"/>
      <c r="H77" s="288"/>
      <c r="I77" s="288"/>
      <c r="J77" s="22"/>
      <c r="K77" s="24"/>
      <c r="L77" s="24"/>
      <c r="M77" s="22"/>
      <c r="N77" s="24"/>
      <c r="O77" s="24"/>
      <c r="P77" s="24"/>
      <c r="Q77" s="24"/>
      <c r="AD77" s="24"/>
      <c r="AE77" s="24"/>
      <c r="AF77" s="24"/>
      <c r="AG77" s="24"/>
      <c r="AH77" s="24"/>
      <c r="AI77" s="24"/>
      <c r="AJ77" s="24"/>
      <c r="AK77" s="24"/>
      <c r="AL77" s="24"/>
      <c r="AM77" s="24"/>
      <c r="AN77" s="24"/>
      <c r="AO77" s="24"/>
    </row>
    <row r="78" spans="8:8" ht="20.15" customHeight="1">
      <c r="B78" s="279" t="s">
        <v>135</v>
      </c>
      <c r="C78" s="289" t="s">
        <v>109</v>
      </c>
      <c r="D78" s="255"/>
      <c r="E78" s="255"/>
      <c r="F78" s="250"/>
      <c r="G78" s="281"/>
      <c r="H78" s="282"/>
      <c r="I78" s="282"/>
      <c r="J78" s="290"/>
      <c r="K78" s="24"/>
      <c r="L78" s="24"/>
      <c r="M78" s="22"/>
      <c r="N78" s="24"/>
      <c r="O78" s="24"/>
      <c r="P78" s="24"/>
      <c r="Q78" s="24"/>
      <c r="AD78" s="24"/>
      <c r="AE78" s="24"/>
      <c r="AF78" s="24"/>
      <c r="AG78" s="24"/>
      <c r="AH78" s="24"/>
      <c r="AI78" s="24"/>
      <c r="AJ78" s="24"/>
      <c r="AK78" s="24"/>
      <c r="AL78" s="24"/>
      <c r="AM78" s="24"/>
      <c r="AN78" s="24"/>
      <c r="AO78" s="24"/>
    </row>
    <row r="79" spans="8:8" ht="20.15" customHeight="1">
      <c r="B79" s="283" t="s">
        <v>137</v>
      </c>
      <c r="C79" s="289" t="s">
        <v>109</v>
      </c>
      <c r="D79" s="255"/>
      <c r="E79" s="255"/>
      <c r="F79" s="250"/>
      <c r="G79" s="262"/>
      <c r="H79" s="284"/>
      <c r="I79" s="284"/>
      <c r="J79" s="290"/>
      <c r="K79" s="24"/>
      <c r="L79" s="24"/>
      <c r="M79" s="22"/>
      <c r="N79" s="24"/>
      <c r="O79" s="24"/>
      <c r="P79" s="24"/>
      <c r="Q79" s="24"/>
      <c r="AD79" s="24"/>
      <c r="AE79" s="24"/>
      <c r="AF79" s="24"/>
      <c r="AG79" s="24"/>
      <c r="AH79" s="24"/>
      <c r="AI79" s="24"/>
      <c r="AJ79" s="24"/>
      <c r="AK79" s="24"/>
      <c r="AL79" s="24"/>
      <c r="AM79" s="24"/>
      <c r="AN79" s="24"/>
      <c r="AO79" s="24"/>
    </row>
    <row r="80" spans="8:8" ht="20.15" customHeight="1">
      <c r="B80" s="283" t="str">
        <f>K17</f>
        <v>无</v>
      </c>
      <c r="C80" s="285" t="s">
        <v>109</v>
      </c>
      <c r="D80" s="286">
        <f>MAX(0,INDEX($B$42:$N$50,MATCH(D$57,$B$42:$B$50,0),10)+$G80*10+IF(D$57&lt;&gt;"宝具",$G81)+$G82)</f>
        <v>0.0</v>
      </c>
      <c r="E80" s="286">
        <f>MAX(0,INDEX($B$42:$N$50,MATCH(E$57,$B$42:$B$50,0),10)+$G80*10+IF(E$57&lt;&gt;"宝具",$G81)+$G82)</f>
        <v>0.0</v>
      </c>
      <c r="F80" s="286">
        <f>MAX(0,INDEX($B$42:$N$50,MATCH(F$57,$B$42:$B$50,0),10)+$G80*10+IF(F$57&lt;&gt;"宝具",$G81)+$G82)</f>
        <v>0.0</v>
      </c>
      <c r="G80" s="287"/>
      <c r="H80" s="288"/>
      <c r="I80" s="288"/>
      <c r="J80" s="22"/>
      <c r="K80" s="24"/>
      <c r="L80" s="24"/>
      <c r="M80" s="24"/>
      <c r="N80" s="24"/>
      <c r="O80" s="24"/>
      <c r="P80" s="24"/>
      <c r="Q80" s="24"/>
      <c r="AD80" s="24"/>
      <c r="AE80" s="24"/>
      <c r="AF80" s="24"/>
      <c r="AG80" s="24"/>
      <c r="AH80" s="24"/>
      <c r="AI80" s="24"/>
      <c r="AJ80" s="24"/>
      <c r="AK80" s="24"/>
      <c r="AL80" s="24"/>
      <c r="AM80" s="24"/>
      <c r="AN80" s="24"/>
      <c r="AO80" s="24"/>
    </row>
    <row r="81" spans="8:8" ht="20.15" customHeight="1">
      <c r="B81" s="279" t="s">
        <v>135</v>
      </c>
      <c r="C81" s="289" t="s">
        <v>109</v>
      </c>
      <c r="D81" s="255"/>
      <c r="E81" s="255"/>
      <c r="F81" s="250"/>
      <c r="G81" s="281"/>
      <c r="H81" s="282"/>
      <c r="I81" s="282"/>
      <c r="J81" s="22"/>
      <c r="K81" s="24"/>
      <c r="L81" s="24"/>
      <c r="M81" s="22"/>
      <c r="N81" s="24"/>
      <c r="O81" s="24"/>
      <c r="P81" s="24"/>
      <c r="Q81" s="24"/>
      <c r="AD81" s="24"/>
      <c r="AE81" s="24"/>
      <c r="AF81" s="24"/>
      <c r="AG81" s="24"/>
      <c r="AH81" s="24"/>
      <c r="AI81" s="24"/>
      <c r="AJ81" s="24"/>
      <c r="AK81" s="24"/>
      <c r="AL81" s="24"/>
      <c r="AM81" s="24"/>
      <c r="AN81" s="24"/>
      <c r="AO81" s="24"/>
    </row>
    <row r="82" spans="8:8" ht="20.15" customHeight="1">
      <c r="B82" s="283" t="s">
        <v>137</v>
      </c>
      <c r="C82" s="289" t="s">
        <v>109</v>
      </c>
      <c r="D82" s="255"/>
      <c r="E82" s="255"/>
      <c r="F82" s="250"/>
      <c r="G82" s="262"/>
      <c r="H82" s="284"/>
      <c r="I82" s="284"/>
      <c r="J82" s="22"/>
      <c r="K82" s="24"/>
      <c r="L82" s="24"/>
      <c r="M82" s="22"/>
      <c r="N82" s="24"/>
      <c r="O82" s="24"/>
      <c r="P82" s="24"/>
      <c r="Q82" s="24"/>
      <c r="AD82" s="24"/>
      <c r="AE82" s="24"/>
      <c r="AF82" s="24"/>
      <c r="AG82" s="24"/>
      <c r="AH82" s="24"/>
      <c r="AI82" s="24"/>
      <c r="AJ82" s="24"/>
      <c r="AK82" s="24"/>
      <c r="AL82" s="24"/>
      <c r="AM82" s="24"/>
      <c r="AN82" s="24"/>
      <c r="AO82" s="24"/>
    </row>
    <row r="83" spans="8:8" ht="20.15" customHeight="1">
      <c r="B83" s="283" t="str">
        <f>L17</f>
        <v>无</v>
      </c>
      <c r="C83" s="285" t="s">
        <v>109</v>
      </c>
      <c r="D83" s="286">
        <f>INDEX($B$42:$N$50,MATCH(D$57,$B$42:$B$50,0),11)+$G83*10+IF(D$57&lt;&gt;"宝具",$G84)+$G85</f>
        <v>0.0</v>
      </c>
      <c r="E83" s="286">
        <f>INDEX($B$42:$N$50,MATCH(E$57,$B$42:$B$50,0),11)+$G83*10+IF(E$57&lt;&gt;"宝具",$G84)+$G85</f>
        <v>0.0</v>
      </c>
      <c r="F83" s="286">
        <f>INDEX($B$42:$N$50,MATCH(F$57,$B$42:$B$50,0),11)+$G83*10+IF(F$57&lt;&gt;"宝具",$G84)+$G85</f>
        <v>0.0</v>
      </c>
      <c r="G83" s="287"/>
      <c r="H83" s="288"/>
      <c r="I83" s="288"/>
      <c r="J83" s="22"/>
      <c r="K83" s="24"/>
      <c r="L83" s="24"/>
      <c r="M83" s="22"/>
      <c r="N83" s="24"/>
      <c r="O83" s="24"/>
      <c r="P83" s="24"/>
      <c r="Q83" s="24"/>
      <c r="R83" s="291"/>
      <c r="S83" s="2"/>
      <c r="T83" s="2"/>
      <c r="U83" s="24"/>
      <c r="V83" s="24"/>
      <c r="W83" s="24"/>
      <c r="X83" s="24"/>
      <c r="Y83" s="24"/>
      <c r="Z83" s="24"/>
      <c r="AA83" s="24"/>
      <c r="AB83" s="24"/>
      <c r="AC83" s="24"/>
      <c r="AD83" s="24"/>
      <c r="AE83" s="24"/>
      <c r="AF83" s="24"/>
      <c r="AG83" s="24"/>
      <c r="AH83" s="24"/>
      <c r="AI83" s="24"/>
      <c r="AJ83" s="24"/>
      <c r="AK83" s="24"/>
      <c r="AL83" s="24"/>
      <c r="AM83" s="24"/>
      <c r="AN83" s="24"/>
      <c r="AO83" s="24"/>
    </row>
    <row r="84" spans="8:8" ht="20.15" customHeight="1">
      <c r="B84" s="279" t="s">
        <v>135</v>
      </c>
      <c r="C84" s="289" t="s">
        <v>109</v>
      </c>
      <c r="D84" s="255"/>
      <c r="E84" s="255"/>
      <c r="F84" s="250"/>
      <c r="G84" s="281"/>
      <c r="H84" s="282"/>
      <c r="I84" s="282"/>
      <c r="J84" s="22"/>
      <c r="K84" s="24"/>
      <c r="L84" s="24"/>
      <c r="M84" s="22"/>
      <c r="N84" s="24"/>
      <c r="O84" s="24"/>
      <c r="P84" s="24"/>
      <c r="Q84" s="24"/>
      <c r="R84" s="291"/>
      <c r="S84" s="2"/>
      <c r="T84" s="2"/>
      <c r="U84" s="24"/>
      <c r="V84" s="24"/>
      <c r="W84" s="24"/>
      <c r="X84" s="24"/>
      <c r="Y84" s="24"/>
      <c r="Z84" s="24"/>
      <c r="AA84" s="24"/>
      <c r="AB84" s="24"/>
      <c r="AC84" s="24"/>
      <c r="AD84" s="24"/>
      <c r="AE84" s="24"/>
      <c r="AF84" s="24"/>
      <c r="AG84" s="24"/>
      <c r="AH84" s="24"/>
      <c r="AI84" s="24"/>
      <c r="AJ84" s="24"/>
      <c r="AK84" s="24"/>
      <c r="AL84" s="24"/>
      <c r="AM84" s="24"/>
      <c r="AN84" s="24"/>
      <c r="AO84" s="24"/>
    </row>
    <row r="85" spans="8:8" ht="20.15" customHeight="1">
      <c r="B85" s="283" t="s">
        <v>137</v>
      </c>
      <c r="C85" s="289" t="s">
        <v>109</v>
      </c>
      <c r="D85" s="255"/>
      <c r="E85" s="255"/>
      <c r="F85" s="250"/>
      <c r="G85" s="262"/>
      <c r="H85" s="284"/>
      <c r="I85" s="284"/>
      <c r="J85" s="22"/>
      <c r="K85" s="24"/>
      <c r="L85" s="24"/>
      <c r="M85" s="22"/>
      <c r="N85" s="24"/>
      <c r="O85" s="24"/>
      <c r="P85" s="24"/>
      <c r="Q85" s="24"/>
      <c r="R85" s="291"/>
      <c r="S85" s="2"/>
      <c r="T85" s="2"/>
      <c r="U85" s="24"/>
      <c r="V85" s="24"/>
      <c r="W85" s="24"/>
      <c r="X85" s="24"/>
      <c r="Y85" s="24"/>
      <c r="Z85" s="24"/>
      <c r="AA85" s="24"/>
      <c r="AB85" s="24"/>
      <c r="AC85" s="24"/>
      <c r="AD85" s="24"/>
      <c r="AE85" s="24"/>
      <c r="AF85" s="24"/>
      <c r="AG85" s="24"/>
      <c r="AH85" s="24"/>
      <c r="AI85" s="24"/>
      <c r="AJ85" s="24"/>
      <c r="AK85" s="24"/>
      <c r="AL85" s="24"/>
      <c r="AM85" s="24"/>
      <c r="AN85" s="24"/>
      <c r="AO85" s="24"/>
    </row>
    <row r="86" spans="8:8" ht="20.15" customHeight="1">
      <c r="B86" s="283" t="str">
        <f>M17</f>
        <v>无</v>
      </c>
      <c r="C86" s="285" t="s">
        <v>109</v>
      </c>
      <c r="D86" s="286">
        <f>INDEX($B$42:$N$50,MATCH(D$57,$B$42:$B$50,0),12)+$G86*10+IF(D$57&lt;&gt;"宝具",$G87)+$G88</f>
        <v>0.0</v>
      </c>
      <c r="E86" s="286">
        <f>INDEX($B$42:$N$50,MATCH(E$57,$B$42:$B$50,0),12)+$G86*10+IF(E$57&lt;&gt;"宝具",$G87)+$G88</f>
        <v>0.0</v>
      </c>
      <c r="F86" s="286">
        <f>INDEX($B$42:$N$50,MATCH(F$57,$B$42:$B$50,0),12)+$G86*10+IF(F$57&lt;&gt;"宝具",$G87)+$G88</f>
        <v>0.0</v>
      </c>
      <c r="G86" s="287"/>
      <c r="H86" s="288"/>
      <c r="I86" s="288"/>
      <c r="J86" s="22"/>
      <c r="K86" s="24"/>
      <c r="L86" s="24"/>
      <c r="M86" s="292"/>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row>
    <row r="87" spans="8:8" ht="20.15" customHeight="1">
      <c r="B87" s="279" t="s">
        <v>135</v>
      </c>
      <c r="C87" s="289" t="s">
        <v>109</v>
      </c>
      <c r="D87" s="255"/>
      <c r="E87" s="255"/>
      <c r="F87" s="250"/>
      <c r="G87" s="281"/>
      <c r="H87" s="282"/>
      <c r="I87" s="282"/>
      <c r="J87" s="22"/>
      <c r="K87" s="292"/>
      <c r="L87" s="292"/>
      <c r="M87" s="292"/>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row>
    <row r="88" spans="8:8" ht="20.15" customHeight="1">
      <c r="B88" s="293" t="s">
        <v>137</v>
      </c>
      <c r="C88" s="294" t="s">
        <v>109</v>
      </c>
      <c r="D88" s="266"/>
      <c r="E88" s="266"/>
      <c r="F88" s="267"/>
      <c r="G88" s="268"/>
      <c r="H88" s="282"/>
      <c r="I88" s="282"/>
      <c r="J88" s="22"/>
      <c r="K88" s="292"/>
      <c r="L88" s="292"/>
      <c r="M88" s="292"/>
      <c r="N88" s="24"/>
      <c r="O88" s="24"/>
      <c r="V88" s="24"/>
      <c r="W88" s="24"/>
      <c r="X88" s="24"/>
      <c r="Y88" s="24"/>
      <c r="Z88" s="24"/>
      <c r="AA88" s="24"/>
      <c r="AB88" s="24"/>
      <c r="AC88" s="24"/>
      <c r="AD88" s="24"/>
      <c r="AE88" s="24"/>
      <c r="AF88" s="24"/>
      <c r="AG88" s="24"/>
      <c r="AH88" s="24"/>
      <c r="AI88" s="24"/>
      <c r="AJ88" s="24"/>
      <c r="AK88" s="24"/>
      <c r="AL88" s="24"/>
      <c r="AM88" s="24"/>
      <c r="AN88" s="24"/>
      <c r="AO88" s="24"/>
    </row>
    <row r="89" spans="8:8" ht="20.15" customHeight="1">
      <c r="B89" s="295" t="s">
        <v>150</v>
      </c>
      <c r="C89" s="296">
        <f>C58-C74</f>
        <v>25.0</v>
      </c>
      <c r="D89" s="296">
        <f t="shared" si="9" ref="D89:F89">MAX(0,SUM(D58:D60))+SUM(MAX(0,SUM(D61:D63))+MAX(0,SUM(D64:D66))+MAX(0,SUM(D67:D69))+MAX(0,SUM(D70:D72)))/2</f>
        <v>95.0</v>
      </c>
      <c r="E89" s="296">
        <f t="shared" si="9"/>
        <v>145.0</v>
      </c>
      <c r="F89" s="296">
        <f t="shared" si="9"/>
        <v>220.0</v>
      </c>
      <c r="G89" s="296">
        <f>SUM(D89:F89)</f>
        <v>460.0</v>
      </c>
      <c r="H89" s="297">
        <f>IF($E$96="辅助胜率正常",SUM(H58:H72),SUM(H58:H60)+SUM(H61:H72)/2)</f>
        <v>0.0</v>
      </c>
      <c r="I89" s="298">
        <f>SUM(I58:I72)</f>
        <v>0.0</v>
      </c>
      <c r="J89" s="22"/>
      <c r="K89" s="299" t="s">
        <v>151</v>
      </c>
      <c r="L89" s="300"/>
      <c r="M89" s="301"/>
      <c r="N89" s="24"/>
      <c r="O89" s="24"/>
      <c r="V89" s="24"/>
      <c r="W89" s="24"/>
      <c r="X89" s="24"/>
      <c r="Y89" s="24"/>
      <c r="Z89" s="24"/>
      <c r="AA89" s="24"/>
      <c r="AB89" s="24"/>
      <c r="AC89" s="24"/>
      <c r="AD89" s="24"/>
      <c r="AE89" s="24"/>
      <c r="AF89" s="24"/>
      <c r="AG89" s="24"/>
      <c r="AH89" s="24"/>
      <c r="AI89" s="24"/>
      <c r="AJ89" s="24"/>
      <c r="AK89" s="24"/>
      <c r="AL89" s="24"/>
      <c r="AM89" s="24"/>
      <c r="AN89" s="24"/>
      <c r="AO89" s="24"/>
    </row>
    <row r="90" spans="8:8" ht="20.15" customHeight="1">
      <c r="B90" s="302" t="s">
        <v>152</v>
      </c>
      <c r="C90" s="303">
        <f>C74-C58</f>
        <v>-25.0</v>
      </c>
      <c r="D90" s="303">
        <f t="shared" si="10" ref="D90:F90">MAX(0,SUM(D74:D76))+SUM(MAX(0,SUM(D77:D79))+MAX(0,SUM(D80:D82))+MAX(0,SUM(D83:D85))+MAX(0,SUM(D86:D88)))/2</f>
        <v>70.0</v>
      </c>
      <c r="E90" s="303">
        <f t="shared" si="10"/>
        <v>70.0</v>
      </c>
      <c r="F90" s="303">
        <f t="shared" si="10"/>
        <v>70.0</v>
      </c>
      <c r="G90" s="303">
        <f>SUM(D90:F90)</f>
        <v>210.0</v>
      </c>
      <c r="H90" s="304">
        <f>IF($E$96="辅助胜率正常",SUM(H74:H88),SUM(H74:H76)+SUM(H77:H88)/2)</f>
        <v>0.0</v>
      </c>
      <c r="I90" s="305">
        <f>SUM(I74:I88)</f>
        <v>0.0</v>
      </c>
      <c r="J90" s="22"/>
      <c r="K90" s="306">
        <f>IF(K91="蓝优",3,IF(K91="平",2,IF(K91="橙优",1,IF(K91="无",IF(D89&gt;D90,3,IF(D89=D90,2,1))))))</f>
        <v>3.0</v>
      </c>
      <c r="L90" s="306">
        <f t="shared" si="11" ref="L90:M90">IF(L91="蓝优",3,IF(L91="平",2,IF(L91="橙优",1,IF(L91="无",IF(E89&gt;E90,3,IF(E89=E90,2,1))))))</f>
        <v>3.0</v>
      </c>
      <c r="M90" s="306">
        <f t="shared" si="11"/>
        <v>3.0</v>
      </c>
      <c r="N90" s="24"/>
      <c r="O90" s="24"/>
      <c r="V90" s="24"/>
      <c r="W90" s="24"/>
      <c r="X90" s="24"/>
      <c r="Y90" s="24"/>
      <c r="Z90" s="24"/>
      <c r="AA90" s="24"/>
      <c r="AB90" s="24"/>
      <c r="AC90" s="24"/>
      <c r="AD90" s="24"/>
      <c r="AE90" s="24"/>
      <c r="AF90" s="24"/>
      <c r="AG90" s="24"/>
      <c r="AH90" s="24"/>
      <c r="AI90" s="24"/>
      <c r="AJ90" s="24"/>
      <c r="AK90" s="24"/>
      <c r="AL90" s="24"/>
      <c r="AM90" s="24"/>
      <c r="AN90" s="24"/>
      <c r="AO90" s="24"/>
    </row>
    <row r="91" spans="8:8" ht="20.15" customHeight="1">
      <c r="B91" s="307" t="s">
        <v>153</v>
      </c>
      <c r="C91" s="308"/>
      <c r="D91" s="309" t="str">
        <f t="shared" si="12" ref="D91:F91">IF(K90=1,"橙色方优",IF(K90=2,"双方平","蓝色方优"))</f>
        <v>蓝色方优</v>
      </c>
      <c r="E91" s="309" t="str">
        <f t="shared" si="12"/>
        <v>蓝色方优</v>
      </c>
      <c r="F91" s="309" t="str">
        <f t="shared" si="12"/>
        <v>蓝色方优</v>
      </c>
      <c r="G91" s="310" t="s">
        <v>154</v>
      </c>
      <c r="H91" s="311" t="s">
        <v>155</v>
      </c>
      <c r="I91" s="312" t="s">
        <v>156</v>
      </c>
      <c r="J91" s="290"/>
      <c r="K91" s="313" t="s">
        <v>84</v>
      </c>
      <c r="L91" s="314" t="s">
        <v>84</v>
      </c>
      <c r="M91" s="315" t="s">
        <v>84</v>
      </c>
      <c r="N91" s="24"/>
      <c r="O91" s="24"/>
      <c r="V91" s="316"/>
      <c r="W91" s="316"/>
      <c r="X91" s="316"/>
      <c r="Y91" s="316"/>
      <c r="Z91" s="316"/>
      <c r="AA91" s="316"/>
      <c r="AB91" s="316"/>
      <c r="AC91" s="24"/>
      <c r="AD91" s="24"/>
      <c r="AE91" s="24"/>
      <c r="AF91" s="24"/>
      <c r="AG91" s="24"/>
      <c r="AH91" s="24"/>
      <c r="AI91" s="24"/>
      <c r="AJ91" s="24"/>
      <c r="AK91" s="24"/>
      <c r="AL91" s="24"/>
      <c r="AM91" s="24"/>
      <c r="AN91" s="24"/>
      <c r="AO91" s="24"/>
    </row>
    <row r="92" spans="8:8" ht="20.15" customHeight="1">
      <c r="B92" s="24"/>
      <c r="C92" s="24"/>
      <c r="D92" s="24"/>
      <c r="E92" s="24"/>
      <c r="F92" s="24"/>
      <c r="G92" s="24"/>
      <c r="H92" s="24"/>
      <c r="I92" s="24"/>
      <c r="J92" s="290"/>
      <c r="K92" s="290"/>
      <c r="L92" s="233"/>
      <c r="M92" s="233"/>
      <c r="N92" s="24"/>
      <c r="O92" s="24"/>
      <c r="P92" s="24"/>
      <c r="Q92" s="316"/>
      <c r="R92" s="316"/>
      <c r="S92" s="316"/>
      <c r="T92" s="316"/>
      <c r="U92" s="316"/>
      <c r="V92" s="316"/>
      <c r="W92" s="316"/>
      <c r="X92" s="316"/>
      <c r="Y92" s="316"/>
      <c r="Z92" s="316"/>
      <c r="AA92" s="316"/>
      <c r="AB92" s="316"/>
      <c r="AC92" s="24"/>
      <c r="AD92" s="24"/>
      <c r="AE92" s="24"/>
      <c r="AF92" s="24"/>
      <c r="AG92" s="24"/>
      <c r="AH92" s="24"/>
      <c r="AI92" s="24"/>
      <c r="AJ92" s="24"/>
      <c r="AK92" s="24"/>
      <c r="AL92" s="24"/>
      <c r="AM92" s="24"/>
      <c r="AN92" s="24"/>
      <c r="AO92" s="24"/>
    </row>
    <row r="93" spans="8:8" ht="20.15" customHeight="1">
      <c r="B93" s="24"/>
      <c r="C93" s="24"/>
      <c r="D93" s="24"/>
      <c r="E93" s="24"/>
      <c r="F93" s="24"/>
      <c r="G93" s="24"/>
      <c r="H93" s="24"/>
      <c r="I93" s="24"/>
      <c r="J93" s="317"/>
      <c r="K93" s="317"/>
      <c r="L93" s="318"/>
      <c r="M93" s="318"/>
      <c r="N93" s="24"/>
      <c r="O93" s="24"/>
      <c r="P93" s="24"/>
      <c r="Q93" s="319"/>
      <c r="R93" s="319"/>
      <c r="S93" s="319"/>
      <c r="T93" s="319"/>
      <c r="U93" s="319"/>
      <c r="V93" s="319"/>
      <c r="W93" s="319"/>
      <c r="X93" s="319"/>
      <c r="Y93" s="319"/>
      <c r="Z93" s="319"/>
      <c r="AA93" s="319"/>
      <c r="AB93" s="319"/>
      <c r="AC93" s="24"/>
      <c r="AD93" s="24"/>
      <c r="AE93" s="24"/>
      <c r="AF93" s="24"/>
      <c r="AG93" s="24"/>
      <c r="AH93" s="24"/>
      <c r="AI93" s="24"/>
      <c r="AJ93" s="24"/>
      <c r="AK93" s="24"/>
      <c r="AL93" s="24"/>
      <c r="AM93" s="24"/>
      <c r="AN93" s="24"/>
      <c r="AO93" s="24"/>
    </row>
    <row r="94" spans="8:8" ht="20.15" customHeight="1">
      <c r="B94" s="320" t="s">
        <v>157</v>
      </c>
      <c r="C94" s="321"/>
      <c r="D94" s="322"/>
      <c r="E94" s="24"/>
      <c r="F94" s="24"/>
      <c r="G94" s="24"/>
      <c r="H94" s="24"/>
      <c r="I94" s="24"/>
      <c r="J94" s="323"/>
      <c r="K94" s="324"/>
      <c r="L94" s="324"/>
      <c r="M94" s="24"/>
      <c r="N94" s="24"/>
      <c r="O94" s="24"/>
      <c r="P94" s="24"/>
      <c r="Q94" s="316"/>
      <c r="R94" s="24"/>
      <c r="S94" s="316"/>
      <c r="T94" s="316"/>
      <c r="U94" s="316"/>
      <c r="V94" s="316"/>
      <c r="W94" s="316"/>
      <c r="X94" s="316"/>
      <c r="Y94" s="316"/>
      <c r="Z94" s="316"/>
      <c r="AA94" s="316"/>
      <c r="AB94" s="316"/>
      <c r="AC94" s="24"/>
      <c r="AD94" s="24"/>
      <c r="AE94" s="24"/>
      <c r="AF94" s="24"/>
      <c r="AG94" s="24"/>
      <c r="AH94" s="24"/>
      <c r="AI94" s="24"/>
      <c r="AJ94" s="24"/>
      <c r="AK94" s="24"/>
      <c r="AL94" s="24"/>
      <c r="AM94" s="24"/>
      <c r="AN94" s="24"/>
      <c r="AO94" s="24"/>
    </row>
    <row r="95" spans="8:8" ht="20.15" customHeight="1">
      <c r="B95" s="325"/>
      <c r="C95" s="326"/>
      <c r="D95" s="327"/>
      <c r="E95" s="324"/>
      <c r="F95" s="324"/>
      <c r="G95" s="324"/>
      <c r="H95" s="323"/>
      <c r="I95" s="323"/>
      <c r="J95" s="323"/>
      <c r="K95" s="323"/>
      <c r="L95" s="323"/>
      <c r="M95" s="24"/>
      <c r="N95" s="24"/>
      <c r="O95" s="24"/>
      <c r="P95" s="24"/>
      <c r="Q95" s="316"/>
      <c r="R95" s="24"/>
      <c r="S95" s="316"/>
      <c r="T95" s="316"/>
      <c r="U95" s="316"/>
      <c r="V95" s="316"/>
      <c r="W95" s="316"/>
      <c r="X95" s="316"/>
      <c r="Y95" s="316"/>
      <c r="Z95" s="316"/>
      <c r="AA95" s="316"/>
      <c r="AB95" s="316"/>
      <c r="AC95" s="24"/>
      <c r="AD95" s="24"/>
      <c r="AE95" s="24"/>
      <c r="AF95" s="24"/>
      <c r="AG95" s="24"/>
      <c r="AH95" s="24"/>
      <c r="AI95" s="24"/>
      <c r="AJ95" s="24"/>
      <c r="AK95" s="24"/>
      <c r="AL95" s="24"/>
      <c r="AM95" s="24"/>
      <c r="AN95" s="24"/>
      <c r="AO95" s="24"/>
    </row>
    <row r="96" spans="8:8" ht="20.15" customHeight="1">
      <c r="B96" s="328" t="s">
        <v>109</v>
      </c>
      <c r="C96" s="329" t="s">
        <v>158</v>
      </c>
      <c r="D96" s="329"/>
      <c r="E96" s="330" t="s">
        <v>159</v>
      </c>
      <c r="F96" s="331" t="s">
        <v>160</v>
      </c>
      <c r="G96" s="332"/>
      <c r="H96" s="24"/>
      <c r="I96" s="24"/>
      <c r="J96" s="318"/>
      <c r="K96" s="24"/>
      <c r="L96" s="24"/>
      <c r="M96" s="24"/>
      <c r="N96" s="316"/>
      <c r="O96" s="316"/>
      <c r="P96" s="316"/>
      <c r="Q96" s="316"/>
      <c r="R96" s="24"/>
      <c r="S96" s="24"/>
      <c r="T96" s="24"/>
      <c r="U96" s="24"/>
      <c r="V96" s="24"/>
      <c r="W96" s="316"/>
      <c r="X96" s="316"/>
      <c r="Y96" s="316"/>
      <c r="Z96" s="24"/>
      <c r="AA96" s="24"/>
      <c r="AB96" s="24"/>
      <c r="AC96" s="24"/>
      <c r="AD96" s="24"/>
      <c r="AE96" s="24"/>
      <c r="AF96" s="24"/>
      <c r="AG96" s="24"/>
      <c r="AH96" s="24"/>
      <c r="AI96" s="24"/>
      <c r="AJ96" s="24"/>
      <c r="AK96" s="24"/>
      <c r="AL96" s="24"/>
      <c r="AM96" s="24"/>
      <c r="AN96" s="24"/>
      <c r="AO96" s="24"/>
    </row>
    <row r="97" spans="8:8" ht="20.15" customHeight="1">
      <c r="B97" s="333" t="s">
        <v>109</v>
      </c>
      <c r="C97" s="334" t="s">
        <v>161</v>
      </c>
      <c r="D97" s="335" t="s">
        <v>162</v>
      </c>
      <c r="E97" s="336" t="s">
        <v>163</v>
      </c>
      <c r="F97" s="334" t="s">
        <v>164</v>
      </c>
      <c r="G97" s="336" t="s">
        <v>165</v>
      </c>
      <c r="H97" s="336" t="s">
        <v>166</v>
      </c>
      <c r="I97" s="336" t="s">
        <v>167</v>
      </c>
      <c r="J97" s="336" t="s">
        <v>168</v>
      </c>
      <c r="K97" s="336" t="s">
        <v>168</v>
      </c>
      <c r="L97" s="337" t="s">
        <v>169</v>
      </c>
      <c r="M97" s="338" t="s">
        <v>170</v>
      </c>
      <c r="N97" s="336" t="s">
        <v>171</v>
      </c>
      <c r="O97" s="336" t="s">
        <v>172</v>
      </c>
      <c r="P97" s="338" t="s">
        <v>173</v>
      </c>
      <c r="Q97" s="339" t="s">
        <v>174</v>
      </c>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row>
    <row r="98" spans="8:8" ht="20.15" customHeight="1">
      <c r="B98" s="340" t="str">
        <f>B58</f>
        <v>醉枭赌徒</v>
      </c>
      <c r="C98" s="341">
        <f>SUM(C44:G44)</f>
        <v>180.0</v>
      </c>
      <c r="D98" s="341">
        <f>C58</f>
        <v>70.0</v>
      </c>
      <c r="E98" s="341">
        <f>IF(SUM(K90:M90)=9,90)+IF(SUM(K90:M90)=8,80)+IF(SUM(K90:M90)=7,IF(OR(K90=1,L90=1,M90=1),70,60))+IF(SUM(K90:M90)=6,50)+IF(SUM(K90:M90)=5,IF(OR(K90=3,L90=3,M90=3),30,40))+IF(SUM(K90:M90)=4,20)+IF(SUM(K90:M90)=3,10)</f>
        <v>90.0</v>
      </c>
      <c r="F98" s="341">
        <f>G89</f>
        <v>460.0</v>
      </c>
      <c r="G98" s="341">
        <f>SUM(H26:H27)</f>
        <v>20.0</v>
      </c>
      <c r="H98" s="341">
        <f>SUM(H51:H52)</f>
        <v>0.0</v>
      </c>
      <c r="I98" s="341">
        <f>SUM(H89:I89)</f>
        <v>0.0</v>
      </c>
      <c r="J98" s="341"/>
      <c r="K98" s="341"/>
      <c r="L98" s="342">
        <f>SUM(D98:K98)</f>
        <v>640.0</v>
      </c>
      <c r="M98" s="343">
        <f>L98-L99</f>
        <v>375.0</v>
      </c>
      <c r="N98" s="344">
        <v>0.0</v>
      </c>
      <c r="O98" s="344">
        <f>IF(MAX(MIN((50+M98/2),100-N99),N98)&lt;0,0,MAX(MIN((50+M98/2),100-N99),N98))</f>
        <v>100.0</v>
      </c>
      <c r="P98" s="343">
        <f>(M98)/2</f>
        <v>187.5</v>
      </c>
      <c r="Q98" s="345">
        <f>IF(MAX(MIN((50+P98/2),100-N99),N98)&lt;0,0,MAX(MIN((50+P98/2),100-N99),N98))</f>
        <v>100.0</v>
      </c>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row>
    <row r="99" spans="8:8" ht="20.15" customHeight="1">
      <c r="B99" s="346" t="str">
        <f>B74</f>
        <v>机甲少女</v>
      </c>
      <c r="C99" s="347">
        <f>SUM(I44:M44)</f>
        <v>45.0</v>
      </c>
      <c r="D99" s="347">
        <f>C74</f>
        <v>45.0</v>
      </c>
      <c r="E99" s="347">
        <f>100-E98</f>
        <v>10.0</v>
      </c>
      <c r="F99" s="347">
        <f>G90</f>
        <v>210.0</v>
      </c>
      <c r="G99" s="347">
        <f>SUM(N26:N27)</f>
        <v>0.0</v>
      </c>
      <c r="H99" s="347">
        <f>SUM(N51:N52)</f>
        <v>0.0</v>
      </c>
      <c r="I99" s="347">
        <f>SUM(H90:I90)</f>
        <v>0.0</v>
      </c>
      <c r="J99" s="347"/>
      <c r="K99" s="347"/>
      <c r="L99" s="348">
        <f>SUM(D99:K99)</f>
        <v>265.0</v>
      </c>
      <c r="M99" s="349"/>
      <c r="N99" s="350">
        <v>0.0</v>
      </c>
      <c r="O99" s="350">
        <f>100-O98</f>
        <v>0.0</v>
      </c>
      <c r="P99" s="349"/>
      <c r="Q99" s="351">
        <f>100-Q98</f>
        <v>0.0</v>
      </c>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row>
    <row r="100" spans="8:8" ht="20.15" customHeight="1">
      <c r="B100" s="352" t="s">
        <v>175</v>
      </c>
      <c r="C100" s="352"/>
      <c r="D100" s="352"/>
      <c r="E100" s="353"/>
      <c r="F100" s="353"/>
      <c r="G100" s="24"/>
      <c r="H100" s="353"/>
      <c r="I100" s="24"/>
      <c r="J100" s="24"/>
      <c r="K100" s="24"/>
      <c r="L100" s="24"/>
      <c r="M100" s="316"/>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row>
    <row r="101" spans="8:8" ht="20.15" customHeight="1">
      <c r="B101" s="24"/>
      <c r="C101" s="24"/>
      <c r="D101" s="24"/>
      <c r="E101" s="24"/>
      <c r="F101" s="24"/>
      <c r="G101" s="24"/>
      <c r="H101" s="24"/>
      <c r="I101" s="353"/>
      <c r="J101" s="316"/>
      <c r="K101" s="354"/>
      <c r="L101" s="35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row>
    <row r="102" spans="8:8" ht="20.15" customHeight="1">
      <c r="B102" s="318"/>
      <c r="C102" s="318"/>
      <c r="D102" s="318"/>
      <c r="E102" s="24"/>
      <c r="F102" s="24"/>
      <c r="G102" s="24"/>
      <c r="H102" s="355"/>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row>
    <row r="103" spans="8:8" ht="20.15" customHeight="1">
      <c r="B103" s="24"/>
      <c r="C103" s="24"/>
      <c r="D103" s="24"/>
      <c r="E103" s="24"/>
      <c r="F103" s="24"/>
      <c r="G103" s="24"/>
      <c r="H103" s="24"/>
      <c r="I103" s="318"/>
      <c r="J103" s="318"/>
      <c r="K103" s="318"/>
      <c r="L103" s="318"/>
      <c r="M103" s="318"/>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row>
    <row r="104" spans="8:8" ht="20.15" customHeight="1">
      <c r="B104" s="24"/>
      <c r="C104" s="24"/>
      <c r="D104" s="24"/>
      <c r="E104" s="24"/>
      <c r="F104" s="24"/>
      <c r="G104" s="24"/>
      <c r="H104" s="24"/>
      <c r="I104" s="24"/>
      <c r="J104" s="24"/>
      <c r="K104" s="24"/>
      <c r="L104" s="24"/>
      <c r="M104" s="318"/>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row>
    <row r="105" spans="8:8" ht="20.15" customHeight="1">
      <c r="B105" s="24"/>
      <c r="C105" s="24"/>
      <c r="D105" s="24"/>
      <c r="E105" s="24"/>
      <c r="F105" s="24"/>
      <c r="G105" s="24"/>
      <c r="H105" s="24"/>
      <c r="I105" s="24"/>
      <c r="J105" s="24"/>
      <c r="K105" s="24"/>
      <c r="L105" s="24"/>
      <c r="M105" s="318"/>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row>
    <row r="106" spans="8:8" ht="20.15" customHeight="1">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row>
    <row r="107" spans="8:8" ht="20.15" customHeight="1">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row>
    <row r="108" spans="8:8">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row>
    <row r="109" spans="8:8">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row>
    <row r="110" spans="8:8">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row>
    <row r="111" spans="8:8">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row>
    <row r="112" spans="8:8">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row>
    <row r="113" spans="8:8">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row>
    <row r="114" spans="8:8">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row>
    <row r="115" spans="8:8">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row>
    <row r="116" spans="8:8">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row>
    <row r="117" spans="8:8">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row>
    <row r="118" spans="8:8">
      <c r="AV118" s="24"/>
      <c r="AW118" s="24"/>
    </row>
    <row r="119" spans="8:8">
      <c r="AV119" s="24"/>
      <c r="AW119" s="24"/>
    </row>
    <row r="120" spans="8:8">
      <c r="AV120" s="24"/>
      <c r="AW120" s="24"/>
    </row>
    <row r="121" spans="8:8">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row>
    <row r="122" spans="8:8">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row>
    <row r="123" spans="8:8">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row>
    <row r="124" spans="8:8">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row>
    <row r="125" spans="8:8">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row>
    <row r="126" spans="8:8">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row>
    <row r="127" spans="8:8">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row>
  </sheetData>
  <mergeCells count="92">
    <mergeCell ref="B3:C4"/>
    <mergeCell ref="D3:E4"/>
    <mergeCell ref="AB26:AE26"/>
    <mergeCell ref="X31:AA31"/>
    <mergeCell ref="AB31:AE31"/>
    <mergeCell ref="AB30:AE30"/>
    <mergeCell ref="T25:W25"/>
    <mergeCell ref="T22:AE22"/>
    <mergeCell ref="U19:Y19"/>
    <mergeCell ref="AB37:AE37"/>
    <mergeCell ref="X41:AA41"/>
    <mergeCell ref="AB42:AE42"/>
    <mergeCell ref="P98:P99"/>
    <mergeCell ref="AB34:AE34"/>
    <mergeCell ref="X30:AA30"/>
    <mergeCell ref="AB29:AE29"/>
    <mergeCell ref="X34:AA34"/>
    <mergeCell ref="X32:AA32"/>
    <mergeCell ref="X33:AA33"/>
    <mergeCell ref="T48:W48"/>
    <mergeCell ref="Z19:AD19"/>
    <mergeCell ref="X25:AA25"/>
    <mergeCell ref="T23:W23"/>
    <mergeCell ref="AB25:AE25"/>
    <mergeCell ref="T5:T6"/>
    <mergeCell ref="X27:AA27"/>
    <mergeCell ref="AB32:AE32"/>
    <mergeCell ref="X35:AA35"/>
    <mergeCell ref="T44:W44"/>
    <mergeCell ref="AB24:AE24"/>
    <mergeCell ref="T36:W36"/>
    <mergeCell ref="T31:W31"/>
    <mergeCell ref="AB27:AE27"/>
    <mergeCell ref="X26:AA26"/>
    <mergeCell ref="T42:W42"/>
    <mergeCell ref="T40:W40"/>
    <mergeCell ref="T38:W38"/>
    <mergeCell ref="T24:W24"/>
    <mergeCell ref="T26:W26"/>
    <mergeCell ref="T27:W27"/>
    <mergeCell ref="T32:W32"/>
    <mergeCell ref="T30:W30"/>
    <mergeCell ref="T28:W28"/>
    <mergeCell ref="B55:C56"/>
    <mergeCell ref="X23:AA23"/>
    <mergeCell ref="T34:W34"/>
    <mergeCell ref="AB23:AE23"/>
    <mergeCell ref="X29:AA29"/>
    <mergeCell ref="T43:W43"/>
    <mergeCell ref="AB40:AE40"/>
    <mergeCell ref="X38:AA38"/>
    <mergeCell ref="AB39:AE39"/>
    <mergeCell ref="X46:AA46"/>
    <mergeCell ref="X47:AA47"/>
    <mergeCell ref="AB47:AE47"/>
    <mergeCell ref="T39:W39"/>
    <mergeCell ref="AB35:AE35"/>
    <mergeCell ref="T33:W33"/>
    <mergeCell ref="AB43:AE43"/>
    <mergeCell ref="T47:W47"/>
    <mergeCell ref="X44:AA44"/>
    <mergeCell ref="X43:AA43"/>
    <mergeCell ref="AB46:AE46"/>
    <mergeCell ref="T46:W46"/>
    <mergeCell ref="B94:D95"/>
    <mergeCell ref="C96:D96"/>
    <mergeCell ref="M98:M99"/>
    <mergeCell ref="AB44:AE44"/>
    <mergeCell ref="X42:AA42"/>
    <mergeCell ref="AB41:AE41"/>
    <mergeCell ref="K89:M89"/>
    <mergeCell ref="AB48:AE48"/>
    <mergeCell ref="X48:AA48"/>
    <mergeCell ref="X45:AA45"/>
    <mergeCell ref="T45:W45"/>
    <mergeCell ref="B100:D100"/>
    <mergeCell ref="T29:W29"/>
    <mergeCell ref="X24:AA24"/>
    <mergeCell ref="AB28:AE28"/>
    <mergeCell ref="X28:AA28"/>
    <mergeCell ref="T35:W35"/>
    <mergeCell ref="AB36:AE36"/>
    <mergeCell ref="X37:AA37"/>
    <mergeCell ref="AB33:AE33"/>
    <mergeCell ref="X39:AA39"/>
    <mergeCell ref="T37:W37"/>
    <mergeCell ref="T41:W41"/>
    <mergeCell ref="AB38:AE38"/>
    <mergeCell ref="X36:AA36"/>
    <mergeCell ref="B91:C91"/>
    <mergeCell ref="AB45:AE45"/>
    <mergeCell ref="X40:AA40"/>
  </mergeCells>
  <conditionalFormatting sqref="D58:F58">
    <cfRule type="expression" priority="110" dxfId="0">
      <formula>$A$46="隱藏"</formula>
    </cfRule>
  </conditionalFormatting>
  <conditionalFormatting sqref="B81">
    <cfRule type="containsText" text="隱藏" operator="containsText" priority="149" dxfId="1">
      <formula>NOT(ISERROR(SEARCH("隱藏",B81)))</formula>
    </cfRule>
  </conditionalFormatting>
  <conditionalFormatting sqref="F96">
    <cfRule type="cellIs" operator="equal" priority="121" dxfId="2">
      <formula>"最终工序正常"</formula>
    </cfRule>
  </conditionalFormatting>
  <conditionalFormatting sqref="D80:F80">
    <cfRule type="expression" priority="98" dxfId="3">
      <formula>$A$68="隱藏"</formula>
    </cfRule>
  </conditionalFormatting>
  <conditionalFormatting sqref="D91:F91">
    <cfRule type="cellIs" operator="equal" priority="122" dxfId="4">
      <formula>"蓝色方优"</formula>
    </cfRule>
    <cfRule type="cellIs" operator="equal" priority="123" dxfId="5">
      <formula>"橙色方优"</formula>
    </cfRule>
  </conditionalFormatting>
  <conditionalFormatting sqref="F89:F90">
    <cfRule type="expression" priority="10" dxfId="6">
      <formula>$C$88=$C$89</formula>
    </cfRule>
  </conditionalFormatting>
  <conditionalFormatting sqref="K90:M90">
    <cfRule type="colorScale" priority="124">
      <colorScale>
        <cfvo type="num" val="1"/>
        <cfvo type="num" val="3"/>
        <color theme="7" tint="0.3999145481734672"/>
        <color theme="8" tint="0.3999145481734672"/>
      </colorScale>
    </cfRule>
  </conditionalFormatting>
  <conditionalFormatting sqref="D89:D90">
    <cfRule type="top10" rank="1" priority="22" dxfId="7"/>
  </conditionalFormatting>
  <conditionalFormatting sqref="C20:H25">
    <cfRule type="expression" priority="1" dxfId="8">
      <formula>#REF!="隱藏"</formula>
    </cfRule>
  </conditionalFormatting>
  <conditionalFormatting sqref="G89:G90">
    <cfRule type="expression" priority="9" dxfId="9">
      <formula>$D$88=$D$89</formula>
    </cfRule>
  </conditionalFormatting>
  <conditionalFormatting sqref="U5:AD5">
    <cfRule type="containsText" text="隱藏" operator="containsText" priority="117" dxfId="10">
      <formula>NOT(ISERROR(SEARCH("隱藏",U5)))</formula>
    </cfRule>
  </conditionalFormatting>
  <conditionalFormatting sqref="D70:F70">
    <cfRule type="expression" priority="100" dxfId="11">
      <formula>$A$46="隱藏"</formula>
    </cfRule>
  </conditionalFormatting>
  <conditionalFormatting sqref="H45:H50">
    <cfRule type="expression" priority="145" dxfId="12">
      <formula>$F$15="隱藏"</formula>
    </cfRule>
  </conditionalFormatting>
  <conditionalFormatting sqref="D74:F74">
    <cfRule type="expression" priority="104" dxfId="13">
      <formula>$A$68="隱藏"</formula>
    </cfRule>
  </conditionalFormatting>
  <conditionalFormatting sqref="B62">
    <cfRule type="containsText" text="隱藏" operator="containsText" priority="153" dxfId="14">
      <formula>NOT(ISERROR(SEARCH("隱藏",B62)))</formula>
    </cfRule>
  </conditionalFormatting>
  <conditionalFormatting sqref="F90">
    <cfRule type="expression" priority="13" dxfId="15">
      <formula>$C$89&gt;$C$88</formula>
    </cfRule>
  </conditionalFormatting>
  <conditionalFormatting sqref="I20:N25">
    <cfRule type="expression" priority="2" dxfId="16">
      <formula>$G$15="隱藏"</formula>
    </cfRule>
  </conditionalFormatting>
  <conditionalFormatting sqref="D64:F64">
    <cfRule type="expression" priority="102" dxfId="17">
      <formula>$A$46="隱藏"</formula>
    </cfRule>
  </conditionalFormatting>
  <conditionalFormatting sqref="C11:I15">
    <cfRule type="cellIs" operator="notEqual" priority="8" dxfId="18">
      <formula>0</formula>
    </cfRule>
  </conditionalFormatting>
  <conditionalFormatting sqref="C89:C90">
    <cfRule type="top10" rank="1" priority="79" dxfId="19"/>
  </conditionalFormatting>
  <conditionalFormatting sqref="D59:F60 D62:F63 D65:F66">
    <cfRule type="cellIs" operator="notEqual" priority="111" dxfId="20">
      <formula>0</formula>
    </cfRule>
  </conditionalFormatting>
  <conditionalFormatting sqref="D71:F72">
    <cfRule type="cellIs" operator="notEqual" priority="108" dxfId="21">
      <formula>0</formula>
    </cfRule>
  </conditionalFormatting>
  <conditionalFormatting sqref="L45:L50">
    <cfRule type="expression" priority="136" dxfId="22">
      <formula>$J$15="隱藏"</formula>
    </cfRule>
  </conditionalFormatting>
  <conditionalFormatting sqref="C6:I10">
    <cfRule type="cellIs" operator="notEqual" priority="7" dxfId="23">
      <formula>0</formula>
    </cfRule>
  </conditionalFormatting>
  <conditionalFormatting sqref="J31:L31">
    <cfRule type="cellIs" operator="notEqual" priority="86" dxfId="24">
      <formula>0</formula>
    </cfRule>
  </conditionalFormatting>
  <conditionalFormatting sqref="E90:G90">
    <cfRule type="expression" priority="15" dxfId="25">
      <formula>$B$72="隐藏"</formula>
    </cfRule>
    <cfRule type="expression" priority="20" dxfId="26">
      <formula>$A$78="隱藏"</formula>
    </cfRule>
  </conditionalFormatting>
  <conditionalFormatting sqref="B68">
    <cfRule type="containsText" text="隱藏" operator="containsText" priority="132" dxfId="27">
      <formula>NOT(ISERROR(SEARCH("隱藏",B68)))</formula>
    </cfRule>
  </conditionalFormatting>
  <conditionalFormatting sqref="F45:F50">
    <cfRule type="expression" priority="139" dxfId="28">
      <formula>$D$4="隱藏"</formula>
    </cfRule>
  </conditionalFormatting>
  <conditionalFormatting sqref="E89:E90">
    <cfRule type="expression" priority="11" dxfId="29">
      <formula>$B$88=$B$89</formula>
    </cfRule>
  </conditionalFormatting>
  <conditionalFormatting sqref="B71">
    <cfRule type="containsText" text="隱藏" operator="containsText" priority="126" dxfId="30">
      <formula>NOT(ISERROR(SEARCH("隱藏",B71)))</formula>
    </cfRule>
  </conditionalFormatting>
  <conditionalFormatting sqref="I45:I50">
    <cfRule type="expression" priority="144" dxfId="31">
      <formula>$G$15="隱藏"</formula>
    </cfRule>
  </conditionalFormatting>
  <conditionalFormatting sqref="N99:O99">
    <cfRule type="expression" priority="81">
      <formula>OR(#REF!&lt;0,#REF!&lt;0,H103&lt;0)</formula>
    </cfRule>
  </conditionalFormatting>
  <conditionalFormatting sqref="D61:F61">
    <cfRule type="expression" priority="103" dxfId="32">
      <formula>$A$46="隱藏"</formula>
    </cfRule>
  </conditionalFormatting>
  <conditionalFormatting sqref="D87:F88">
    <cfRule type="cellIs" operator="notEqual" priority="105" dxfId="33">
      <formula>0</formula>
    </cfRule>
  </conditionalFormatting>
  <conditionalFormatting sqref="O97:P97">
    <cfRule type="expression" priority="80">
      <formula>OR(M98&lt;0,M99&lt;0,#REF!&lt;0)</formula>
    </cfRule>
  </conditionalFormatting>
  <conditionalFormatting sqref="C37:I41">
    <cfRule type="cellIs" operator="notEqual" priority="129" dxfId="34">
      <formula>0</formula>
    </cfRule>
  </conditionalFormatting>
  <conditionalFormatting sqref="D75:F76 D78:F79 D81:F82">
    <cfRule type="cellIs" operator="notEqual" priority="107" dxfId="35">
      <formula>0</formula>
    </cfRule>
  </conditionalFormatting>
  <conditionalFormatting sqref="G57">
    <cfRule type="containsText" text="隱藏" operator="containsText" priority="125" dxfId="36">
      <formula>NOT(ISERROR(SEARCH("隱藏",G57)))</formula>
    </cfRule>
  </conditionalFormatting>
  <conditionalFormatting sqref="I18:M18">
    <cfRule type="cellIs" operator="notEqual" priority="135" dxfId="37">
      <formula>0</formula>
    </cfRule>
  </conditionalFormatting>
  <conditionalFormatting sqref="N98:O98">
    <cfRule type="expression" priority="82">
      <formula>OR(L99&lt;0,#REF!&lt;0,#REF!&lt;0)</formula>
    </cfRule>
  </conditionalFormatting>
  <conditionalFormatting sqref="J5:L5">
    <cfRule type="cellIs" operator="notEqual" priority="6" dxfId="38">
      <formula>0</formula>
    </cfRule>
  </conditionalFormatting>
  <conditionalFormatting sqref="D84:F85">
    <cfRule type="cellIs" operator="notEqual" priority="106" dxfId="39">
      <formula>0</formula>
    </cfRule>
  </conditionalFormatting>
  <conditionalFormatting sqref="B65">
    <cfRule type="containsText" text="隱藏" operator="containsText" priority="152" dxfId="40">
      <formula>NOT(ISERROR(SEARCH("隱藏",B65)))</formula>
    </cfRule>
  </conditionalFormatting>
  <conditionalFormatting sqref="Q98">
    <cfRule type="expression" priority="85">
      <formula>OR(P99&lt;0,#REF!&lt;0,#REF!&lt;0)</formula>
    </cfRule>
  </conditionalFormatting>
  <conditionalFormatting sqref="G45:G50">
    <cfRule type="expression" priority="137" dxfId="41">
      <formula>$E$4="隱藏"</formula>
    </cfRule>
  </conditionalFormatting>
  <conditionalFormatting sqref="C16:N16">
    <cfRule type="containsText" text="隱藏" operator="containsText" priority="134" dxfId="42">
      <formula>NOT(ISERROR(SEARCH("隱藏",C16)))</formula>
    </cfRule>
  </conditionalFormatting>
  <conditionalFormatting sqref="E89:G89">
    <cfRule type="expression" priority="21" dxfId="43">
      <formula>$A$77="隱藏"</formula>
    </cfRule>
    <cfRule type="expression" priority="16" dxfId="44">
      <formula>#REF!="隐藏"</formula>
    </cfRule>
  </conditionalFormatting>
  <conditionalFormatting sqref="B75">
    <cfRule type="containsText" text="隱藏" operator="containsText" priority="151" dxfId="45">
      <formula>NOT(ISERROR(SEARCH("隱藏",B75)))</formula>
    </cfRule>
  </conditionalFormatting>
  <conditionalFormatting sqref="E89">
    <cfRule type="cellIs" operator="greaterThan" priority="19" dxfId="46">
      <formula>$B$89</formula>
    </cfRule>
  </conditionalFormatting>
  <conditionalFormatting sqref="Q97">
    <cfRule type="expression" priority="83">
      <formula>OR(P98&lt;0,P99&lt;0,#REF!&lt;0)</formula>
    </cfRule>
  </conditionalFormatting>
  <conditionalFormatting sqref="D45:D50">
    <cfRule type="expression" priority="147" dxfId="47">
      <formula>$B$4="隱藏"</formula>
    </cfRule>
  </conditionalFormatting>
  <conditionalFormatting sqref="J45:J50">
    <cfRule type="expression" priority="143" dxfId="48">
      <formula>$H$15="隱藏"</formula>
    </cfRule>
  </conditionalFormatting>
  <conditionalFormatting sqref="D73:F73">
    <cfRule type="containsText" text="隐藏" operator="containsText" priority="116" dxfId="49">
      <formula>NOT(ISERROR(SEARCH("隐藏",D73)))</formula>
    </cfRule>
  </conditionalFormatting>
  <conditionalFormatting sqref="Q99">
    <cfRule type="expression" priority="84">
      <formula>OR(#REF!&lt;0,#REF!&lt;0,J103&lt;0)</formula>
    </cfRule>
  </conditionalFormatting>
  <conditionalFormatting sqref="B89:B90">
    <cfRule type="containsText" text="隱藏" operator="containsText" priority="78" dxfId="50">
      <formula>NOT(ISERROR(SEARCH("隱藏",B89)))</formula>
    </cfRule>
  </conditionalFormatting>
  <conditionalFormatting sqref="M45:M50">
    <cfRule type="expression" priority="133" dxfId="51">
      <formula>$K$15="隱藏"</formula>
    </cfRule>
  </conditionalFormatting>
  <conditionalFormatting sqref="D67:F67">
    <cfRule type="expression" priority="101" dxfId="52">
      <formula>$A$46="隱藏"</formula>
    </cfRule>
  </conditionalFormatting>
  <conditionalFormatting sqref="C18:G18">
    <cfRule type="cellIs" operator="notEqual" priority="138" dxfId="53">
      <formula>0</formula>
    </cfRule>
  </conditionalFormatting>
  <conditionalFormatting sqref="G89">
    <cfRule type="cellIs" operator="greaterThan" priority="18" dxfId="54">
      <formula>$D$89</formula>
    </cfRule>
  </conditionalFormatting>
  <conditionalFormatting sqref="D83:F83">
    <cfRule type="expression" priority="97" dxfId="55">
      <formula>$A$68="隱藏"</formula>
    </cfRule>
  </conditionalFormatting>
  <conditionalFormatting sqref="B59">
    <cfRule type="containsText" text="隱藏" operator="containsText" priority="154" dxfId="56">
      <formula>NOT(ISERROR(SEARCH("隱藏",B59)))</formula>
    </cfRule>
  </conditionalFormatting>
  <conditionalFormatting sqref="D86:F86">
    <cfRule type="expression" priority="96" dxfId="57">
      <formula>$A$68="隱藏"</formula>
    </cfRule>
  </conditionalFormatting>
  <conditionalFormatting sqref="D77:F77">
    <cfRule type="expression" priority="99" dxfId="58">
      <formula>$A$68="隱藏"</formula>
    </cfRule>
  </conditionalFormatting>
  <conditionalFormatting sqref="E90">
    <cfRule type="expression" priority="14" dxfId="59">
      <formula>$B$89&gt;$B$88</formula>
    </cfRule>
  </conditionalFormatting>
  <conditionalFormatting sqref="F89">
    <cfRule type="cellIs" operator="greaterThan" priority="17" dxfId="60">
      <formula>$C$89</formula>
    </cfRule>
  </conditionalFormatting>
  <conditionalFormatting sqref="B87">
    <cfRule type="containsText" text="隱藏" operator="containsText" priority="130" dxfId="61">
      <formula>NOT(ISERROR(SEARCH("隱藏",B87)))</formula>
    </cfRule>
  </conditionalFormatting>
  <conditionalFormatting sqref="B84">
    <cfRule type="containsText" text="隱藏" operator="containsText" priority="131" dxfId="62">
      <formula>NOT(ISERROR(SEARCH("隱藏",B84)))</formula>
    </cfRule>
  </conditionalFormatting>
  <conditionalFormatting sqref="K29:N30">
    <cfRule type="cellIs" operator="notEqual" priority="157" dxfId="63">
      <formula>0</formula>
    </cfRule>
  </conditionalFormatting>
  <conditionalFormatting sqref="D68:F69">
    <cfRule type="cellIs" operator="notEqual" priority="109" dxfId="64">
      <formula>0</formula>
    </cfRule>
  </conditionalFormatting>
  <conditionalFormatting sqref="B78">
    <cfRule type="containsText" text="隱藏" operator="containsText" priority="150" dxfId="65">
      <formula>NOT(ISERROR(SEARCH("隱藏",B78)))</formula>
    </cfRule>
  </conditionalFormatting>
  <conditionalFormatting sqref="N45:N50">
    <cfRule type="expression" priority="142" dxfId="66">
      <formula>$L$15="隱藏"</formula>
    </cfRule>
  </conditionalFormatting>
  <conditionalFormatting sqref="E45:E50">
    <cfRule type="expression" priority="146" dxfId="67">
      <formula>$C$4="隱藏"</formula>
    </cfRule>
  </conditionalFormatting>
  <conditionalFormatting sqref="G90">
    <cfRule type="expression" priority="12" dxfId="68">
      <formula>$D$89&gt;$D$88</formula>
    </cfRule>
  </conditionalFormatting>
  <conditionalFormatting sqref="C45:C50">
    <cfRule type="expression" priority="148" dxfId="69">
      <formula>#REF!="隱藏"</formula>
    </cfRule>
  </conditionalFormatting>
  <conditionalFormatting sqref="K45:K50">
    <cfRule type="expression" priority="127" dxfId="70">
      <formula>$I$15="隱藏"</formula>
    </cfRule>
  </conditionalFormatting>
  <conditionalFormatting sqref="C32:I36">
    <cfRule type="cellIs" operator="notEqual" priority="128" dxfId="71">
      <formula>0</formula>
    </cfRule>
  </conditionalFormatting>
  <dataValidations count="38">
    <dataValidation allowBlank="1" type="any" operator="between" errorStyle="stop" showInputMessage="1" showErrorMessage="1" sqref="U5:AD5"/>
    <dataValidation allowBlank="1" type="list" errorStyle="stop" showInputMessage="1" showErrorMessage="1" sqref="D16:G16">
      <formula1>"辅助位,隱藏"</formula1>
    </dataValidation>
    <dataValidation allowBlank="1" type="list" errorStyle="stop" showInputMessage="1" showErrorMessage="1" sqref="I18:M18">
      <formula1>$N$16:$N$24</formula1>
    </dataValidation>
    <dataValidation allowBlank="1" type="any" operator="between" errorStyle="stop" showInputMessage="1" showErrorMessage="1" sqref="D97:D99"/>
    <dataValidation allowBlank="1" type="any" operator="between" errorStyle="stop" showInputMessage="1" showErrorMessage="1" sqref="C18:G18"/>
    <dataValidation allowBlank="1" type="list" errorStyle="stop" showInputMessage="1" showErrorMessage="1" sqref="B68">
      <formula1>"补正一,隱藏"</formula1>
    </dataValidation>
    <dataValidation allowBlank="1" type="list" errorStyle="stop" showInputMessage="1" showErrorMessage="1" sqref="D57:F57">
      <formula1>$B$20:$B$25</formula1>
    </dataValidation>
    <dataValidation allowBlank="1" type="list" errorStyle="stop" showInputMessage="1" showErrorMessage="1" sqref="B84">
      <formula1>"补正一,隱藏"</formula1>
    </dataValidation>
    <dataValidation allowBlank="1" type="list" errorStyle="stop" showInputMessage="1" showErrorMessage="1" sqref="E96">
      <formula1>"辅助胜率减半,辅助胜率正常"</formula1>
    </dataValidation>
    <dataValidation allowBlank="1" type="list" errorStyle="stop" showInputMessage="1" showErrorMessage="1" sqref="F96">
      <formula1>"最终工序正常,最终工序略过"</formula1>
    </dataValidation>
    <dataValidation allowBlank="1" type="list" errorStyle="stop" showInputMessage="1" showErrorMessage="1" sqref="B57">
      <formula1>"隱藏,组别A"</formula1>
    </dataValidation>
    <dataValidation allowBlank="1" type="list" errorStyle="stop" showInputMessage="1" showErrorMessage="1" sqref="E73">
      <formula1>"属性B,隐藏"</formula1>
    </dataValidation>
    <dataValidation allowBlank="1" type="list" errorStyle="stop" showInputMessage="1" showErrorMessage="1" sqref="B75">
      <formula1>"补正一,隱藏"</formula1>
    </dataValidation>
    <dataValidation allowBlank="1" type="list" errorStyle="stop" showInputMessage="1" showErrorMessage="1" sqref="B65">
      <formula1>"补正一,隱藏"</formula1>
    </dataValidation>
    <dataValidation allowBlank="1" type="list" errorStyle="stop" showInputMessage="1" showErrorMessage="1" sqref="B71">
      <formula1>"补正一,隱藏"</formula1>
    </dataValidation>
    <dataValidation allowBlank="1" type="list" errorStyle="stop" showInputMessage="1" showErrorMessage="1" sqref="B73">
      <formula1>"隱藏,组别B"</formula1>
    </dataValidation>
    <dataValidation allowBlank="1" type="list" errorStyle="stop" showInputMessage="1" showErrorMessage="1" sqref="B78">
      <formula1>"补正一,隱藏"</formula1>
    </dataValidation>
    <dataValidation allowBlank="1" type="list" errorStyle="stop" showInputMessage="1" showErrorMessage="1" sqref="D73">
      <formula1>"属性A,隐藏"</formula1>
    </dataValidation>
    <dataValidation allowBlank="1" type="list" errorStyle="stop" showInputMessage="1" showErrorMessage="1" sqref="B59">
      <formula1>"补正一,隱藏"</formula1>
    </dataValidation>
    <dataValidation allowBlank="1" type="list" errorStyle="stop" showInputMessage="1" showErrorMessage="1" sqref="B87">
      <formula1>"补正一,隱藏"</formula1>
    </dataValidation>
    <dataValidation allowBlank="1" type="list" errorStyle="stop" showInputMessage="1" showErrorMessage="1" sqref="B89">
      <formula1>"总值一,隱藏"</formula1>
    </dataValidation>
    <dataValidation allowBlank="1" type="list" errorStyle="stop" showInputMessage="1" showErrorMessage="1" sqref="B90">
      <formula1>"总值二,隱藏"</formula1>
    </dataValidation>
    <dataValidation allowBlank="1" type="list" errorStyle="stop" showInputMessage="1" showErrorMessage="1" sqref="K91:M91">
      <formula1>"蓝优,橙优,平,无"</formula1>
    </dataValidation>
    <dataValidation allowBlank="1" type="decimal" operator="lessThanOrEqual" errorStyle="information" showInputMessage="1" showErrorMessage="1" errorTitle="這是什麼神仙??" error="保底高於50???那還需要計算嗎？" sqref="N98:N99">
      <formula1>50</formula1>
    </dataValidation>
    <dataValidation allowBlank="1" type="list" errorStyle="stop" showInputMessage="1" showErrorMessage="1" sqref="F73">
      <formula1>"随机,隐藏"</formula1>
    </dataValidation>
    <dataValidation allowBlank="1" type="list" errorStyle="stop" showInputMessage="1" showErrorMessage="1" sqref="B62">
      <formula1>"补正一,隱藏"</formula1>
    </dataValidation>
    <dataValidation allowBlank="1" type="list" errorStyle="stop" showInputMessage="1" showErrorMessage="1" sqref="B81">
      <formula1>"补正一,隱藏"</formula1>
    </dataValidation>
    <dataValidation allowBlank="1" type="list" errorStyle="stop" showInputMessage="1" showErrorMessage="1" sqref="C17">
      <formula1>"醉枭赌徒"</formula1>
    </dataValidation>
    <dataValidation allowBlank="1" type="list" errorStyle="stop" showInputMessage="1" showErrorMessage="1" sqref="J16:M16">
      <formula1>"辅助位,隱藏"</formula1>
    </dataValidation>
    <dataValidation allowBlank="1" type="list" errorStyle="stop" showInputMessage="1" showErrorMessage="1" sqref="I17">
      <formula1>"机甲少女"</formula1>
    </dataValidation>
    <dataValidation allowBlank="1" type="list" errorStyle="stop" showInputMessage="1" showErrorMessage="1" sqref="I16">
      <formula1>"主力位,隱藏"</formula1>
    </dataValidation>
    <dataValidation allowBlank="1" type="list" errorStyle="stop" showInputMessage="1" showErrorMessage="1" sqref="H16">
      <formula1>"总值,隱藏"</formula1>
    </dataValidation>
    <dataValidation allowBlank="1" type="list" errorStyle="stop" showInputMessage="1" showErrorMessage="1" sqref="J17:M17">
      <formula1>'[1]角色屬性'!$C$5:$C$68</formula1>
    </dataValidation>
    <dataValidation allowBlank="1" type="list" errorStyle="stop" showInputMessage="1" showErrorMessage="1" sqref="F17:G17">
      <formula1>'[1]角色屬性'!$C$5:$C$68</formula1>
    </dataValidation>
    <dataValidation allowBlank="1" type="list" errorStyle="stop" showInputMessage="1" showErrorMessage="1" sqref="E17">
      <formula1>"哈基米嗷"</formula1>
    </dataValidation>
    <dataValidation allowBlank="1" type="list" errorStyle="stop" showInputMessage="1" showErrorMessage="1" sqref="N16">
      <formula1>"总值,隱藏"</formula1>
    </dataValidation>
    <dataValidation allowBlank="1" type="list" errorStyle="stop" showInputMessage="1" showErrorMessage="1" sqref="D17">
      <formula1>"焰狼"</formula1>
    </dataValidation>
    <dataValidation allowBlank="1" type="list" errorStyle="stop" showInputMessage="1" showErrorMessage="1" sqref="C16">
      <formula1>"主力位,隱藏"</formula1>
    </dataValidation>
  </dataValidations>
  <pageMargins left="0.75" right="0.75" top="1.0" bottom="1.0" header="0.5" footer="0.5"/>
  <drawing r:id="rId1"/>
  <legacyDrawing r:id="rId2"/>
</worksheet>
</file>

<file path=xl/worksheets/sheet5.xml><?xml version="1.0" encoding="utf-8"?>
<worksheet xmlns:r="http://schemas.openxmlformats.org/officeDocument/2006/relationships" xmlns="http://schemas.openxmlformats.org/spreadsheetml/2006/main">
  <dimension ref="A1:XFD109"/>
  <sheetViews>
    <sheetView workbookViewId="0" topLeftCell="A34">
      <selection activeCell="M92" sqref="M92"/>
    </sheetView>
  </sheetViews>
  <sheetFormatPr defaultRowHeight="14.0" defaultColWidth="9" outlineLevelRow="2"/>
  <cols>
    <col min="1" max="19" customWidth="1" width="9.089844" style="24"/>
    <col min="20" max="23" customWidth="1" width="9.0" style="24"/>
    <col min="24" max="24" customWidth="1" width="12.6328125" style="24"/>
    <col min="25" max="25" customWidth="1" width="9.0" style="24"/>
    <col min="26" max="26" customWidth="1" width="7.7265625" style="24"/>
    <col min="27" max="16383" customWidth="1" width="9.0" style="24"/>
  </cols>
  <sheetData>
    <row r="1" spans="8:8">
      <c r="A1" s="356" t="s">
        <v>176</v>
      </c>
      <c r="B1" s="356"/>
      <c r="C1" s="357" t="s">
        <v>86</v>
      </c>
      <c r="D1" s="357"/>
      <c r="E1" s="2"/>
      <c r="F1" s="2"/>
      <c r="G1" s="2"/>
      <c r="P1"/>
      <c r="Q1"/>
      <c r="R1"/>
      <c r="S1"/>
      <c r="T1"/>
      <c r="U1"/>
      <c r="V1"/>
      <c r="W1"/>
      <c r="X1"/>
      <c r="Y1"/>
      <c r="Z1"/>
    </row>
    <row r="2" spans="8:8">
      <c r="A2" s="356"/>
      <c r="B2" s="356"/>
      <c r="C2" s="357"/>
      <c r="D2" s="357"/>
      <c r="E2" s="2"/>
      <c r="F2" s="2"/>
      <c r="G2" s="2"/>
      <c r="P2"/>
      <c r="Q2"/>
      <c r="R2"/>
      <c r="S2"/>
      <c r="T2"/>
      <c r="U2"/>
      <c r="V2"/>
      <c r="W2"/>
      <c r="X2"/>
      <c r="Y2"/>
      <c r="Z2"/>
    </row>
    <row r="3" spans="8:8">
      <c r="A3" s="358"/>
      <c r="B3" s="359" t="s">
        <v>177</v>
      </c>
      <c r="C3" s="359" t="s">
        <v>178</v>
      </c>
      <c r="D3" s="359" t="s">
        <v>179</v>
      </c>
      <c r="E3" s="359" t="s">
        <v>179</v>
      </c>
      <c r="F3" s="359" t="s">
        <v>179</v>
      </c>
      <c r="G3" s="360" t="s">
        <v>104</v>
      </c>
      <c r="H3" s="361" t="s">
        <v>177</v>
      </c>
      <c r="I3" s="361" t="s">
        <v>178</v>
      </c>
      <c r="J3" s="361" t="s">
        <v>179</v>
      </c>
      <c r="K3" s="361" t="s">
        <v>179</v>
      </c>
      <c r="L3" s="361" t="s">
        <v>179</v>
      </c>
      <c r="M3" s="362" t="s">
        <v>104</v>
      </c>
      <c r="N3" s="363" t="s">
        <v>177</v>
      </c>
      <c r="O3" s="363" t="s">
        <v>178</v>
      </c>
      <c r="P3" s="363" t="s">
        <v>179</v>
      </c>
      <c r="Q3" s="363" t="s">
        <v>178</v>
      </c>
      <c r="R3" s="363" t="s">
        <v>178</v>
      </c>
      <c r="S3" s="364" t="s">
        <v>104</v>
      </c>
      <c r="T3" s="24" t="s">
        <v>105</v>
      </c>
      <c r="V3"/>
      <c r="W3"/>
      <c r="X3"/>
      <c r="Y3"/>
      <c r="Z3"/>
      <c r="AA3"/>
      <c r="AB3"/>
      <c r="AC3"/>
      <c r="AD3"/>
      <c r="AE3"/>
      <c r="AF3"/>
      <c r="XFD3" s="24"/>
    </row>
    <row r="4" spans="8:8">
      <c r="A4" s="358"/>
      <c r="B4" s="365" t="s">
        <v>84</v>
      </c>
      <c r="C4" s="365" t="s">
        <v>84</v>
      </c>
      <c r="D4" s="365" t="s">
        <v>84</v>
      </c>
      <c r="E4" s="365" t="s">
        <v>84</v>
      </c>
      <c r="F4" s="365" t="s">
        <v>84</v>
      </c>
      <c r="G4" s="4" t="s">
        <v>104</v>
      </c>
      <c r="H4" s="365" t="s">
        <v>84</v>
      </c>
      <c r="I4" s="365" t="s">
        <v>84</v>
      </c>
      <c r="J4" s="365" t="s">
        <v>84</v>
      </c>
      <c r="K4" s="365" t="s">
        <v>84</v>
      </c>
      <c r="L4" s="365" t="s">
        <v>84</v>
      </c>
      <c r="M4" s="4" t="s">
        <v>104</v>
      </c>
      <c r="N4" s="365" t="s">
        <v>84</v>
      </c>
      <c r="O4" s="365" t="s">
        <v>84</v>
      </c>
      <c r="P4" s="365" t="s">
        <v>84</v>
      </c>
      <c r="Q4" s="365" t="s">
        <v>84</v>
      </c>
      <c r="R4" s="365" t="s">
        <v>84</v>
      </c>
      <c r="S4" s="4" t="s">
        <v>104</v>
      </c>
      <c r="T4" s="366" t="s">
        <v>180</v>
      </c>
      <c r="U4" s="366">
        <v>0.0</v>
      </c>
      <c r="V4"/>
      <c r="W4"/>
      <c r="X4"/>
      <c r="Y4"/>
      <c r="Z4"/>
      <c r="AA4"/>
      <c r="AB4"/>
      <c r="AC4"/>
      <c r="AD4"/>
      <c r="AE4"/>
      <c r="AF4"/>
      <c r="XFD4" s="24"/>
    </row>
    <row r="5" spans="8:8" ht="33.0" customHeight="1">
      <c r="A5" s="367" t="s">
        <v>181</v>
      </c>
      <c r="B5" s="368">
        <v>0.0</v>
      </c>
      <c r="C5" s="368">
        <v>0.0</v>
      </c>
      <c r="D5" s="368">
        <v>0.0</v>
      </c>
      <c r="E5" s="368">
        <v>0.0</v>
      </c>
      <c r="F5" s="368">
        <v>0.0</v>
      </c>
      <c r="G5" s="4" t="s">
        <v>109</v>
      </c>
      <c r="H5" s="368">
        <v>0.0</v>
      </c>
      <c r="I5" s="368">
        <v>0.0</v>
      </c>
      <c r="J5" s="368">
        <v>0.0</v>
      </c>
      <c r="K5" s="368">
        <v>0.0</v>
      </c>
      <c r="L5" s="368">
        <v>0.0</v>
      </c>
      <c r="M5" s="4" t="s">
        <v>109</v>
      </c>
      <c r="N5" s="368">
        <v>0.0</v>
      </c>
      <c r="O5" s="368">
        <v>0.0</v>
      </c>
      <c r="P5" s="368">
        <v>0.0</v>
      </c>
      <c r="Q5" s="368">
        <v>0.0</v>
      </c>
      <c r="R5" s="368">
        <v>0.0</v>
      </c>
      <c r="S5" s="4" t="s">
        <v>109</v>
      </c>
      <c r="T5" s="24" t="s">
        <v>110</v>
      </c>
      <c r="U5" s="24">
        <v>-5.0</v>
      </c>
      <c r="V5"/>
      <c r="W5"/>
      <c r="X5"/>
      <c r="Y5"/>
      <c r="Z5"/>
      <c r="AA5"/>
      <c r="AB5"/>
      <c r="AC5"/>
      <c r="AD5"/>
      <c r="AE5"/>
      <c r="AF5"/>
      <c r="XFD5" s="24"/>
    </row>
    <row r="6" spans="8:8">
      <c r="A6" s="369" t="s">
        <v>47</v>
      </c>
      <c r="B6" s="370" t="e">
        <f ca="1">INDEX(#REF!,MATCH(B4,#REF!,0),3)</f>
        <v>#REF!</v>
      </c>
      <c r="C6" s="370" t="e">
        <f ca="1">INDEX(#REF!,MATCH(C4,#REF!,0),3)</f>
        <v>#REF!</v>
      </c>
      <c r="D6" s="370" t="e">
        <f ca="1">INDEX(#REF!,MATCH(D4,#REF!,0),3)</f>
        <v>#REF!</v>
      </c>
      <c r="E6" s="370" t="e">
        <f ca="1">INDEX(#REF!,MATCH(E4,#REF!,0),3)</f>
        <v>#REF!</v>
      </c>
      <c r="F6" s="370" t="e">
        <f ca="1">INDEX(#REF!,MATCH(F4,#REF!,0),3)</f>
        <v>#REF!</v>
      </c>
      <c r="G6" s="371" t="e">
        <f ca="1">B6</f>
        <v>#REF!</v>
      </c>
      <c r="H6" s="372" t="e">
        <f ca="1">INDEX(#REF!,MATCH(H4,#REF!,0),3)</f>
        <v>#REF!</v>
      </c>
      <c r="I6" s="372" t="e">
        <f ca="1">INDEX(#REF!,MATCH(I4,#REF!,0),3)</f>
        <v>#REF!</v>
      </c>
      <c r="J6" s="372" t="e">
        <f ca="1">INDEX(#REF!,MATCH(J4,#REF!,0),3)</f>
        <v>#REF!</v>
      </c>
      <c r="K6" s="372" t="e">
        <f ca="1">INDEX(#REF!,MATCH(K4,#REF!,0),3)</f>
        <v>#REF!</v>
      </c>
      <c r="L6" s="372" t="e">
        <f ca="1">INDEX(#REF!,MATCH(L4,#REF!,0),3)</f>
        <v>#REF!</v>
      </c>
      <c r="M6" s="373" t="e">
        <f ca="1">H6</f>
        <v>#REF!</v>
      </c>
      <c r="N6" s="374" t="e">
        <f ca="1">INDEX(#REF!,MATCH(N4,#REF!,0),3)</f>
        <v>#REF!</v>
      </c>
      <c r="O6" s="374" t="e">
        <f ca="1">INDEX(#REF!,MATCH(O4,#REF!,0),3)</f>
        <v>#REF!</v>
      </c>
      <c r="P6" s="374" t="e">
        <f ca="1">INDEX(#REF!,MATCH(P4,#REF!,0),3)</f>
        <v>#REF!</v>
      </c>
      <c r="Q6" s="374" t="e">
        <f ca="1">INDEX(#REF!,MATCH(Q4,#REF!,0),3)</f>
        <v>#REF!</v>
      </c>
      <c r="R6" s="374" t="e">
        <f ca="1">INDEX(#REF!,MATCH(R4,#REF!,0),3)</f>
        <v>#REF!</v>
      </c>
      <c r="S6" s="375" t="e">
        <f ca="1">N6</f>
        <v>#REF!</v>
      </c>
      <c r="T6" s="366" t="s">
        <v>112</v>
      </c>
      <c r="U6" s="366">
        <v>-10.0</v>
      </c>
      <c r="V6"/>
      <c r="W6"/>
      <c r="X6"/>
      <c r="Y6"/>
      <c r="Z6"/>
      <c r="AA6"/>
      <c r="AB6"/>
      <c r="AC6"/>
      <c r="AD6"/>
      <c r="AE6"/>
      <c r="AF6"/>
      <c r="XFD6" s="24"/>
    </row>
    <row r="7" spans="8:8">
      <c r="A7" s="317" t="s">
        <v>48</v>
      </c>
      <c r="B7" s="376" t="e">
        <f ca="1">MAX(INDEX(#REF!,MATCH(B4,#REF!,0),4)+(B5),0)</f>
        <v>#REF!</v>
      </c>
      <c r="C7" s="376" t="e">
        <f ca="1">MAX(INDEX(#REF!,MATCH(C4,#REF!,0),4)+(C5),0)</f>
        <v>#REF!</v>
      </c>
      <c r="D7" s="376" t="e">
        <f ca="1">MAX(INDEX(#REF!,MATCH(D4,#REF!,0),4)+(D5),0)</f>
        <v>#REF!</v>
      </c>
      <c r="E7" s="376" t="e">
        <f ca="1">MAX(INDEX(#REF!,MATCH(E4,#REF!,0),4)+(E5),0)</f>
        <v>#REF!</v>
      </c>
      <c r="F7" s="376" t="e">
        <f ca="1">MAX(INDEX(#REF!,MATCH(F4,#REF!,0),4)+(F5),0)</f>
        <v>#REF!</v>
      </c>
      <c r="G7" s="377" t="e">
        <f t="shared" si="0" ref="G7:G12">SUM(B7+((C7+D7+E7+F7)/2))</f>
        <v>#REF!</v>
      </c>
      <c r="H7" s="378" t="e">
        <f ca="1">MAX(INDEX(#REF!,MATCH(H4,#REF!,0),4)+(H5),0)</f>
        <v>#REF!</v>
      </c>
      <c r="I7" s="378" t="e">
        <f ca="1">MAX(INDEX(#REF!,MATCH(I4,#REF!,0),4)+(I5),0)</f>
        <v>#REF!</v>
      </c>
      <c r="J7" s="378" t="e">
        <f ca="1">MAX(INDEX(#REF!,MATCH(J4,#REF!,0),4)+(J5),0)</f>
        <v>#REF!</v>
      </c>
      <c r="K7" s="378" t="e">
        <f ca="1">MAX(INDEX(#REF!,MATCH(K4,#REF!,0),4)+(K5),0)</f>
        <v>#REF!</v>
      </c>
      <c r="L7" s="378" t="e">
        <f ca="1">MAX(INDEX(#REF!,MATCH(L4,#REF!,0),4)+(L5),0)</f>
        <v>#REF!</v>
      </c>
      <c r="M7" s="379" t="e">
        <f t="shared" si="1" ref="M7:M12">SUM(H7+((I7+J7+K7+L7)/2))</f>
        <v>#REF!</v>
      </c>
      <c r="N7" s="380" t="e">
        <f ca="1">MAX(INDEX(#REF!,MATCH(N4,#REF!,0),4)+(N5),0)</f>
        <v>#REF!</v>
      </c>
      <c r="O7" s="380" t="e">
        <f ca="1">MAX(INDEX(#REF!,MATCH(O4,#REF!,0),4)+(O5),0)</f>
        <v>#REF!</v>
      </c>
      <c r="P7" s="380" t="e">
        <f ca="1">MAX(INDEX(#REF!,MATCH(P4,#REF!,0),4)+(P5),0)</f>
        <v>#REF!</v>
      </c>
      <c r="Q7" s="380" t="e">
        <f ca="1">MAX(INDEX(#REF!,MATCH(Q4,#REF!,0),4)+(Q5),0)</f>
        <v>#REF!</v>
      </c>
      <c r="R7" s="380" t="e">
        <f ca="1">MAX(INDEX(#REF!,MATCH(R4,#REF!,0),4)+(R5),0)</f>
        <v>#REF!</v>
      </c>
      <c r="S7" s="381" t="e">
        <f t="shared" si="2" ref="S7:S12">SUM(N7+((O7+P7+Q7+R7)/2))</f>
        <v>#REF!</v>
      </c>
      <c r="T7" s="24" t="s">
        <v>114</v>
      </c>
      <c r="U7" s="24">
        <v>-15.0</v>
      </c>
      <c r="V7"/>
      <c r="W7"/>
      <c r="X7"/>
      <c r="Y7"/>
      <c r="Z7"/>
      <c r="AA7"/>
      <c r="AB7"/>
      <c r="AC7"/>
      <c r="AD7"/>
      <c r="AE7"/>
      <c r="AF7"/>
      <c r="XFD7" s="24"/>
    </row>
    <row r="8" spans="8:8">
      <c r="A8" s="317" t="s">
        <v>49</v>
      </c>
      <c r="B8" s="370" t="e">
        <f ca="1">MAX(INDEX(#REF!,MATCH(B4,#REF!,0),5)+(B5),0)</f>
        <v>#REF!</v>
      </c>
      <c r="C8" s="370" t="e">
        <f ca="1">MAX(INDEX(#REF!,MATCH(C4,#REF!,0),5)+(C5),0)</f>
        <v>#REF!</v>
      </c>
      <c r="D8" s="370" t="e">
        <f ca="1">MAX(INDEX(#REF!,MATCH(D4,#REF!,0),5)+(D5),0)</f>
        <v>#REF!</v>
      </c>
      <c r="E8" s="370" t="e">
        <f ca="1">MAX(INDEX(#REF!,MATCH(E4,#REF!,0),5)+(E5),0)</f>
        <v>#REF!</v>
      </c>
      <c r="F8" s="370" t="e">
        <f ca="1">MAX(INDEX(#REF!,MATCH(F4,#REF!,0),5)+(F5),0)</f>
        <v>#REF!</v>
      </c>
      <c r="G8" s="371" t="e">
        <f t="shared" si="0"/>
        <v>#REF!</v>
      </c>
      <c r="H8" s="372" t="e">
        <f ca="1">MAX(INDEX(#REF!,MATCH(H4,#REF!,0),5)+(H5),0)</f>
        <v>#REF!</v>
      </c>
      <c r="I8" s="372" t="e">
        <f ca="1">MAX(INDEX(#REF!,MATCH(I4,#REF!,0),5)+(I5),0)</f>
        <v>#REF!</v>
      </c>
      <c r="J8" s="372" t="e">
        <f ca="1">MAX(INDEX(#REF!,MATCH(J4,#REF!,0),5)+(J5),0)</f>
        <v>#REF!</v>
      </c>
      <c r="K8" s="372" t="e">
        <f ca="1">MAX(INDEX(#REF!,MATCH(K4,#REF!,0),5)+(K5),0)</f>
        <v>#REF!</v>
      </c>
      <c r="L8" s="372" t="e">
        <f ca="1">MAX(INDEX(#REF!,MATCH(L4,#REF!,0),5)+(L5),0)</f>
        <v>#REF!</v>
      </c>
      <c r="M8" s="373" t="e">
        <f t="shared" si="1"/>
        <v>#REF!</v>
      </c>
      <c r="N8" s="374" t="e">
        <f ca="1">MAX(INDEX(#REF!,MATCH(N4,#REF!,0),5)+(N5),0)</f>
        <v>#REF!</v>
      </c>
      <c r="O8" s="374" t="e">
        <f ca="1">MAX(INDEX(#REF!,MATCH(O4,#REF!,0),5)+(O5),0)</f>
        <v>#REF!</v>
      </c>
      <c r="P8" s="374" t="e">
        <f ca="1">MAX(INDEX(#REF!,MATCH(P4,#REF!,0),5)+(P5),0)</f>
        <v>#REF!</v>
      </c>
      <c r="Q8" s="374" t="e">
        <f ca="1">MAX(INDEX(#REF!,MATCH(Q4,#REF!,0),5)+(Q5),0)</f>
        <v>#REF!</v>
      </c>
      <c r="R8" s="374" t="e">
        <f ca="1">MAX(INDEX(#REF!,MATCH(R4,#REF!,0),5)+(R5),0)</f>
        <v>#REF!</v>
      </c>
      <c r="S8" s="375" t="e">
        <f t="shared" si="2"/>
        <v>#REF!</v>
      </c>
      <c r="T8" s="366" t="s">
        <v>115</v>
      </c>
      <c r="U8" s="366">
        <v>-20.0</v>
      </c>
      <c r="V8"/>
      <c r="W8"/>
      <c r="X8"/>
      <c r="Y8"/>
      <c r="Z8"/>
      <c r="AA8"/>
      <c r="AB8"/>
      <c r="AC8"/>
      <c r="AD8"/>
      <c r="AE8"/>
      <c r="AF8"/>
      <c r="XFD8" s="24"/>
    </row>
    <row r="9" spans="8:8">
      <c r="A9" s="317" t="s">
        <v>50</v>
      </c>
      <c r="B9" s="376" t="e">
        <f ca="1">MAX(INDEX(#REF!,MATCH(B4,#REF!,0),6)+(B5),0)</f>
        <v>#REF!</v>
      </c>
      <c r="C9" s="376" t="e">
        <f ca="1">MAX(INDEX(#REF!,MATCH(C4,#REF!,0),6)+(C5),0)</f>
        <v>#REF!</v>
      </c>
      <c r="D9" s="376" t="e">
        <f ca="1">MAX(INDEX(#REF!,MATCH(D4,#REF!,0),6)+(D5),0)</f>
        <v>#REF!</v>
      </c>
      <c r="E9" s="376" t="e">
        <f ca="1">MAX(INDEX(#REF!,MATCH(E4,#REF!,0),6)+(E5),0)</f>
        <v>#REF!</v>
      </c>
      <c r="F9" s="376" t="e">
        <f ca="1">MAX(INDEX(#REF!,MATCH(F4,#REF!,0),6)+(F5),0)</f>
        <v>#REF!</v>
      </c>
      <c r="G9" s="377" t="e">
        <f t="shared" si="0"/>
        <v>#REF!</v>
      </c>
      <c r="H9" s="378" t="e">
        <f ca="1">MAX(INDEX(#REF!,MATCH(H4,#REF!,0),6)+(H5),0)</f>
        <v>#REF!</v>
      </c>
      <c r="I9" s="378" t="e">
        <f ca="1">MAX(INDEX(#REF!,MATCH(I4,#REF!,0),6)+(I5),0)</f>
        <v>#REF!</v>
      </c>
      <c r="J9" s="378" t="e">
        <f ca="1">MAX(INDEX(#REF!,MATCH(J4,#REF!,0),6)+(J5),0)</f>
        <v>#REF!</v>
      </c>
      <c r="K9" s="378" t="e">
        <f ca="1">MAX(INDEX(#REF!,MATCH(K4,#REF!,0),6)+(K5),0)</f>
        <v>#REF!</v>
      </c>
      <c r="L9" s="378" t="e">
        <f ca="1">MAX(INDEX(#REF!,MATCH(L4,#REF!,0),6)+(L5),0)</f>
        <v>#REF!</v>
      </c>
      <c r="M9" s="379" t="e">
        <f t="shared" si="1"/>
        <v>#REF!</v>
      </c>
      <c r="N9" s="380" t="e">
        <f ca="1">MAX(INDEX(#REF!,MATCH(N4,#REF!,0),6)+(N5),0)</f>
        <v>#REF!</v>
      </c>
      <c r="O9" s="380" t="e">
        <f ca="1">MAX(INDEX(#REF!,MATCH(O4,#REF!,0),6)+(O5),0)</f>
        <v>#REF!</v>
      </c>
      <c r="P9" s="380" t="e">
        <f ca="1">MAX(INDEX(#REF!,MATCH(P4,#REF!,0),6)+(P5),0)</f>
        <v>#REF!</v>
      </c>
      <c r="Q9" s="380" t="e">
        <f ca="1">MAX(INDEX(#REF!,MATCH(Q4,#REF!,0),6)+(Q5),0)</f>
        <v>#REF!</v>
      </c>
      <c r="R9" s="380" t="e">
        <f ca="1">MAX(INDEX(#REF!,MATCH(R4,#REF!,0),6)+(R5),0)</f>
        <v>#REF!</v>
      </c>
      <c r="S9" s="381" t="e">
        <f t="shared" si="2"/>
        <v>#REF!</v>
      </c>
      <c r="T9" s="24" t="s">
        <v>116</v>
      </c>
      <c r="U9" s="24">
        <v>-25.0</v>
      </c>
      <c r="V9"/>
      <c r="W9"/>
      <c r="X9"/>
      <c r="Y9"/>
      <c r="Z9"/>
      <c r="AA9"/>
      <c r="AB9"/>
      <c r="AC9"/>
      <c r="AD9"/>
      <c r="AE9"/>
      <c r="AF9"/>
      <c r="XFD9" s="24"/>
    </row>
    <row r="10" spans="8:8">
      <c r="A10" s="317" t="s">
        <v>51</v>
      </c>
      <c r="B10" s="370" t="e">
        <f ca="1">MAX(INDEX(#REF!,MATCH(B4,#REF!,0),7)+(B5),0)</f>
        <v>#REF!</v>
      </c>
      <c r="C10" s="370" t="e">
        <f ca="1">MAX(INDEX(#REF!,MATCH(C4,#REF!,0),7)+(C5),0)</f>
        <v>#REF!</v>
      </c>
      <c r="D10" s="370" t="e">
        <f ca="1">MAX(INDEX(#REF!,MATCH(D4,#REF!,0),7)+(D5),0)</f>
        <v>#REF!</v>
      </c>
      <c r="E10" s="370" t="e">
        <f ca="1">MAX(INDEX(#REF!,MATCH(E4,#REF!,0),7)+(E5),0)</f>
        <v>#REF!</v>
      </c>
      <c r="F10" s="370" t="e">
        <f ca="1">MAX(INDEX(#REF!,MATCH(F4,#REF!,0),7)+(F5),0)</f>
        <v>#REF!</v>
      </c>
      <c r="G10" s="371" t="e">
        <f t="shared" si="0"/>
        <v>#REF!</v>
      </c>
      <c r="H10" s="372" t="e">
        <f ca="1">MAX(INDEX(#REF!,MATCH(H4,#REF!,0),7)+(H5),0)</f>
        <v>#REF!</v>
      </c>
      <c r="I10" s="372" t="e">
        <f ca="1">MAX(INDEX(#REF!,MATCH(I4,#REF!,0),7)+(I5),0)</f>
        <v>#REF!</v>
      </c>
      <c r="J10" s="372" t="e">
        <f ca="1">MAX(INDEX(#REF!,MATCH(J4,#REF!,0),7)+(J5),0)</f>
        <v>#REF!</v>
      </c>
      <c r="K10" s="372" t="e">
        <f ca="1">MAX(INDEX(#REF!,MATCH(K4,#REF!,0),7)+(K5),0)</f>
        <v>#REF!</v>
      </c>
      <c r="L10" s="372" t="e">
        <f ca="1">MAX(INDEX(#REF!,MATCH(L4,#REF!,0),7)+(L5),0)</f>
        <v>#REF!</v>
      </c>
      <c r="M10" s="373" t="e">
        <f t="shared" si="1"/>
        <v>#REF!</v>
      </c>
      <c r="N10" s="374" t="e">
        <f ca="1">MAX(INDEX(#REF!,MATCH(N4,#REF!,0),7)+(N5),0)</f>
        <v>#REF!</v>
      </c>
      <c r="O10" s="374" t="e">
        <f ca="1">MAX(INDEX(#REF!,MATCH(O4,#REF!,0),7)+(O5),0)</f>
        <v>#REF!</v>
      </c>
      <c r="P10" s="374" t="e">
        <f ca="1">MAX(INDEX(#REF!,MATCH(P4,#REF!,0),7)+(P5),0)</f>
        <v>#REF!</v>
      </c>
      <c r="Q10" s="374" t="e">
        <f ca="1">MAX(INDEX(#REF!,MATCH(Q4,#REF!,0),7)+(Q5),0)</f>
        <v>#REF!</v>
      </c>
      <c r="R10" s="374" t="e">
        <f ca="1">MAX(INDEX(#REF!,MATCH(R4,#REF!,0),7)+(R5),0)</f>
        <v>#REF!</v>
      </c>
      <c r="S10" s="375" t="e">
        <f t="shared" si="2"/>
        <v>#REF!</v>
      </c>
      <c r="T10" s="366" t="s">
        <v>118</v>
      </c>
      <c r="U10" s="366">
        <v>-30.0</v>
      </c>
      <c r="V10"/>
      <c r="W10"/>
      <c r="X10"/>
      <c r="Y10"/>
      <c r="Z10"/>
      <c r="AA10"/>
      <c r="AB10"/>
      <c r="AC10"/>
      <c r="AD10"/>
      <c r="AE10"/>
      <c r="AF10"/>
      <c r="XFD10" s="24"/>
    </row>
    <row r="11" spans="8:8">
      <c r="A11" s="317" t="s">
        <v>52</v>
      </c>
      <c r="B11" s="376" t="e">
        <f ca="1">MAX(INDEX(#REF!,MATCH(B4,#REF!,0),8)+(B5),0)</f>
        <v>#REF!</v>
      </c>
      <c r="C11" s="376" t="e">
        <f ca="1">MAX(INDEX(#REF!,MATCH(C4,#REF!,0),8)+(C5),0)</f>
        <v>#REF!</v>
      </c>
      <c r="D11" s="376" t="e">
        <f ca="1">MAX(INDEX(#REF!,MATCH(D4,#REF!,0),8)+(D5),0)</f>
        <v>#REF!</v>
      </c>
      <c r="E11" s="376" t="e">
        <f ca="1">MAX(INDEX(#REF!,MATCH(E4,#REF!,0),8)+(E5),0)</f>
        <v>#REF!</v>
      </c>
      <c r="F11" s="376" t="e">
        <f ca="1">MAX(INDEX(#REF!,MATCH(F4,#REF!,0),8)+(F5),0)</f>
        <v>#REF!</v>
      </c>
      <c r="G11" s="377" t="e">
        <f t="shared" si="0"/>
        <v>#REF!</v>
      </c>
      <c r="H11" s="378" t="e">
        <f ca="1">MAX(INDEX(#REF!,MATCH(H4,#REF!,0),8)+(H5),0)</f>
        <v>#REF!</v>
      </c>
      <c r="I11" s="378" t="e">
        <f ca="1">MAX(INDEX(#REF!,MATCH(I4,#REF!,0),8)+(I5),0)</f>
        <v>#REF!</v>
      </c>
      <c r="J11" s="378" t="e">
        <f ca="1">MAX(INDEX(#REF!,MATCH(J4,#REF!,0),8)+(J5),0)</f>
        <v>#REF!</v>
      </c>
      <c r="K11" s="378" t="e">
        <f ca="1">MAX(INDEX(#REF!,MATCH(K4,#REF!,0),8)+(K5),0)</f>
        <v>#REF!</v>
      </c>
      <c r="L11" s="378" t="e">
        <f ca="1">MAX(INDEX(#REF!,MATCH(L4,#REF!,0),8)+(L5),0)</f>
        <v>#REF!</v>
      </c>
      <c r="M11" s="379" t="e">
        <f t="shared" si="1"/>
        <v>#REF!</v>
      </c>
      <c r="N11" s="380" t="e">
        <f ca="1">MAX(INDEX(#REF!,MATCH(N4,#REF!,0),8)+(N5),0)</f>
        <v>#REF!</v>
      </c>
      <c r="O11" s="380" t="e">
        <f ca="1">MAX(INDEX(#REF!,MATCH(O4,#REF!,0),8)+(O5),0)</f>
        <v>#REF!</v>
      </c>
      <c r="P11" s="380" t="e">
        <f ca="1">MAX(INDEX(#REF!,MATCH(P4,#REF!,0),8)+(P5),0)</f>
        <v>#REF!</v>
      </c>
      <c r="Q11" s="380" t="e">
        <f ca="1">MAX(INDEX(#REF!,MATCH(Q4,#REF!,0),8)+(Q5),0)</f>
        <v>#REF!</v>
      </c>
      <c r="R11" s="380" t="e">
        <f ca="1">MAX(INDEX(#REF!,MATCH(R4,#REF!,0),8)+(R5),0)</f>
        <v>#REF!</v>
      </c>
      <c r="S11" s="381" t="e">
        <f t="shared" si="2"/>
        <v>#REF!</v>
      </c>
      <c r="T11" s="24" t="s">
        <v>122</v>
      </c>
      <c r="U11" s="24">
        <v>-35.0</v>
      </c>
      <c r="V11"/>
      <c r="W11"/>
      <c r="X11"/>
      <c r="Y11"/>
      <c r="Z11"/>
      <c r="AA11"/>
      <c r="AB11"/>
      <c r="AC11"/>
      <c r="AD11"/>
      <c r="AE11"/>
      <c r="AF11"/>
      <c r="XFD11" s="24"/>
    </row>
    <row r="12" spans="8:8">
      <c r="A12" s="317" t="s">
        <v>53</v>
      </c>
      <c r="B12" s="370" t="e">
        <f ca="1">MAX(INDEX(#REF!,MATCH(B4,#REF!,0),9)+(B5),0)</f>
        <v>#REF!</v>
      </c>
      <c r="C12" s="370" t="e">
        <f ca="1">MAX(INDEX(#REF!,MATCH(C4,#REF!,0),9)+(C5),0)</f>
        <v>#REF!</v>
      </c>
      <c r="D12" s="370" t="e">
        <f ca="1">MAX(INDEX(#REF!,MATCH(D4,#REF!,0),9)+(D5),0)</f>
        <v>#REF!</v>
      </c>
      <c r="E12" s="370" t="e">
        <f ca="1">MAX(INDEX(#REF!,MATCH(E4,#REF!,0),9)+(E5),0)</f>
        <v>#REF!</v>
      </c>
      <c r="F12" s="370" t="e">
        <f ca="1">MAX(INDEX(#REF!,MATCH(F4,#REF!,0),9)+(F5),0)</f>
        <v>#REF!</v>
      </c>
      <c r="G12" s="371" t="e">
        <f t="shared" si="0"/>
        <v>#REF!</v>
      </c>
      <c r="H12" s="372" t="e">
        <f ca="1">MAX(INDEX(#REF!,MATCH(H4,#REF!,0),9)+(H5),0)</f>
        <v>#REF!</v>
      </c>
      <c r="I12" s="372" t="e">
        <f ca="1">MAX(INDEX(#REF!,MATCH(I4,#REF!,0),9)+(I5),0)</f>
        <v>#REF!</v>
      </c>
      <c r="J12" s="372" t="e">
        <f ca="1">MAX(INDEX(#REF!,MATCH(J4,#REF!,0),9)+(J5),0)</f>
        <v>#REF!</v>
      </c>
      <c r="K12" s="372" t="e">
        <f ca="1">MAX(INDEX(#REF!,MATCH(K4,#REF!,0),9)+(K5),0)</f>
        <v>#REF!</v>
      </c>
      <c r="L12" s="372" t="e">
        <f ca="1">MAX(INDEX(#REF!,MATCH(L4,#REF!,0),9)+(L5),0)</f>
        <v>#REF!</v>
      </c>
      <c r="M12" s="373" t="e">
        <f t="shared" si="1"/>
        <v>#REF!</v>
      </c>
      <c r="N12" s="374" t="e">
        <f ca="1">MAX(INDEX(#REF!,MATCH(N4,#REF!,0),9)+(N5),0)</f>
        <v>#REF!</v>
      </c>
      <c r="O12" s="374" t="e">
        <f ca="1">MAX(INDEX(#REF!,MATCH(O4,#REF!,0),9)+(O5),0)</f>
        <v>#REF!</v>
      </c>
      <c r="P12" s="374" t="e">
        <f ca="1">MAX(INDEX(#REF!,MATCH(P4,#REF!,0),9)+(P5),0)</f>
        <v>#REF!</v>
      </c>
      <c r="Q12" s="374" t="e">
        <f ca="1">MAX(INDEX(#REF!,MATCH(Q4,#REF!,0),9)+(Q5),0)</f>
        <v>#REF!</v>
      </c>
      <c r="R12" s="374" t="e">
        <f ca="1">MAX(INDEX(#REF!,MATCH(R4,#REF!,0),9)+(R5),0)</f>
        <v>#REF!</v>
      </c>
      <c r="S12" s="375" t="e">
        <f t="shared" si="2"/>
        <v>#REF!</v>
      </c>
      <c r="T12" s="366" t="s">
        <v>123</v>
      </c>
      <c r="U12" s="366">
        <v>-40.0</v>
      </c>
      <c r="V12"/>
      <c r="W12"/>
      <c r="X12"/>
      <c r="Y12"/>
      <c r="Z12"/>
      <c r="AA12"/>
      <c r="AB12"/>
      <c r="AC12"/>
      <c r="AD12"/>
      <c r="AE12"/>
      <c r="AF12"/>
      <c r="XFD12" s="24"/>
    </row>
    <row r="13" spans="8:8" ht="24.0">
      <c r="A13" s="382" t="s">
        <v>124</v>
      </c>
      <c r="B13" s="383"/>
      <c r="C13" s="384"/>
      <c r="D13" s="384"/>
      <c r="E13" s="384"/>
      <c r="F13" s="385"/>
      <c r="G13" s="386">
        <f>IF($D$98="辅助胜率正常",SUM(B13:F13),B13+SUM(C13:F13)/2)</f>
        <v>0.0</v>
      </c>
      <c r="H13" s="387"/>
      <c r="I13" s="388"/>
      <c r="J13" s="388"/>
      <c r="K13" s="388"/>
      <c r="L13" s="389"/>
      <c r="M13" s="390">
        <f>IF($D$98="辅助胜率正常",SUM(H13:L13),H13+SUM(I13:L13)/2)</f>
        <v>0.0</v>
      </c>
      <c r="N13" s="391"/>
      <c r="O13" s="392"/>
      <c r="P13" s="392"/>
      <c r="Q13" s="392"/>
      <c r="R13" s="393"/>
      <c r="S13" s="394">
        <f>IF($D$98="辅助胜率正常",SUM(N13:R13),N13+SUM(O13:R13)/2)</f>
        <v>0.0</v>
      </c>
      <c r="T13"/>
      <c r="U13"/>
      <c r="V13"/>
      <c r="W13"/>
      <c r="X13"/>
      <c r="Y13"/>
      <c r="Z13"/>
      <c r="AA13"/>
      <c r="XFD13" s="24"/>
    </row>
    <row r="14" spans="8:8">
      <c r="A14" s="395" t="s">
        <v>176</v>
      </c>
      <c r="B14" s="396"/>
      <c r="C14" s="396" t="s">
        <v>182</v>
      </c>
      <c r="D14" s="396"/>
      <c r="E14" s="397"/>
      <c r="F14" s="397"/>
      <c r="G14" s="397"/>
      <c r="H14" s="398"/>
      <c r="I14" s="399"/>
      <c r="J14" s="399"/>
      <c r="K14" s="399"/>
      <c r="L14" s="399"/>
      <c r="M14" s="399"/>
      <c r="P14"/>
      <c r="Q14"/>
      <c r="R14"/>
      <c r="S14"/>
      <c r="T14"/>
      <c r="U14"/>
      <c r="V14"/>
      <c r="W14"/>
      <c r="X14"/>
      <c r="Y14"/>
      <c r="Z14"/>
    </row>
    <row r="15" spans="8:8">
      <c r="A15" s="400"/>
      <c r="B15" s="356"/>
      <c r="C15" s="356"/>
      <c r="D15" s="356"/>
      <c r="E15" s="3" t="s">
        <v>183</v>
      </c>
      <c r="F15" s="3"/>
      <c r="G15" s="3"/>
      <c r="H15" s="401"/>
      <c r="I15" s="399"/>
      <c r="J15" s="399"/>
      <c r="K15" s="399"/>
      <c r="L15" s="399"/>
      <c r="M15" s="399"/>
      <c r="P15"/>
      <c r="Q15"/>
      <c r="R15"/>
      <c r="S15"/>
      <c r="T15"/>
      <c r="U15"/>
      <c r="V15"/>
      <c r="W15"/>
      <c r="X15"/>
      <c r="Y15"/>
      <c r="Z15"/>
    </row>
    <row r="16" spans="8:8" ht="13.5" outlineLevel="1" customHeight="1">
      <c r="A16" s="402" t="s">
        <v>88</v>
      </c>
      <c r="B16" s="403" t="s">
        <v>184</v>
      </c>
      <c r="C16" s="403" t="s">
        <v>185</v>
      </c>
      <c r="D16" s="403" t="s">
        <v>186</v>
      </c>
      <c r="E16" s="403" t="s">
        <v>187</v>
      </c>
      <c r="F16" s="403" t="s">
        <v>188</v>
      </c>
      <c r="G16" s="403" t="s">
        <v>189</v>
      </c>
      <c r="H16" s="404" t="s">
        <v>190</v>
      </c>
      <c r="I16" s="405" t="s">
        <v>127</v>
      </c>
      <c r="J16" s="399"/>
      <c r="K16" s="399"/>
      <c r="L16" s="399"/>
      <c r="M16" s="399"/>
      <c r="P16"/>
      <c r="Q16"/>
      <c r="R16"/>
      <c r="S16"/>
      <c r="T16"/>
      <c r="U16"/>
      <c r="V16"/>
      <c r="W16"/>
      <c r="X16"/>
      <c r="Y16"/>
      <c r="Z16"/>
    </row>
    <row r="17" spans="8:8" ht="13.5" outlineLevel="1" customHeight="1">
      <c r="A17" s="406" t="str">
        <f>B4</f>
        <v>无</v>
      </c>
      <c r="B17" s="407"/>
      <c r="C17" s="407"/>
      <c r="D17" s="407"/>
      <c r="E17" s="407"/>
      <c r="F17" s="407"/>
      <c r="G17" s="407"/>
      <c r="H17" s="408"/>
      <c r="I17" s="409"/>
      <c r="K17" s="399"/>
      <c r="L17" s="399"/>
      <c r="M17" s="399"/>
      <c r="P17"/>
      <c r="Q17"/>
      <c r="R17"/>
      <c r="S17"/>
      <c r="T17"/>
      <c r="U17"/>
      <c r="V17"/>
      <c r="W17"/>
      <c r="X17"/>
      <c r="Y17"/>
      <c r="Z17"/>
    </row>
    <row r="18" spans="8:8" ht="13.5" outlineLevel="1" customHeight="1">
      <c r="A18" s="406" t="str">
        <f>C4</f>
        <v>无</v>
      </c>
      <c r="B18" s="407"/>
      <c r="C18" s="407"/>
      <c r="D18" s="407"/>
      <c r="E18" s="407"/>
      <c r="F18" s="407"/>
      <c r="G18" s="407"/>
      <c r="H18" s="408"/>
      <c r="I18" s="409"/>
      <c r="K18" s="399"/>
      <c r="L18" s="399"/>
      <c r="M18" s="399"/>
      <c r="P18"/>
      <c r="Q18"/>
      <c r="R18"/>
      <c r="S18"/>
      <c r="T18"/>
      <c r="U18"/>
      <c r="V18"/>
      <c r="W18"/>
      <c r="X18"/>
      <c r="Y18"/>
      <c r="Z18"/>
    </row>
    <row r="19" spans="8:8" ht="13.5" outlineLevel="1" customHeight="1">
      <c r="A19" s="406" t="str">
        <f t="shared" si="3" ref="A19">D4</f>
        <v>无</v>
      </c>
      <c r="B19" s="407"/>
      <c r="C19" s="407"/>
      <c r="D19" s="407"/>
      <c r="E19" s="407"/>
      <c r="F19" s="407"/>
      <c r="G19" s="407"/>
      <c r="H19" s="408"/>
      <c r="I19" s="409"/>
      <c r="K19" s="399"/>
      <c r="L19" s="399"/>
      <c r="M19" s="399"/>
      <c r="P19"/>
      <c r="Q19"/>
      <c r="R19"/>
      <c r="S19"/>
      <c r="T19"/>
      <c r="U19"/>
      <c r="V19"/>
      <c r="W19"/>
      <c r="X19"/>
      <c r="Y19"/>
      <c r="Z19"/>
    </row>
    <row r="20" spans="8:8" ht="13.5" outlineLevel="1" customHeight="1">
      <c r="A20" s="406" t="str">
        <f>E4</f>
        <v>无</v>
      </c>
      <c r="B20" s="407"/>
      <c r="C20" s="407"/>
      <c r="D20" s="407"/>
      <c r="E20" s="407"/>
      <c r="F20" s="407"/>
      <c r="G20" s="407"/>
      <c r="H20" s="408"/>
      <c r="I20" s="409"/>
      <c r="J20" s="410">
        <f>IF($D$98="辅助胜率正常",SUM(I17:I21),I17+SUM(I18:I21)/2)</f>
        <v>0.0</v>
      </c>
      <c r="K20" s="399"/>
      <c r="L20" s="399"/>
      <c r="M20" s="399"/>
      <c r="P20"/>
      <c r="Q20"/>
      <c r="R20"/>
      <c r="S20"/>
      <c r="T20"/>
      <c r="U20"/>
      <c r="V20"/>
      <c r="W20"/>
      <c r="X20"/>
      <c r="Y20"/>
      <c r="Z20"/>
    </row>
    <row r="21" spans="8:8" ht="13.5" outlineLevel="1" customHeight="1">
      <c r="A21" s="411" t="str">
        <f>F4</f>
        <v>无</v>
      </c>
      <c r="B21" s="412"/>
      <c r="C21" s="412"/>
      <c r="D21" s="412"/>
      <c r="E21" s="412"/>
      <c r="F21" s="412"/>
      <c r="G21" s="412"/>
      <c r="H21" s="413"/>
      <c r="I21" s="409"/>
      <c r="J21" s="414"/>
      <c r="K21" s="399"/>
      <c r="L21" s="399"/>
      <c r="M21" s="399"/>
      <c r="P21"/>
      <c r="Q21"/>
      <c r="R21"/>
      <c r="S21"/>
      <c r="T21"/>
      <c r="U21"/>
      <c r="V21"/>
      <c r="W21"/>
      <c r="X21"/>
      <c r="Y21"/>
      <c r="Z21"/>
    </row>
    <row r="22" spans="8:8" ht="13.5" outlineLevel="1" customHeight="1">
      <c r="A22" s="415" t="str">
        <f>H4</f>
        <v>无</v>
      </c>
      <c r="B22" s="416"/>
      <c r="C22" s="416"/>
      <c r="D22" s="416"/>
      <c r="E22" s="416"/>
      <c r="F22" s="416"/>
      <c r="G22" s="416"/>
      <c r="H22" s="417"/>
      <c r="I22" s="418"/>
      <c r="K22" s="399"/>
      <c r="L22" s="399"/>
      <c r="M22" s="399"/>
      <c r="P22"/>
      <c r="Q22"/>
      <c r="R22"/>
      <c r="S22"/>
      <c r="T22"/>
      <c r="U22"/>
      <c r="V22"/>
      <c r="W22"/>
      <c r="X22"/>
      <c r="Y22"/>
      <c r="Z22"/>
    </row>
    <row r="23" spans="8:8" ht="13.5" outlineLevel="1" customHeight="1">
      <c r="A23" s="419" t="str">
        <f>I4</f>
        <v>无</v>
      </c>
      <c r="B23" s="407"/>
      <c r="C23" s="407"/>
      <c r="D23" s="407"/>
      <c r="E23" s="407"/>
      <c r="F23" s="407"/>
      <c r="G23" s="407"/>
      <c r="H23" s="408"/>
      <c r="I23" s="420"/>
      <c r="J23" s="399"/>
      <c r="K23" s="399"/>
      <c r="L23" s="399"/>
      <c r="M23" s="399"/>
      <c r="N23" s="421"/>
      <c r="P23"/>
      <c r="Q23"/>
      <c r="R23"/>
      <c r="S23"/>
      <c r="T23"/>
      <c r="U23"/>
      <c r="V23"/>
      <c r="W23"/>
      <c r="X23"/>
      <c r="Y23"/>
      <c r="Z23"/>
    </row>
    <row r="24" spans="8:8" ht="13.5" outlineLevel="1" customHeight="1">
      <c r="A24" s="419" t="str">
        <f t="shared" si="4" ref="A24">J4</f>
        <v>无</v>
      </c>
      <c r="B24" s="407"/>
      <c r="C24" s="407"/>
      <c r="D24" s="407"/>
      <c r="E24" s="407"/>
      <c r="F24" s="407"/>
      <c r="G24" s="407"/>
      <c r="H24" s="408"/>
      <c r="I24" s="420"/>
      <c r="J24" s="399"/>
      <c r="K24" s="399"/>
      <c r="L24" s="399"/>
      <c r="M24" s="399"/>
      <c r="N24" s="421"/>
      <c r="P24"/>
      <c r="Q24"/>
      <c r="R24"/>
      <c r="S24"/>
      <c r="T24"/>
      <c r="U24"/>
      <c r="V24"/>
      <c r="W24"/>
      <c r="X24"/>
      <c r="Y24"/>
      <c r="Z24"/>
    </row>
    <row r="25" spans="8:8" ht="13.5" outlineLevel="1" customHeight="1">
      <c r="A25" s="419" t="str">
        <f>K4</f>
        <v>无</v>
      </c>
      <c r="B25" s="407"/>
      <c r="C25" s="407"/>
      <c r="D25" s="407"/>
      <c r="E25" s="407"/>
      <c r="F25" s="407"/>
      <c r="G25" s="407"/>
      <c r="H25" s="408"/>
      <c r="I25" s="420"/>
      <c r="J25" s="422">
        <f>IF($D$98="辅助胜率正常",SUM(I22:I26),I22+SUM(I23:I26)/2)</f>
        <v>0.0</v>
      </c>
      <c r="K25" s="399"/>
      <c r="L25" s="399"/>
      <c r="M25" s="399"/>
      <c r="N25" s="421"/>
      <c r="P25"/>
      <c r="Q25"/>
      <c r="R25"/>
      <c r="S25"/>
      <c r="T25"/>
      <c r="U25"/>
      <c r="V25"/>
      <c r="W25"/>
      <c r="X25"/>
      <c r="Y25"/>
      <c r="Z25"/>
    </row>
    <row r="26" spans="8:8" ht="13.5" outlineLevel="1" customHeight="1">
      <c r="A26" s="423" t="str">
        <f>L4</f>
        <v>无</v>
      </c>
      <c r="B26" s="424"/>
      <c r="C26" s="424"/>
      <c r="D26" s="424"/>
      <c r="E26" s="424"/>
      <c r="F26" s="424"/>
      <c r="G26" s="424"/>
      <c r="H26" s="425"/>
      <c r="I26" s="420"/>
      <c r="J26" s="426"/>
      <c r="K26" s="399"/>
      <c r="L26" s="399"/>
      <c r="M26" s="399"/>
      <c r="N26" s="421"/>
      <c r="P26"/>
      <c r="Q26"/>
      <c r="R26"/>
      <c r="S26"/>
      <c r="T26"/>
      <c r="U26"/>
      <c r="V26"/>
      <c r="W26"/>
      <c r="X26"/>
      <c r="Y26"/>
      <c r="Z26"/>
    </row>
    <row r="27" spans="8:8" ht="13.5" outlineLevel="1" customHeight="1">
      <c r="A27" s="427" t="str">
        <f>N4</f>
        <v>无</v>
      </c>
      <c r="B27" s="416"/>
      <c r="C27" s="416"/>
      <c r="D27" s="416"/>
      <c r="E27" s="416"/>
      <c r="F27" s="416"/>
      <c r="G27" s="416"/>
      <c r="H27" s="417"/>
      <c r="I27" s="428"/>
      <c r="J27" s="399"/>
      <c r="K27" s="399"/>
      <c r="L27" s="399"/>
      <c r="M27" s="399"/>
      <c r="N27" s="421"/>
      <c r="P27"/>
      <c r="Q27"/>
      <c r="R27"/>
      <c r="S27"/>
      <c r="T27"/>
      <c r="U27"/>
      <c r="V27"/>
      <c r="W27"/>
      <c r="X27"/>
      <c r="Y27"/>
      <c r="Z27"/>
    </row>
    <row r="28" spans="8:8" ht="13.5" outlineLevel="2" customHeight="1">
      <c r="A28" s="429" t="str">
        <f>O4</f>
        <v>无</v>
      </c>
      <c r="B28" s="407"/>
      <c r="C28" s="407"/>
      <c r="D28" s="407"/>
      <c r="E28" s="407"/>
      <c r="F28" s="407"/>
      <c r="G28" s="407"/>
      <c r="H28" s="408"/>
      <c r="I28" s="430"/>
      <c r="J28" s="399"/>
      <c r="K28" s="399"/>
      <c r="L28" s="399"/>
      <c r="M28" s="399"/>
      <c r="N28" s="421"/>
      <c r="P28" s="431"/>
      <c r="R28"/>
      <c r="S28"/>
      <c r="T28"/>
      <c r="U28"/>
      <c r="V28"/>
      <c r="W28"/>
      <c r="X28"/>
      <c r="Y28"/>
      <c r="Z28"/>
      <c r="AA28"/>
      <c r="AB28"/>
      <c r="XFD28" s="24"/>
    </row>
    <row r="29" spans="8:8" ht="13.5" outlineLevel="2" customHeight="1">
      <c r="A29" s="429" t="str">
        <f>P4</f>
        <v>无</v>
      </c>
      <c r="B29" s="407"/>
      <c r="C29" s="407"/>
      <c r="D29" s="407"/>
      <c r="E29" s="407"/>
      <c r="F29" s="407"/>
      <c r="G29" s="407"/>
      <c r="H29" s="408"/>
      <c r="I29" s="430"/>
      <c r="J29" s="399"/>
      <c r="K29" s="399"/>
      <c r="L29" s="399"/>
      <c r="M29" s="399"/>
      <c r="N29" s="421"/>
      <c r="P29" s="431"/>
      <c r="R29"/>
      <c r="S29"/>
      <c r="T29"/>
      <c r="U29"/>
      <c r="V29"/>
      <c r="W29"/>
      <c r="X29"/>
      <c r="Y29"/>
      <c r="Z29"/>
      <c r="AA29"/>
      <c r="AB29"/>
      <c r="XFD29" s="24"/>
    </row>
    <row r="30" spans="8:8" ht="13.5" outlineLevel="2" customHeight="1">
      <c r="A30" s="429" t="str">
        <f>Q4</f>
        <v>无</v>
      </c>
      <c r="B30" s="407"/>
      <c r="C30" s="407"/>
      <c r="D30" s="407"/>
      <c r="E30" s="407"/>
      <c r="F30" s="407"/>
      <c r="G30" s="407"/>
      <c r="H30" s="408"/>
      <c r="I30" s="430"/>
      <c r="J30" s="432">
        <f>IF($D$98="辅助胜率正常",SUM(I27:I31),I27+SUM(I28:I31)/2)</f>
        <v>0.0</v>
      </c>
      <c r="K30" s="399"/>
      <c r="L30" s="399"/>
      <c r="M30" s="399"/>
      <c r="N30" s="421"/>
      <c r="P30" s="431"/>
      <c r="R30"/>
      <c r="S30"/>
      <c r="T30"/>
      <c r="U30"/>
      <c r="V30"/>
      <c r="W30"/>
      <c r="X30"/>
      <c r="Y30"/>
      <c r="Z30"/>
      <c r="AA30"/>
      <c r="AB30"/>
      <c r="XFD30" s="24"/>
    </row>
    <row r="31" spans="8:8" ht="13.5" outlineLevel="2" customHeight="1">
      <c r="A31" s="433" t="str">
        <f>R4</f>
        <v>无</v>
      </c>
      <c r="B31" s="424"/>
      <c r="C31" s="424"/>
      <c r="D31" s="424"/>
      <c r="E31" s="424"/>
      <c r="F31" s="424"/>
      <c r="G31" s="424"/>
      <c r="H31" s="425"/>
      <c r="I31" s="434"/>
      <c r="J31" s="435"/>
      <c r="K31" s="399"/>
      <c r="L31" s="399"/>
      <c r="M31" s="399"/>
      <c r="N31" s="421"/>
      <c r="P31" s="431"/>
      <c r="R31"/>
      <c r="S31"/>
      <c r="T31"/>
      <c r="U31"/>
      <c r="V31"/>
      <c r="W31"/>
      <c r="X31"/>
      <c r="Y31"/>
      <c r="Z31"/>
      <c r="AA31"/>
      <c r="AB31"/>
      <c r="XFD31" s="24"/>
    </row>
    <row r="32" spans="8:8" ht="18.0" outlineLevel="2" customHeight="1">
      <c r="A32" s="436"/>
      <c r="B32" s="370" t="s">
        <v>177</v>
      </c>
      <c r="C32" s="370" t="s">
        <v>191</v>
      </c>
      <c r="D32" s="370" t="s">
        <v>192</v>
      </c>
      <c r="E32" s="370" t="s">
        <v>192</v>
      </c>
      <c r="F32" s="370" t="s">
        <v>192</v>
      </c>
      <c r="G32" s="371" t="s">
        <v>104</v>
      </c>
      <c r="H32" s="437" t="s">
        <v>177</v>
      </c>
      <c r="I32" s="438" t="s">
        <v>193</v>
      </c>
      <c r="J32" s="438" t="s">
        <v>192</v>
      </c>
      <c r="K32" s="438" t="s">
        <v>192</v>
      </c>
      <c r="L32" s="438" t="s">
        <v>192</v>
      </c>
      <c r="M32" s="439" t="s">
        <v>104</v>
      </c>
      <c r="N32" s="440" t="s">
        <v>177</v>
      </c>
      <c r="O32" s="441" t="s">
        <v>193</v>
      </c>
      <c r="P32" s="441" t="s">
        <v>192</v>
      </c>
      <c r="Q32" s="441" t="s">
        <v>192</v>
      </c>
      <c r="R32" s="441" t="s">
        <v>192</v>
      </c>
      <c r="S32" s="442" t="s">
        <v>104</v>
      </c>
      <c r="T32" s="431"/>
      <c r="V32"/>
      <c r="W32"/>
      <c r="X32"/>
      <c r="Y32"/>
      <c r="Z32"/>
      <c r="AA32"/>
      <c r="AB32"/>
      <c r="AC32"/>
      <c r="AD32"/>
      <c r="AE32"/>
      <c r="AF32"/>
      <c r="XFD32" s="24"/>
    </row>
    <row r="33" spans="8:8" ht="18.0" outlineLevel="2" customHeight="1">
      <c r="A33" s="436"/>
      <c r="B33" s="443" t="str">
        <f t="shared" si="5" ref="B33:F33">B4</f>
        <v>无</v>
      </c>
      <c r="C33" s="443" t="str">
        <f t="shared" si="5"/>
        <v>无</v>
      </c>
      <c r="D33" s="443" t="str">
        <f t="shared" si="5"/>
        <v>无</v>
      </c>
      <c r="E33" s="443" t="str">
        <f t="shared" si="5"/>
        <v>无</v>
      </c>
      <c r="F33" s="443" t="str">
        <f t="shared" si="5"/>
        <v>无</v>
      </c>
      <c r="G33" s="443"/>
      <c r="H33" s="444" t="str">
        <f t="shared" si="6" ref="H33:L33">H4</f>
        <v>无</v>
      </c>
      <c r="I33" s="378" t="str">
        <f t="shared" si="6"/>
        <v>无</v>
      </c>
      <c r="J33" s="378" t="str">
        <f t="shared" si="6"/>
        <v>无</v>
      </c>
      <c r="K33" s="378" t="str">
        <f t="shared" si="6"/>
        <v>无</v>
      </c>
      <c r="L33" s="378" t="str">
        <f t="shared" si="6"/>
        <v>无</v>
      </c>
      <c r="M33" s="445"/>
      <c r="N33" s="446" t="str">
        <f t="shared" si="7" ref="N33:R33">N4</f>
        <v>无</v>
      </c>
      <c r="O33" s="380" t="str">
        <f t="shared" si="7"/>
        <v>无</v>
      </c>
      <c r="P33" s="380" t="str">
        <f t="shared" si="7"/>
        <v>无</v>
      </c>
      <c r="Q33" s="380" t="str">
        <f t="shared" si="7"/>
        <v>无</v>
      </c>
      <c r="R33" s="380" t="str">
        <f t="shared" si="7"/>
        <v>无</v>
      </c>
      <c r="S33" s="447"/>
      <c r="T33" s="431"/>
      <c r="V33"/>
      <c r="W33"/>
      <c r="X33"/>
      <c r="Y33"/>
      <c r="Z33"/>
      <c r="AA33"/>
      <c r="AB33"/>
      <c r="AC33"/>
      <c r="AD33"/>
      <c r="AE33"/>
      <c r="AF33"/>
      <c r="XFD33" s="24"/>
    </row>
    <row r="34" spans="8:8" ht="18.0" outlineLevel="2" customHeight="1">
      <c r="A34" s="448" t="s">
        <v>47</v>
      </c>
      <c r="B34" s="370" t="e">
        <f ca="1">B6+B17</f>
        <v>#REF!</v>
      </c>
      <c r="C34" s="370" t="e">
        <f ca="1">C6+B18</f>
        <v>#REF!</v>
      </c>
      <c r="D34" s="370" t="e">
        <f ca="1">D6+B19</f>
        <v>#REF!</v>
      </c>
      <c r="E34" s="370" t="e">
        <f ca="1">E6+B20</f>
        <v>#REF!</v>
      </c>
      <c r="F34" s="370" t="e">
        <f ca="1">F6+B21</f>
        <v>#REF!</v>
      </c>
      <c r="G34" s="371" t="e">
        <f ca="1">B34</f>
        <v>#REF!</v>
      </c>
      <c r="H34" s="449" t="e">
        <f ca="1">H6+B22</f>
        <v>#REF!</v>
      </c>
      <c r="I34" s="372" t="e">
        <f ca="1">I6+B23</f>
        <v>#REF!</v>
      </c>
      <c r="J34" s="372" t="e">
        <f ca="1">J6+B24</f>
        <v>#REF!</v>
      </c>
      <c r="K34" s="372" t="e">
        <f ca="1">K6+B25</f>
        <v>#REF!</v>
      </c>
      <c r="L34" s="372" t="e">
        <f ca="1">L6+B26</f>
        <v>#REF!</v>
      </c>
      <c r="M34" s="450" t="e">
        <f ca="1">H34</f>
        <v>#REF!</v>
      </c>
      <c r="N34" s="451" t="e">
        <f ca="1">N6+B27</f>
        <v>#REF!</v>
      </c>
      <c r="O34" s="374" t="e">
        <f ca="1">O6+B28</f>
        <v>#REF!</v>
      </c>
      <c r="P34" s="374" t="e">
        <f ca="1">P6+B31</f>
        <v>#REF!</v>
      </c>
      <c r="Q34" s="374" t="e">
        <f ca="1">Q6+B30</f>
        <v>#REF!</v>
      </c>
      <c r="R34" s="374" t="e">
        <f ca="1">R6+B31</f>
        <v>#REF!</v>
      </c>
      <c r="S34" s="452" t="e">
        <f ca="1">N34</f>
        <v>#REF!</v>
      </c>
      <c r="T34" s="431"/>
      <c r="V34"/>
      <c r="W34"/>
      <c r="X34"/>
      <c r="Y34"/>
      <c r="Z34"/>
      <c r="AA34"/>
      <c r="AB34"/>
      <c r="AC34"/>
      <c r="AD34"/>
      <c r="AE34"/>
      <c r="AF34"/>
      <c r="XFD34" s="24"/>
    </row>
    <row r="35" spans="8:8" ht="18.0" outlineLevel="2" customHeight="1">
      <c r="A35" s="453" t="s">
        <v>48</v>
      </c>
      <c r="B35" s="376" t="e">
        <f ca="1">B7+C17</f>
        <v>#REF!</v>
      </c>
      <c r="C35" s="376" t="e">
        <f ca="1">C7+C18</f>
        <v>#REF!</v>
      </c>
      <c r="D35" s="376" t="e">
        <f ca="1">D7+C19</f>
        <v>#REF!</v>
      </c>
      <c r="E35" s="376" t="e">
        <f ca="1">E7+C20</f>
        <v>#REF!</v>
      </c>
      <c r="F35" s="376" t="e">
        <f ca="1">F7+C21</f>
        <v>#REF!</v>
      </c>
      <c r="G35" s="377" t="e">
        <f t="shared" si="8" ref="G35:G40">SUM(B35+((C35+D35+E35+F35)/2))</f>
        <v>#REF!</v>
      </c>
      <c r="H35" s="444" t="e">
        <f ca="1">H7+C22</f>
        <v>#REF!</v>
      </c>
      <c r="I35" s="378" t="e">
        <f ca="1">I7+C23</f>
        <v>#REF!</v>
      </c>
      <c r="J35" s="378" t="e">
        <f ca="1">J7+C24</f>
        <v>#REF!</v>
      </c>
      <c r="K35" s="378" t="e">
        <f ca="1">K7+C25</f>
        <v>#REF!</v>
      </c>
      <c r="L35" s="378" t="e">
        <f ca="1">L7+C26</f>
        <v>#REF!</v>
      </c>
      <c r="M35" s="454" t="e">
        <f t="shared" si="9" ref="M35:M39">SUM(H35+((I35+J35+K35+L35)/2))</f>
        <v>#REF!</v>
      </c>
      <c r="N35" s="446" t="e">
        <f ca="1">N7+C27</f>
        <v>#REF!</v>
      </c>
      <c r="O35" s="380" t="e">
        <f ca="1">O7+C28</f>
        <v>#REF!</v>
      </c>
      <c r="P35" s="380" t="e">
        <f ca="1">P7+C31</f>
        <v>#REF!</v>
      </c>
      <c r="Q35" s="380" t="e">
        <f ca="1">Q7+C30</f>
        <v>#REF!</v>
      </c>
      <c r="R35" s="380" t="e">
        <f ca="1">R7+C31</f>
        <v>#REF!</v>
      </c>
      <c r="S35" s="455" t="e">
        <f t="shared" si="10" ref="S35:S40">SUM(N35+((O35+P35+Q35+R35)/2))</f>
        <v>#REF!</v>
      </c>
      <c r="T35" s="431"/>
      <c r="V35"/>
      <c r="W35"/>
      <c r="X35"/>
      <c r="Y35"/>
      <c r="Z35"/>
      <c r="AA35"/>
      <c r="AB35"/>
      <c r="AC35"/>
      <c r="AD35"/>
      <c r="AE35"/>
      <c r="AF35"/>
      <c r="XFD35" s="24"/>
    </row>
    <row r="36" spans="8:8" ht="18.0" outlineLevel="2" customHeight="1">
      <c r="A36" s="453" t="s">
        <v>49</v>
      </c>
      <c r="B36" s="370" t="e">
        <f ca="1">B8+D17</f>
        <v>#REF!</v>
      </c>
      <c r="C36" s="370" t="e">
        <f ca="1">C8+D18</f>
        <v>#REF!</v>
      </c>
      <c r="D36" s="370" t="e">
        <f t="shared" si="11" ref="D36">D8+D19</f>
        <v>#REF!</v>
      </c>
      <c r="E36" s="370" t="e">
        <f ca="1">E8+D20</f>
        <v>#REF!</v>
      </c>
      <c r="F36" s="370" t="e">
        <f ca="1">F8+D21</f>
        <v>#REF!</v>
      </c>
      <c r="G36" s="371" t="e">
        <f t="shared" si="8"/>
        <v>#REF!</v>
      </c>
      <c r="H36" s="449" t="e">
        <f ca="1">H8+D22</f>
        <v>#REF!</v>
      </c>
      <c r="I36" s="372" t="e">
        <f ca="1">I8+D23</f>
        <v>#REF!</v>
      </c>
      <c r="J36" s="372" t="e">
        <f t="shared" si="12" ref="J36">J8+D24</f>
        <v>#REF!</v>
      </c>
      <c r="K36" s="372" t="e">
        <f ca="1">K8+D25</f>
        <v>#REF!</v>
      </c>
      <c r="L36" s="372" t="e">
        <f ca="1">L8+D26</f>
        <v>#REF!</v>
      </c>
      <c r="M36" s="450" t="e">
        <f t="shared" si="9"/>
        <v>#REF!</v>
      </c>
      <c r="N36" s="451" t="e">
        <f ca="1">N8+D27</f>
        <v>#REF!</v>
      </c>
      <c r="O36" s="374" t="e">
        <f ca="1">O8+D28</f>
        <v>#REF!</v>
      </c>
      <c r="P36" s="374" t="e">
        <f t="shared" si="13" ref="P36">P8+D31</f>
        <v>#REF!</v>
      </c>
      <c r="Q36" s="374" t="e">
        <f ca="1">Q8+D30</f>
        <v>#REF!</v>
      </c>
      <c r="R36" s="374" t="e">
        <f ca="1">R8+D31</f>
        <v>#REF!</v>
      </c>
      <c r="S36" s="452" t="e">
        <f t="shared" si="10"/>
        <v>#REF!</v>
      </c>
      <c r="T36" s="431"/>
      <c r="V36"/>
      <c r="W36"/>
      <c r="X36"/>
      <c r="Y36"/>
      <c r="Z36"/>
      <c r="AA36"/>
      <c r="AB36"/>
      <c r="AC36"/>
      <c r="AD36"/>
      <c r="AE36"/>
      <c r="AF36"/>
      <c r="XFD36" s="24"/>
    </row>
    <row r="37" spans="8:8" ht="18.0" outlineLevel="2" customHeight="1">
      <c r="A37" s="453" t="s">
        <v>50</v>
      </c>
      <c r="B37" s="376" t="e">
        <f ca="1">B9+E17</f>
        <v>#REF!</v>
      </c>
      <c r="C37" s="376" t="e">
        <f ca="1">C9+E18</f>
        <v>#REF!</v>
      </c>
      <c r="D37" s="376" t="e">
        <f t="shared" si="14" ref="D37">D9+E19</f>
        <v>#REF!</v>
      </c>
      <c r="E37" s="376" t="e">
        <f ca="1">E9+E20</f>
        <v>#REF!</v>
      </c>
      <c r="F37" s="376" t="e">
        <f ca="1">F9+E21</f>
        <v>#REF!</v>
      </c>
      <c r="G37" s="377" t="e">
        <f t="shared" si="8"/>
        <v>#REF!</v>
      </c>
      <c r="H37" s="444" t="e">
        <f ca="1">H9+E22</f>
        <v>#REF!</v>
      </c>
      <c r="I37" s="378" t="e">
        <f ca="1">I9+E23</f>
        <v>#REF!</v>
      </c>
      <c r="J37" s="378" t="e">
        <f t="shared" si="15" ref="J37">J9+E24</f>
        <v>#REF!</v>
      </c>
      <c r="K37" s="378" t="e">
        <f ca="1">K9+E25</f>
        <v>#REF!</v>
      </c>
      <c r="L37" s="378" t="e">
        <f ca="1">L9+E26</f>
        <v>#REF!</v>
      </c>
      <c r="M37" s="454" t="e">
        <f t="shared" si="9"/>
        <v>#REF!</v>
      </c>
      <c r="N37" s="446" t="e">
        <f ca="1">N9+E27</f>
        <v>#REF!</v>
      </c>
      <c r="O37" s="380" t="e">
        <f ca="1">O9+E28</f>
        <v>#REF!</v>
      </c>
      <c r="P37" s="380" t="e">
        <f t="shared" si="16" ref="P37">P9+E31</f>
        <v>#REF!</v>
      </c>
      <c r="Q37" s="380" t="e">
        <f ca="1">Q9+E30</f>
        <v>#REF!</v>
      </c>
      <c r="R37" s="380" t="e">
        <f ca="1">R9+E31</f>
        <v>#REF!</v>
      </c>
      <c r="S37" s="455" t="e">
        <f t="shared" si="10"/>
        <v>#REF!</v>
      </c>
      <c r="T37" s="431"/>
      <c r="V37"/>
      <c r="W37"/>
      <c r="X37"/>
      <c r="Y37"/>
      <c r="Z37"/>
      <c r="AA37"/>
      <c r="AB37"/>
      <c r="AC37"/>
      <c r="AD37"/>
      <c r="AE37"/>
      <c r="AF37"/>
      <c r="XFD37" s="24"/>
    </row>
    <row r="38" spans="8:8" ht="18.0" outlineLevel="2" customHeight="1">
      <c r="A38" s="453" t="s">
        <v>51</v>
      </c>
      <c r="B38" s="370" t="e">
        <f ca="1">B10+F17</f>
        <v>#REF!</v>
      </c>
      <c r="C38" s="370" t="e">
        <f ca="1">C10+F18</f>
        <v>#REF!</v>
      </c>
      <c r="D38" s="370" t="e">
        <f t="shared" si="17" ref="D38">D10+F19</f>
        <v>#REF!</v>
      </c>
      <c r="E38" s="370" t="e">
        <f ca="1">E10+F20</f>
        <v>#REF!</v>
      </c>
      <c r="F38" s="370" t="e">
        <f ca="1">F10+F21</f>
        <v>#REF!</v>
      </c>
      <c r="G38" s="371" t="e">
        <f t="shared" si="8"/>
        <v>#REF!</v>
      </c>
      <c r="H38" s="449" t="e">
        <f ca="1">H10+F22</f>
        <v>#REF!</v>
      </c>
      <c r="I38" s="372" t="e">
        <f ca="1">I10+F23</f>
        <v>#REF!</v>
      </c>
      <c r="J38" s="372" t="e">
        <f t="shared" si="18" ref="J38">J10+F24</f>
        <v>#REF!</v>
      </c>
      <c r="K38" s="372" t="e">
        <f ca="1">K10+F25</f>
        <v>#REF!</v>
      </c>
      <c r="L38" s="372" t="e">
        <f ca="1">L10+F26</f>
        <v>#REF!</v>
      </c>
      <c r="M38" s="450" t="e">
        <f t="shared" si="9"/>
        <v>#REF!</v>
      </c>
      <c r="N38" s="451" t="e">
        <f ca="1">N10+F27</f>
        <v>#REF!</v>
      </c>
      <c r="O38" s="374" t="e">
        <f ca="1">O10+F28</f>
        <v>#REF!</v>
      </c>
      <c r="P38" s="374" t="e">
        <f t="shared" si="19" ref="P38">P10+F31</f>
        <v>#REF!</v>
      </c>
      <c r="Q38" s="374" t="e">
        <f ca="1">Q10+F30</f>
        <v>#REF!</v>
      </c>
      <c r="R38" s="374" t="e">
        <f ca="1">R10+F31</f>
        <v>#REF!</v>
      </c>
      <c r="S38" s="452" t="e">
        <f t="shared" si="10"/>
        <v>#REF!</v>
      </c>
      <c r="T38" s="431"/>
      <c r="V38"/>
      <c r="W38"/>
      <c r="X38"/>
      <c r="Y38"/>
      <c r="Z38"/>
      <c r="AA38"/>
      <c r="AB38"/>
      <c r="AC38"/>
      <c r="AD38"/>
      <c r="AE38"/>
      <c r="AF38"/>
      <c r="XFD38" s="24"/>
    </row>
    <row r="39" spans="8:8" ht="18.0" outlineLevel="1" customHeight="1">
      <c r="A39" s="453" t="s">
        <v>52</v>
      </c>
      <c r="B39" s="376" t="e">
        <f ca="1">B11+G17</f>
        <v>#REF!</v>
      </c>
      <c r="C39" s="376" t="e">
        <f ca="1">C11+G18</f>
        <v>#REF!</v>
      </c>
      <c r="D39" s="376" t="e">
        <f t="shared" si="20" ref="D39">D11+G19</f>
        <v>#REF!</v>
      </c>
      <c r="E39" s="376" t="e">
        <f ca="1">E11+G20</f>
        <v>#REF!</v>
      </c>
      <c r="F39" s="376" t="e">
        <f ca="1">F11+G21</f>
        <v>#REF!</v>
      </c>
      <c r="G39" s="377" t="e">
        <f t="shared" si="8"/>
        <v>#REF!</v>
      </c>
      <c r="H39" s="444" t="e">
        <f ca="1">H11+G22</f>
        <v>#REF!</v>
      </c>
      <c r="I39" s="378" t="e">
        <f ca="1">I11+G23</f>
        <v>#REF!</v>
      </c>
      <c r="J39" s="378" t="e">
        <f t="shared" si="21" ref="J39">J11+G24</f>
        <v>#REF!</v>
      </c>
      <c r="K39" s="378" t="e">
        <f ca="1">K11+G25</f>
        <v>#REF!</v>
      </c>
      <c r="L39" s="378" t="e">
        <f ca="1">L11+G26</f>
        <v>#REF!</v>
      </c>
      <c r="M39" s="454" t="e">
        <f t="shared" si="9"/>
        <v>#REF!</v>
      </c>
      <c r="N39" s="446" t="e">
        <f ca="1">N11+G27</f>
        <v>#REF!</v>
      </c>
      <c r="O39" s="380" t="e">
        <f ca="1">O11+G28</f>
        <v>#REF!</v>
      </c>
      <c r="P39" s="380" t="e">
        <f t="shared" si="22" ref="P39">P11+G31</f>
        <v>#REF!</v>
      </c>
      <c r="Q39" s="380" t="e">
        <f ca="1">Q11+G30</f>
        <v>#REF!</v>
      </c>
      <c r="R39" s="380" t="e">
        <f ca="1">R11+G31</f>
        <v>#REF!</v>
      </c>
      <c r="S39" s="455" t="e">
        <f t="shared" si="10"/>
        <v>#REF!</v>
      </c>
      <c r="T39"/>
      <c r="U39"/>
      <c r="V39"/>
      <c r="W39"/>
      <c r="X39"/>
      <c r="Y39"/>
      <c r="Z39"/>
      <c r="AA39"/>
      <c r="AB39"/>
      <c r="AC39"/>
      <c r="AD39"/>
      <c r="XFD39" s="24"/>
    </row>
    <row r="40" spans="8:8" ht="18.0" customHeight="1">
      <c r="A40" s="456" t="s">
        <v>53</v>
      </c>
      <c r="B40" s="457" t="e">
        <f ca="1">B12+H17</f>
        <v>#REF!</v>
      </c>
      <c r="C40" s="457" t="e">
        <f ca="1">C12+H18</f>
        <v>#REF!</v>
      </c>
      <c r="D40" s="457" t="e">
        <f t="shared" si="23" ref="D40">D12+H19</f>
        <v>#REF!</v>
      </c>
      <c r="E40" s="457" t="e">
        <f ca="1">E12+H21</f>
        <v>#REF!</v>
      </c>
      <c r="F40" s="457" t="e">
        <f ca="1">F12+H21</f>
        <v>#REF!</v>
      </c>
      <c r="G40" s="458" t="e">
        <f t="shared" si="8"/>
        <v>#REF!</v>
      </c>
      <c r="H40" s="459" t="e">
        <f ca="1">H12+H22</f>
        <v>#REF!</v>
      </c>
      <c r="I40" s="460" t="e">
        <f ca="1">I12+H23</f>
        <v>#REF!</v>
      </c>
      <c r="J40" s="460" t="e">
        <f t="shared" si="24" ref="J40">J12+H24</f>
        <v>#REF!</v>
      </c>
      <c r="K40" s="460" t="e">
        <f ca="1">K12+H25</f>
        <v>#REF!</v>
      </c>
      <c r="L40" s="460" t="e">
        <f ca="1">L12+H26</f>
        <v>#REF!</v>
      </c>
      <c r="M40" s="461" t="e">
        <f ca="1">SUM(H40+((I40+J40+L40+K40)/2))</f>
        <v>#REF!</v>
      </c>
      <c r="N40" s="462" t="e">
        <f ca="1">N12+H27</f>
        <v>#REF!</v>
      </c>
      <c r="O40" s="463" t="e">
        <f ca="1">O12+H28</f>
        <v>#REF!</v>
      </c>
      <c r="P40" s="463" t="e">
        <f t="shared" si="25" ref="P40">P12+H31</f>
        <v>#REF!</v>
      </c>
      <c r="Q40" s="463" t="e">
        <f ca="1">Q12+H30</f>
        <v>#REF!</v>
      </c>
      <c r="R40" s="463" t="e">
        <f ca="1">R12+H31</f>
        <v>#REF!</v>
      </c>
      <c r="S40" s="464" t="e">
        <f t="shared" si="10"/>
        <v>#REF!</v>
      </c>
      <c r="T40"/>
      <c r="U40"/>
      <c r="V40"/>
      <c r="W40"/>
      <c r="X40"/>
      <c r="Y40"/>
      <c r="Z40"/>
      <c r="AA40"/>
      <c r="AB40"/>
      <c r="AC40"/>
      <c r="AD40"/>
      <c r="XFD40" s="24"/>
    </row>
    <row r="41" spans="8:8">
      <c r="P41"/>
      <c r="Q41"/>
      <c r="R41"/>
      <c r="S41"/>
      <c r="T41"/>
      <c r="U41"/>
      <c r="V41"/>
      <c r="W41"/>
      <c r="X41"/>
      <c r="Y41"/>
      <c r="Z41"/>
    </row>
    <row r="42" spans="8:8">
      <c r="P42"/>
      <c r="Q42"/>
      <c r="R42"/>
      <c r="S42"/>
      <c r="T42"/>
      <c r="U42"/>
      <c r="V42"/>
      <c r="W42"/>
      <c r="X42"/>
      <c r="Y42"/>
      <c r="Z42"/>
    </row>
    <row r="43" spans="8:8">
      <c r="A43" s="356" t="s">
        <v>194</v>
      </c>
      <c r="B43" s="356"/>
      <c r="C43" s="465" t="s">
        <v>195</v>
      </c>
      <c r="D43" s="465"/>
      <c r="E43" s="465"/>
      <c r="F43" s="465"/>
      <c r="P43"/>
      <c r="Q43"/>
      <c r="R43"/>
      <c r="S43"/>
      <c r="T43"/>
      <c r="U43"/>
      <c r="V43"/>
      <c r="W43"/>
      <c r="X43"/>
      <c r="Y43"/>
      <c r="Z43"/>
    </row>
    <row r="44" spans="8:8">
      <c r="A44" s="356"/>
      <c r="B44" s="356"/>
      <c r="C44" s="465"/>
      <c r="D44" s="465"/>
      <c r="E44" s="465"/>
      <c r="F44" s="465"/>
      <c r="P44"/>
      <c r="Q44"/>
      <c r="R44"/>
      <c r="S44"/>
      <c r="T44"/>
      <c r="U44"/>
      <c r="V44"/>
      <c r="W44"/>
      <c r="X44"/>
      <c r="Y44"/>
      <c r="Z44"/>
    </row>
    <row r="45" spans="8:8">
      <c r="A45" s="2"/>
      <c r="B45" s="2"/>
      <c r="C45" s="466" t="s">
        <v>196</v>
      </c>
      <c r="D45" s="466" t="s">
        <v>197</v>
      </c>
      <c r="E45" s="466" t="s">
        <v>198</v>
      </c>
      <c r="F45" s="466" t="s">
        <v>199</v>
      </c>
      <c r="G45" s="2"/>
      <c r="P45"/>
      <c r="Q45"/>
      <c r="R45"/>
      <c r="S45"/>
      <c r="T45"/>
      <c r="U45"/>
      <c r="V45"/>
      <c r="W45"/>
      <c r="X45"/>
      <c r="Y45"/>
      <c r="Z45"/>
    </row>
    <row r="46" spans="8:8" ht="15.0" outlineLevel="1" customHeight="1">
      <c r="A46" s="467" t="s">
        <v>131</v>
      </c>
      <c r="B46" s="467" t="s">
        <v>47</v>
      </c>
      <c r="C46" s="468" t="s">
        <v>48</v>
      </c>
      <c r="D46" s="468" t="s">
        <v>49</v>
      </c>
      <c r="E46" s="468" t="s">
        <v>52</v>
      </c>
      <c r="F46" s="468" t="s">
        <v>50</v>
      </c>
      <c r="G46" s="469" t="s">
        <v>200</v>
      </c>
      <c r="H46" s="470" t="s">
        <v>127</v>
      </c>
      <c r="P46"/>
      <c r="Q46"/>
      <c r="R46"/>
      <c r="S46"/>
      <c r="T46"/>
      <c r="U46"/>
      <c r="V46"/>
      <c r="W46"/>
      <c r="X46"/>
      <c r="Y46"/>
      <c r="Z46"/>
    </row>
    <row r="47" spans="8:8" ht="15.0" outlineLevel="1" customHeight="1">
      <c r="A47" s="402" t="str">
        <f>B4</f>
        <v>无</v>
      </c>
      <c r="B47" s="471" t="e">
        <f ca="1">B34</f>
        <v>#REF!</v>
      </c>
      <c r="C47" s="471" t="e">
        <f ca="1">INDEX($A$32:$G$40,MATCH(C46,$A$32:$A$40,0),2)+$G$47*10</f>
        <v>#REF!</v>
      </c>
      <c r="D47" s="471" t="e">
        <f ca="1">INDEX($A$32:$G$40,MATCH(D46,$A$32:$A$40,0),2)+$G$47*10</f>
        <v>#REF!</v>
      </c>
      <c r="E47" s="471" t="e">
        <f ca="1">INDEX($A$32:$G$40,MATCH(E46,$A$32:$A$40,0),2)+$G$47*10</f>
        <v>#REF!</v>
      </c>
      <c r="F47" s="471" t="e">
        <f ca="1">INDEX($A$32:$G$40,MATCH(F46,$A$32:$A$40,0),2)+$G$47*10</f>
        <v>#REF!</v>
      </c>
      <c r="G47" s="472"/>
      <c r="H47" s="473"/>
      <c r="I47" s="24" t="s">
        <v>201</v>
      </c>
      <c r="P47"/>
      <c r="Q47"/>
      <c r="R47"/>
      <c r="S47"/>
      <c r="T47"/>
      <c r="U47"/>
      <c r="V47"/>
      <c r="W47"/>
      <c r="X47"/>
      <c r="Y47"/>
      <c r="Z47"/>
    </row>
    <row r="48" spans="8:8" ht="15.0" customHeight="1">
      <c r="A48" s="474" t="s">
        <v>135</v>
      </c>
      <c r="B48" s="475" t="s">
        <v>109</v>
      </c>
      <c r="C48" s="407"/>
      <c r="D48" s="407"/>
      <c r="E48" s="399"/>
      <c r="F48" s="407"/>
      <c r="G48" s="476"/>
      <c r="H48" s="477"/>
      <c r="P48"/>
      <c r="Q48"/>
      <c r="R48"/>
      <c r="S48"/>
      <c r="T48"/>
      <c r="U48"/>
      <c r="V48"/>
      <c r="W48"/>
      <c r="X48"/>
      <c r="Y48"/>
      <c r="Z48"/>
    </row>
    <row r="49" spans="8:8" ht="15.0" outlineLevel="1" customHeight="1">
      <c r="A49" s="475" t="s">
        <v>137</v>
      </c>
      <c r="B49" s="475" t="s">
        <v>109</v>
      </c>
      <c r="C49" s="407"/>
      <c r="D49" s="407"/>
      <c r="E49" s="407"/>
      <c r="F49" s="407"/>
      <c r="G49" s="476"/>
      <c r="H49" s="477"/>
      <c r="P49"/>
      <c r="Q49"/>
      <c r="R49"/>
      <c r="S49"/>
      <c r="T49"/>
      <c r="U49"/>
      <c r="V49"/>
      <c r="W49"/>
      <c r="X49"/>
      <c r="Y49"/>
      <c r="Z49"/>
    </row>
    <row r="50" spans="8:8" ht="15.0" outlineLevel="1" customHeight="1">
      <c r="A50" s="475" t="str">
        <f>C4</f>
        <v>无</v>
      </c>
      <c r="B50" s="475" t="s">
        <v>109</v>
      </c>
      <c r="C50" s="475" t="e">
        <f ca="1">INDEX($A$32:$G$40,MATCH(C46,$A$32:$A$40,0),3)+$G$50*10</f>
        <v>#REF!</v>
      </c>
      <c r="D50" s="475" t="e">
        <f ca="1">INDEX($A$32:$G$40,MATCH(D46,$A$32:$A$40,0),3)+$G$50*10</f>
        <v>#REF!</v>
      </c>
      <c r="E50" s="475" t="e">
        <f ca="1">INDEX($A$32:$G$40,MATCH(E46,$A$32:$A$40,0),3)+$G$50*10</f>
        <v>#REF!</v>
      </c>
      <c r="F50" s="475" t="e">
        <f ca="1">INDEX($A$32:$G$40,MATCH(F46,$A$32:$A$40,0),3)+$G$50*10</f>
        <v>#REF!</v>
      </c>
      <c r="G50" s="478"/>
      <c r="H50" s="473"/>
      <c r="P50"/>
      <c r="Q50"/>
      <c r="R50"/>
      <c r="S50"/>
      <c r="T50"/>
      <c r="U50"/>
      <c r="V50"/>
      <c r="W50"/>
      <c r="X50"/>
      <c r="Y50"/>
      <c r="Z50"/>
    </row>
    <row r="51" spans="8:8" ht="15.0" customHeight="1">
      <c r="A51" s="474" t="s">
        <v>135</v>
      </c>
      <c r="B51" s="479" t="s">
        <v>109</v>
      </c>
      <c r="C51" s="407"/>
      <c r="D51" s="407"/>
      <c r="E51" s="407"/>
      <c r="F51" s="407"/>
      <c r="G51" s="480"/>
      <c r="H51" s="477"/>
      <c r="P51"/>
      <c r="Q51"/>
      <c r="R51"/>
      <c r="S51"/>
      <c r="T51"/>
      <c r="U51"/>
      <c r="V51"/>
      <c r="W51"/>
      <c r="X51"/>
      <c r="Y51"/>
      <c r="Z51"/>
    </row>
    <row r="52" spans="8:8" ht="15.0" outlineLevel="1" customHeight="1">
      <c r="A52" s="475" t="s">
        <v>137</v>
      </c>
      <c r="B52" s="479" t="s">
        <v>109</v>
      </c>
      <c r="C52" s="407"/>
      <c r="D52" s="407"/>
      <c r="E52" s="407"/>
      <c r="F52" s="407"/>
      <c r="G52" s="480"/>
      <c r="H52" s="477"/>
      <c r="P52"/>
      <c r="Q52"/>
      <c r="R52"/>
      <c r="S52"/>
      <c r="T52"/>
      <c r="U52"/>
      <c r="V52"/>
      <c r="W52"/>
      <c r="X52"/>
      <c r="Y52"/>
      <c r="Z52"/>
    </row>
    <row r="53" spans="8:8" ht="15.0" outlineLevel="1" customHeight="1">
      <c r="A53" s="475" t="str">
        <f>D4</f>
        <v>无</v>
      </c>
      <c r="B53" s="475" t="s">
        <v>109</v>
      </c>
      <c r="C53" s="475" t="e">
        <f ca="1">INDEX($A$32:$G$40,MATCH(C46,$A$32:$A$40,0),4)+$G$53*10</f>
        <v>#REF!</v>
      </c>
      <c r="D53" s="475" t="e">
        <f ca="1">INDEX($A$32:$G$40,MATCH(D46,$A$32:$A$40,0),4)+$G$53*10</f>
        <v>#REF!</v>
      </c>
      <c r="E53" s="475" t="e">
        <f ca="1">INDEX($A$32:$G$40,MATCH(E46,$A$32:$A$40,0),4)+$G$53*10</f>
        <v>#REF!</v>
      </c>
      <c r="F53" s="475" t="e">
        <f ca="1">INDEX($A$32:$G$40,MATCH(F46,$A$32:$A$40,0),4)+$G$53*10</f>
        <v>#REF!</v>
      </c>
      <c r="G53" s="478"/>
      <c r="H53" s="473"/>
      <c r="P53"/>
      <c r="Q53"/>
      <c r="R53"/>
      <c r="S53"/>
      <c r="T53"/>
      <c r="U53"/>
      <c r="V53"/>
      <c r="W53"/>
      <c r="X53"/>
      <c r="Y53"/>
      <c r="Z53"/>
    </row>
    <row r="54" spans="8:8" ht="15.0" customHeight="1">
      <c r="A54" s="474" t="s">
        <v>135</v>
      </c>
      <c r="B54" s="479" t="s">
        <v>109</v>
      </c>
      <c r="C54" s="407"/>
      <c r="D54" s="407"/>
      <c r="E54" s="407"/>
      <c r="F54" s="407"/>
      <c r="G54" s="480"/>
      <c r="H54" s="481"/>
      <c r="I54" s="2"/>
      <c r="J54" s="2"/>
      <c r="K54" s="2"/>
      <c r="L54" s="2"/>
      <c r="M54" s="2"/>
      <c r="P54"/>
      <c r="Q54"/>
      <c r="R54"/>
      <c r="S54"/>
      <c r="T54"/>
      <c r="U54"/>
      <c r="V54"/>
      <c r="W54"/>
      <c r="X54"/>
      <c r="Y54"/>
      <c r="Z54"/>
    </row>
    <row r="55" spans="8:8" ht="15.0" customHeight="1">
      <c r="A55" s="406" t="s">
        <v>137</v>
      </c>
      <c r="B55" s="479" t="s">
        <v>109</v>
      </c>
      <c r="C55" s="407"/>
      <c r="D55" s="407"/>
      <c r="E55" s="407"/>
      <c r="F55" s="407"/>
      <c r="G55" s="480"/>
      <c r="H55" s="481"/>
      <c r="I55" s="2"/>
      <c r="J55" s="2"/>
      <c r="K55" s="2"/>
      <c r="L55" s="2"/>
      <c r="M55" s="2"/>
      <c r="P55"/>
      <c r="Q55"/>
      <c r="R55"/>
      <c r="S55"/>
      <c r="T55"/>
      <c r="U55"/>
      <c r="V55"/>
      <c r="W55"/>
      <c r="X55"/>
      <c r="Y55"/>
      <c r="Z55"/>
    </row>
    <row r="56" spans="8:8" ht="15.0" customHeight="1">
      <c r="A56" s="475" t="str">
        <f>E4</f>
        <v>无</v>
      </c>
      <c r="B56" s="475" t="s">
        <v>109</v>
      </c>
      <c r="C56" s="475" t="e">
        <f ca="1">INDEX($A$32:$G$40,MATCH(C46,$A$32:$A$40,0),5)+$G$56*10</f>
        <v>#REF!</v>
      </c>
      <c r="D56" s="475" t="e">
        <f ca="1">INDEX($A$32:$G$40,MATCH(D46,$A$32:$A$40,0),5)+$G$56*10</f>
        <v>#REF!</v>
      </c>
      <c r="E56" s="475" t="e">
        <f ca="1">INDEX($A$32:$G$40,MATCH(E46,$A$32:$A$40,0),5)+$G$56*10</f>
        <v>#REF!</v>
      </c>
      <c r="F56" s="475" t="e">
        <f ca="1">INDEX($A$32:$G$40,MATCH(F46,$A$32:$A$40,0),5)+$G$56*10</f>
        <v>#REF!</v>
      </c>
      <c r="G56" s="478"/>
      <c r="H56" s="473"/>
      <c r="I56" s="2"/>
      <c r="J56" s="2"/>
      <c r="K56" s="2"/>
      <c r="L56" s="2"/>
      <c r="M56" s="2"/>
      <c r="P56"/>
      <c r="Q56"/>
      <c r="R56"/>
      <c r="S56"/>
      <c r="T56"/>
      <c r="U56"/>
      <c r="V56"/>
      <c r="W56"/>
      <c r="X56"/>
      <c r="Y56"/>
      <c r="Z56"/>
    </row>
    <row r="57" spans="8:8" ht="15.0" customHeight="1">
      <c r="A57" s="474" t="s">
        <v>135</v>
      </c>
      <c r="B57" s="479" t="s">
        <v>109</v>
      </c>
      <c r="C57" s="407"/>
      <c r="D57" s="407"/>
      <c r="E57" s="407"/>
      <c r="F57" s="407"/>
      <c r="G57" s="480"/>
      <c r="H57" s="481"/>
      <c r="I57" s="2"/>
      <c r="J57" s="2"/>
      <c r="K57" s="2"/>
      <c r="L57" s="2"/>
      <c r="M57" s="2"/>
      <c r="P57"/>
      <c r="Q57"/>
      <c r="R57"/>
      <c r="S57"/>
      <c r="T57"/>
      <c r="U57"/>
      <c r="V57"/>
      <c r="W57"/>
      <c r="X57"/>
      <c r="Y57"/>
      <c r="Z57"/>
    </row>
    <row r="58" spans="8:8" ht="15.0" customHeight="1">
      <c r="A58" s="406" t="s">
        <v>137</v>
      </c>
      <c r="B58" s="479" t="s">
        <v>109</v>
      </c>
      <c r="C58" s="407"/>
      <c r="D58" s="407"/>
      <c r="E58" s="407"/>
      <c r="F58" s="407"/>
      <c r="G58" s="480"/>
      <c r="H58" s="481"/>
      <c r="I58" s="2"/>
      <c r="J58" s="2"/>
      <c r="K58" s="2"/>
      <c r="L58" s="2"/>
      <c r="M58" s="2" t="s">
        <v>202</v>
      </c>
      <c r="P58"/>
      <c r="Q58"/>
      <c r="R58"/>
      <c r="S58"/>
      <c r="T58"/>
      <c r="U58"/>
      <c r="V58"/>
      <c r="W58"/>
      <c r="X58"/>
      <c r="Y58"/>
      <c r="Z58"/>
    </row>
    <row r="59" spans="8:8" ht="15.0" customHeight="1">
      <c r="A59" s="475" t="str">
        <f>F4</f>
        <v>无</v>
      </c>
      <c r="B59" s="475" t="s">
        <v>109</v>
      </c>
      <c r="C59" s="475" t="e">
        <f ca="1">INDEX($A$32:$G$40,MATCH(C46,$A$32:$A$40,0),6)+$G$59*10</f>
        <v>#REF!</v>
      </c>
      <c r="D59" s="475" t="e">
        <f ca="1">INDEX($A$32:$G$40,MATCH(D46,$A$32:$A$40,0),6)+$G$59*10</f>
        <v>#REF!</v>
      </c>
      <c r="E59" s="475" t="e">
        <f ca="1">INDEX($A$32:$G$40,MATCH(E46,$A$32:$A$40,0),6)+$G$59*10</f>
        <v>#REF!</v>
      </c>
      <c r="F59" s="475" t="e">
        <f ca="1">INDEX($A$32:$G$40,MATCH(F46,$A$32:$A$40,0),6)+$G$59*10</f>
        <v>#REF!</v>
      </c>
      <c r="G59" s="478"/>
      <c r="H59" s="473"/>
      <c r="I59" s="2"/>
      <c r="J59" s="2"/>
      <c r="K59" s="2"/>
      <c r="L59" s="2"/>
      <c r="M59" s="2" t="s">
        <v>203</v>
      </c>
      <c r="P59"/>
      <c r="Q59"/>
      <c r="R59"/>
      <c r="S59"/>
      <c r="T59"/>
      <c r="U59"/>
      <c r="V59"/>
      <c r="W59"/>
      <c r="X59"/>
      <c r="Y59"/>
      <c r="Z59"/>
    </row>
    <row r="60" spans="8:8" ht="15.0" customHeight="1">
      <c r="A60" s="474" t="s">
        <v>135</v>
      </c>
      <c r="B60" s="479" t="s">
        <v>109</v>
      </c>
      <c r="C60" s="407"/>
      <c r="D60" s="407"/>
      <c r="E60" s="407"/>
      <c r="F60" s="407"/>
      <c r="G60" s="480"/>
      <c r="H60" s="481"/>
      <c r="I60" s="2"/>
      <c r="J60" s="2"/>
      <c r="K60" s="2"/>
      <c r="L60" s="2"/>
      <c r="M60" s="2" t="s">
        <v>204</v>
      </c>
      <c r="P60"/>
      <c r="Q60"/>
      <c r="R60"/>
      <c r="S60"/>
      <c r="T60"/>
      <c r="U60"/>
      <c r="V60"/>
      <c r="W60"/>
      <c r="X60"/>
      <c r="Y60"/>
      <c r="Z60"/>
    </row>
    <row r="61" spans="8:8" ht="15.0" customHeight="1">
      <c r="A61" s="482" t="s">
        <v>137</v>
      </c>
      <c r="B61" s="483" t="s">
        <v>109</v>
      </c>
      <c r="C61" s="484"/>
      <c r="D61" s="484"/>
      <c r="E61" s="485"/>
      <c r="F61" s="484"/>
      <c r="G61" s="486"/>
      <c r="H61" s="487"/>
      <c r="I61" s="2"/>
      <c r="J61" s="2"/>
      <c r="K61" s="2"/>
      <c r="L61" s="2"/>
      <c r="M61" s="2" t="s">
        <v>205</v>
      </c>
      <c r="P61"/>
      <c r="Q61"/>
      <c r="R61"/>
      <c r="S61"/>
      <c r="T61"/>
      <c r="U61"/>
      <c r="V61"/>
      <c r="W61"/>
      <c r="X61"/>
      <c r="Y61"/>
      <c r="Z61"/>
    </row>
    <row r="62" spans="8:8" ht="15.0" outlineLevel="1" customHeight="1">
      <c r="A62" s="488" t="s">
        <v>145</v>
      </c>
      <c r="B62" s="488" t="s">
        <v>47</v>
      </c>
      <c r="C62" s="379" t="s">
        <v>196</v>
      </c>
      <c r="D62" s="379" t="s">
        <v>197</v>
      </c>
      <c r="E62" s="379" t="s">
        <v>198</v>
      </c>
      <c r="F62" s="379" t="s">
        <v>199</v>
      </c>
      <c r="G62" s="489" t="s">
        <v>200</v>
      </c>
      <c r="H62" s="490" t="s">
        <v>127</v>
      </c>
      <c r="I62" s="2"/>
      <c r="J62" s="2"/>
      <c r="K62" s="2"/>
      <c r="L62" s="2"/>
      <c r="M62" s="2" t="s">
        <v>206</v>
      </c>
      <c r="P62"/>
      <c r="Q62"/>
      <c r="R62"/>
      <c r="S62"/>
      <c r="T62"/>
      <c r="U62"/>
      <c r="V62"/>
      <c r="W62"/>
      <c r="X62"/>
      <c r="Y62"/>
      <c r="Z62"/>
    </row>
    <row r="63" spans="8:8" ht="15.0" outlineLevel="1" customHeight="1">
      <c r="A63" s="415" t="str">
        <f>H4</f>
        <v>无</v>
      </c>
      <c r="B63" s="491" t="e">
        <f ca="1">H34</f>
        <v>#REF!</v>
      </c>
      <c r="C63" s="491" t="e">
        <f ca="1">INDEX($A$32:$M$40,MATCH(C46,$A$32:$A$40,0),8)+$G$63*10</f>
        <v>#REF!</v>
      </c>
      <c r="D63" s="491" t="e">
        <f ca="1">INDEX($A$32:$M$40,MATCH(D46,$A$32:$A$40,0),8)+$G$63*10</f>
        <v>#REF!</v>
      </c>
      <c r="E63" s="491" t="e">
        <f ca="1">INDEX($A$32:$M$40,MATCH(E46,$A$32:$A$40,0),8)+$G$63*10</f>
        <v>#REF!</v>
      </c>
      <c r="F63" s="491" t="e">
        <f ca="1">INDEX($A$32:$M$40,MATCH(F46,$A$32:$A$40,0),8)+$G$63*10</f>
        <v>#REF!</v>
      </c>
      <c r="G63" s="492"/>
      <c r="H63" s="493"/>
      <c r="I63" s="2"/>
      <c r="J63" s="2"/>
      <c r="K63" s="2"/>
      <c r="L63" s="2"/>
      <c r="M63" s="2" t="s">
        <v>207</v>
      </c>
      <c r="P63"/>
      <c r="Q63"/>
      <c r="R63"/>
      <c r="S63"/>
      <c r="T63"/>
      <c r="U63"/>
      <c r="V63"/>
      <c r="W63"/>
      <c r="X63"/>
      <c r="Y63"/>
      <c r="Z63"/>
    </row>
    <row r="64" spans="8:8" ht="15.0" customHeight="1">
      <c r="A64" s="494" t="s">
        <v>135</v>
      </c>
      <c r="B64" s="495" t="s">
        <v>109</v>
      </c>
      <c r="C64" s="407"/>
      <c r="D64" s="407"/>
      <c r="E64" s="407"/>
      <c r="F64" s="407"/>
      <c r="G64" s="480"/>
      <c r="H64" s="481"/>
      <c r="I64" s="2"/>
      <c r="J64" s="2"/>
      <c r="K64" s="2"/>
      <c r="L64" s="2"/>
      <c r="M64" s="2"/>
      <c r="P64"/>
      <c r="Q64"/>
      <c r="R64"/>
      <c r="S64"/>
      <c r="T64"/>
      <c r="U64"/>
      <c r="V64"/>
      <c r="W64"/>
      <c r="X64"/>
      <c r="Y64"/>
      <c r="Z64"/>
    </row>
    <row r="65" spans="8:8" ht="15.0" outlineLevel="1" customHeight="1">
      <c r="A65" s="496" t="s">
        <v>137</v>
      </c>
      <c r="B65" s="495" t="s">
        <v>109</v>
      </c>
      <c r="C65" s="407"/>
      <c r="D65" s="407"/>
      <c r="E65" s="407"/>
      <c r="F65" s="407"/>
      <c r="G65" s="480"/>
      <c r="H65" s="481"/>
      <c r="I65" s="2"/>
      <c r="J65" s="2"/>
      <c r="K65" s="2"/>
      <c r="L65" s="2"/>
      <c r="M65" s="2"/>
      <c r="P65"/>
      <c r="Q65"/>
      <c r="R65"/>
      <c r="S65"/>
      <c r="T65"/>
      <c r="U65"/>
      <c r="V65"/>
      <c r="W65"/>
      <c r="X65"/>
      <c r="Y65"/>
      <c r="Z65"/>
    </row>
    <row r="66" spans="8:8" ht="15.0" outlineLevel="1" customHeight="1">
      <c r="A66" s="496" t="str">
        <f>I4</f>
        <v>无</v>
      </c>
      <c r="B66" s="496" t="s">
        <v>109</v>
      </c>
      <c r="C66" s="496" t="e">
        <f ca="1">INDEX($A$32:$M$40,MATCH(C46,$A$32:$A$40,0),9)+$G$66*10</f>
        <v>#REF!</v>
      </c>
      <c r="D66" s="496" t="e">
        <f ca="1">INDEX($A$32:$M$40,MATCH(D46,$A$32:$A$40,0),9)+$G$66*10</f>
        <v>#REF!</v>
      </c>
      <c r="E66" s="496" t="e">
        <f ca="1">INDEX($A$32:$M$40,MATCH(E46,$A$32:$A$40,0),9)+$G$66*10</f>
        <v>#REF!</v>
      </c>
      <c r="F66" s="496" t="e">
        <f ca="1">INDEX($A$32:$M$40,MATCH(F46,$A$32:$A$40,0),9)+$G$66*10</f>
        <v>#REF!</v>
      </c>
      <c r="G66" s="497"/>
      <c r="H66" s="493"/>
      <c r="I66" s="2"/>
      <c r="J66" s="2"/>
      <c r="K66" s="2"/>
      <c r="L66" s="2"/>
      <c r="M66" s="2"/>
      <c r="P66"/>
      <c r="Q66"/>
      <c r="R66"/>
      <c r="S66"/>
      <c r="T66"/>
      <c r="U66"/>
      <c r="V66"/>
      <c r="W66"/>
      <c r="X66"/>
      <c r="Y66"/>
      <c r="Z66"/>
    </row>
    <row r="67" spans="8:8" ht="15.0" customHeight="1">
      <c r="A67" s="494" t="s">
        <v>135</v>
      </c>
      <c r="B67" s="495" t="s">
        <v>109</v>
      </c>
      <c r="C67" s="407"/>
      <c r="D67" s="407"/>
      <c r="E67" s="407"/>
      <c r="F67" s="407"/>
      <c r="G67" s="480"/>
      <c r="H67" s="481"/>
      <c r="I67" s="2"/>
      <c r="J67" s="2"/>
      <c r="K67" s="2"/>
      <c r="L67" s="2"/>
      <c r="M67" s="2"/>
      <c r="N67" s="2"/>
      <c r="P67"/>
      <c r="Q67"/>
      <c r="R67"/>
      <c r="S67"/>
      <c r="T67"/>
      <c r="U67"/>
      <c r="V67"/>
      <c r="W67"/>
      <c r="X67"/>
      <c r="Y67"/>
      <c r="Z67"/>
    </row>
    <row r="68" spans="8:8" ht="15.0" outlineLevel="1" customHeight="1">
      <c r="A68" s="496" t="s">
        <v>137</v>
      </c>
      <c r="B68" s="495" t="s">
        <v>109</v>
      </c>
      <c r="C68" s="407"/>
      <c r="D68" s="407"/>
      <c r="E68" s="407"/>
      <c r="F68" s="407"/>
      <c r="G68" s="480"/>
      <c r="H68" s="481"/>
      <c r="I68" s="2"/>
      <c r="J68" s="2"/>
      <c r="K68" s="2"/>
      <c r="L68" s="2"/>
      <c r="M68" s="2"/>
      <c r="P68"/>
      <c r="Q68"/>
      <c r="R68"/>
      <c r="S68"/>
      <c r="T68"/>
      <c r="U68"/>
      <c r="V68"/>
      <c r="W68"/>
      <c r="X68"/>
      <c r="Y68"/>
      <c r="Z68"/>
    </row>
    <row r="69" spans="8:8" ht="15.0" outlineLevel="1" customHeight="1">
      <c r="A69" s="496" t="str">
        <f>J4</f>
        <v>无</v>
      </c>
      <c r="B69" s="496" t="s">
        <v>109</v>
      </c>
      <c r="C69" s="496" t="e">
        <f ca="1">INDEX($A$32:$M$40,MATCH(C46,$A$32:$A$40,0),10)+$G$69*10</f>
        <v>#REF!</v>
      </c>
      <c r="D69" s="496" t="e">
        <f ca="1">INDEX($A$32:$M$40,MATCH(D46,$A$32:$A$40,0),10)+$G$69*10</f>
        <v>#REF!</v>
      </c>
      <c r="E69" s="496" t="e">
        <f ca="1">INDEX($A$32:$M$40,MATCH(E46,$A$32:$A$40,0),10)+$G$69*10</f>
        <v>#REF!</v>
      </c>
      <c r="F69" s="496" t="e">
        <f ca="1">INDEX($A$32:$M$40,MATCH(F46,$A$32:$A$40,0),10)+$G$69*10</f>
        <v>#REF!</v>
      </c>
      <c r="G69" s="497"/>
      <c r="H69" s="493"/>
      <c r="I69" s="2"/>
      <c r="J69" s="2"/>
      <c r="K69" s="2"/>
      <c r="L69" s="2"/>
      <c r="M69" s="2"/>
      <c r="O69" s="2"/>
      <c r="Q69"/>
      <c r="R69"/>
      <c r="S69"/>
      <c r="T69"/>
      <c r="U69"/>
      <c r="V69"/>
      <c r="W69"/>
      <c r="X69"/>
      <c r="Y69"/>
      <c r="Z69"/>
    </row>
    <row r="70" spans="8:8" ht="15.0" customHeight="1">
      <c r="A70" s="494" t="s">
        <v>135</v>
      </c>
      <c r="B70" s="495" t="s">
        <v>109</v>
      </c>
      <c r="C70" s="407"/>
      <c r="D70" s="407"/>
      <c r="E70" s="407"/>
      <c r="F70" s="407"/>
      <c r="G70" s="480"/>
      <c r="H70" s="477"/>
      <c r="J70" s="2"/>
      <c r="K70" s="2"/>
      <c r="R70" s="291"/>
      <c r="S70" s="291"/>
      <c r="T70" s="291"/>
      <c r="U70" s="291"/>
      <c r="V70" s="291"/>
      <c r="W70" s="291"/>
      <c r="X70" s="291"/>
      <c r="Y70" s="2"/>
      <c r="Z70" s="2"/>
    </row>
    <row r="71" spans="8:8" ht="15.0" customHeight="1">
      <c r="A71" s="419" t="s">
        <v>137</v>
      </c>
      <c r="B71" s="495" t="s">
        <v>109</v>
      </c>
      <c r="C71" s="407"/>
      <c r="D71" s="407"/>
      <c r="E71" s="407"/>
      <c r="F71" s="407"/>
      <c r="G71" s="480"/>
      <c r="H71" s="477"/>
      <c r="J71" s="2"/>
      <c r="K71" s="2"/>
      <c r="R71" s="291"/>
      <c r="S71" s="291"/>
      <c r="T71" s="291"/>
      <c r="U71" s="291"/>
      <c r="V71" s="291"/>
      <c r="W71" s="291"/>
      <c r="X71" s="291"/>
      <c r="Y71" s="2"/>
      <c r="Z71" s="2"/>
    </row>
    <row r="72" spans="8:8" ht="15.0" customHeight="1">
      <c r="A72" s="496" t="str">
        <f>K4</f>
        <v>无</v>
      </c>
      <c r="B72" s="496" t="s">
        <v>109</v>
      </c>
      <c r="C72" s="496" t="e">
        <f ca="1">INDEX($A$32:$M$40,MATCH(C46,$A$32:$A$40,0),11)+$G$72*10</f>
        <v>#REF!</v>
      </c>
      <c r="D72" s="496" t="e">
        <f ca="1">INDEX($A$32:$M$40,MATCH(D46,$A$32:$A$40,0),11)+$G$72*10</f>
        <v>#REF!</v>
      </c>
      <c r="E72" s="496" t="e">
        <f ca="1">INDEX($A$32:$M$40,MATCH(E46,$A$32:$A$40,0),11)+$G$72*10</f>
        <v>#REF!</v>
      </c>
      <c r="F72" s="496" t="e">
        <f ca="1">INDEX($A$32:$M$40,MATCH(F46,$A$32:$A$40,0),11)+$G$72*10</f>
        <v>#REF!</v>
      </c>
      <c r="G72" s="497"/>
      <c r="H72" s="493"/>
      <c r="J72" s="2"/>
      <c r="K72" s="2"/>
      <c r="R72" s="291"/>
      <c r="S72" s="291"/>
      <c r="T72" s="291"/>
      <c r="U72" s="291"/>
      <c r="V72" s="291"/>
      <c r="W72" s="291"/>
      <c r="X72" s="291"/>
      <c r="Y72" s="2"/>
      <c r="Z72" s="2"/>
    </row>
    <row r="73" spans="8:8" ht="15.0" customHeight="1">
      <c r="A73" s="494" t="s">
        <v>135</v>
      </c>
      <c r="B73" s="495" t="s">
        <v>109</v>
      </c>
      <c r="C73" s="407"/>
      <c r="D73" s="407"/>
      <c r="E73" s="407"/>
      <c r="F73" s="407"/>
      <c r="G73" s="480"/>
      <c r="H73" s="477"/>
      <c r="J73" s="2"/>
      <c r="K73" s="2"/>
      <c r="R73" s="291"/>
      <c r="S73" s="291"/>
      <c r="T73" s="291"/>
      <c r="U73" s="291"/>
      <c r="V73" s="291"/>
      <c r="W73" s="291"/>
      <c r="X73" s="291"/>
      <c r="Y73" s="2"/>
      <c r="Z73" s="2"/>
    </row>
    <row r="74" spans="8:8" ht="15.0" customHeight="1">
      <c r="A74" s="419" t="s">
        <v>137</v>
      </c>
      <c r="B74" s="495" t="s">
        <v>109</v>
      </c>
      <c r="C74" s="407"/>
      <c r="D74" s="407"/>
      <c r="E74" s="407"/>
      <c r="F74" s="407"/>
      <c r="G74" s="480"/>
      <c r="H74" s="477"/>
      <c r="J74" s="2"/>
      <c r="K74" s="2"/>
      <c r="R74" s="291"/>
      <c r="S74" s="291"/>
      <c r="T74" s="291"/>
      <c r="U74" s="291"/>
      <c r="V74" s="291"/>
      <c r="W74" s="291"/>
      <c r="X74" s="291"/>
      <c r="Y74" s="2"/>
      <c r="Z74" s="2"/>
    </row>
    <row r="75" spans="8:8" ht="15.0" customHeight="1">
      <c r="A75" s="496" t="str">
        <f>L4</f>
        <v>无</v>
      </c>
      <c r="B75" s="496" t="s">
        <v>109</v>
      </c>
      <c r="C75" s="496" t="e">
        <f ca="1">INDEX($A$32:$M$40,MATCH(C46,$A$32:$A$40,0),12)+$G$75*10</f>
        <v>#REF!</v>
      </c>
      <c r="D75" s="496" t="e">
        <f ca="1">INDEX($A$32:$M$40,MATCH(D46,$A$32:$A$40,0),12)+$G$75*10</f>
        <v>#REF!</v>
      </c>
      <c r="E75" s="496" t="e">
        <f ca="1">INDEX($A$32:$M$40,MATCH(E46,$A$32:$A$40,0),12)+$G$75*10</f>
        <v>#REF!</v>
      </c>
      <c r="F75" s="496" t="e">
        <f ca="1">INDEX($A$32:$M$40,MATCH(F46,$A$32:$A$40,0),12)+$G$75*10</f>
        <v>#REF!</v>
      </c>
      <c r="G75" s="497"/>
      <c r="H75" s="493"/>
      <c r="J75" s="2"/>
      <c r="K75" s="2"/>
      <c r="R75" s="291"/>
      <c r="S75" s="291"/>
      <c r="T75" s="291"/>
      <c r="U75" s="291"/>
      <c r="V75" s="291"/>
      <c r="W75" s="291"/>
      <c r="X75" s="291"/>
      <c r="Y75" s="2"/>
      <c r="Z75" s="2"/>
    </row>
    <row r="76" spans="8:8" ht="15.0" customHeight="1">
      <c r="A76" s="494" t="s">
        <v>135</v>
      </c>
      <c r="B76" s="495" t="s">
        <v>109</v>
      </c>
      <c r="C76" s="407"/>
      <c r="D76" s="407"/>
      <c r="E76" s="407"/>
      <c r="F76" s="407"/>
      <c r="G76" s="480"/>
      <c r="H76" s="477"/>
      <c r="J76" s="2"/>
      <c r="K76" s="2"/>
      <c r="R76" s="291"/>
      <c r="S76" s="291"/>
      <c r="T76" s="291"/>
      <c r="U76" s="291"/>
      <c r="V76" s="291"/>
      <c r="W76" s="291"/>
      <c r="X76" s="291"/>
      <c r="Y76" s="2"/>
      <c r="Z76" s="2"/>
    </row>
    <row r="77" spans="8:8" ht="15.0" customHeight="1">
      <c r="A77" s="498" t="s">
        <v>137</v>
      </c>
      <c r="B77" s="499" t="s">
        <v>109</v>
      </c>
      <c r="C77" s="412"/>
      <c r="D77" s="412"/>
      <c r="E77" s="412"/>
      <c r="F77" s="412"/>
      <c r="G77" s="486"/>
      <c r="H77" s="500"/>
      <c r="J77" s="2"/>
      <c r="K77" s="2"/>
      <c r="R77" s="291"/>
      <c r="S77" s="291"/>
      <c r="T77" s="291"/>
      <c r="U77" s="291"/>
      <c r="V77" s="291"/>
      <c r="W77" s="291"/>
      <c r="X77" s="291"/>
      <c r="Y77" s="2"/>
      <c r="Z77" s="2"/>
    </row>
    <row r="78" spans="8:8" ht="15.0" customHeight="1">
      <c r="A78" s="501" t="s">
        <v>208</v>
      </c>
      <c r="B78" s="502" t="s">
        <v>47</v>
      </c>
      <c r="C78" s="503" t="s">
        <v>196</v>
      </c>
      <c r="D78" s="503" t="s">
        <v>197</v>
      </c>
      <c r="E78" s="503" t="s">
        <v>198</v>
      </c>
      <c r="F78" s="503" t="s">
        <v>199</v>
      </c>
      <c r="G78" s="504" t="s">
        <v>200</v>
      </c>
      <c r="H78" s="505" t="s">
        <v>127</v>
      </c>
      <c r="R78" s="291"/>
      <c r="S78" s="291"/>
      <c r="T78" s="291"/>
      <c r="U78" s="291"/>
      <c r="V78" s="291"/>
      <c r="W78" s="291"/>
      <c r="X78" s="291"/>
      <c r="Y78" s="2"/>
      <c r="Z78" s="2"/>
    </row>
    <row r="79" spans="8:8" ht="15.0" customHeight="1">
      <c r="A79" s="506" t="str">
        <f>N4</f>
        <v>无</v>
      </c>
      <c r="B79" s="507" t="e">
        <f ca="1">N34</f>
        <v>#REF!</v>
      </c>
      <c r="C79" s="507" t="e">
        <f ca="1">INDEX($A$32:$S$40,MATCH(C46,$A$32:$A$40,0),14)+$G$79*10</f>
        <v>#REF!</v>
      </c>
      <c r="D79" s="507" t="e">
        <f ca="1">INDEX($A$32:$S$40,MATCH(D46,$A$32:$A$40,0),14)+$G$79*10</f>
        <v>#REF!</v>
      </c>
      <c r="E79" s="507" t="e">
        <f ca="1">INDEX($A$32:$S$40,MATCH(E46,$A$32:$A$40,0),14)+$G$79*10</f>
        <v>#REF!</v>
      </c>
      <c r="F79" s="507" t="e">
        <f ca="1">INDEX($A$32:$S$40,MATCH(F46,$A$32:$A$40,0),14)+$G$79*10</f>
        <v>#REF!</v>
      </c>
      <c r="G79" s="508"/>
      <c r="H79" s="509"/>
      <c r="J79" s="4"/>
      <c r="K79" s="2"/>
      <c r="R79" s="291"/>
      <c r="S79" s="291"/>
      <c r="T79" s="291"/>
      <c r="U79" s="291"/>
      <c r="V79" s="291"/>
      <c r="W79" s="291"/>
      <c r="X79" s="291"/>
      <c r="Y79" s="2"/>
      <c r="Z79" s="2"/>
    </row>
    <row r="80" spans="8:8" ht="15.0" customHeight="1">
      <c r="A80" s="510" t="s">
        <v>135</v>
      </c>
      <c r="B80" s="511" t="s">
        <v>109</v>
      </c>
      <c r="C80" s="407"/>
      <c r="D80" s="407"/>
      <c r="E80" s="407"/>
      <c r="F80" s="407"/>
      <c r="G80" s="480"/>
      <c r="H80" s="481"/>
      <c r="J80" s="2"/>
      <c r="K80" s="2"/>
      <c r="R80" s="291"/>
      <c r="S80" s="291"/>
      <c r="T80" s="291"/>
      <c r="U80" s="291"/>
      <c r="V80" s="291"/>
      <c r="W80" s="291"/>
      <c r="X80" s="291"/>
      <c r="Y80" s="2"/>
      <c r="Z80" s="2"/>
    </row>
    <row r="81" spans="8:8" ht="15.0" outlineLevel="1" customHeight="1">
      <c r="A81" s="512" t="s">
        <v>137</v>
      </c>
      <c r="B81" s="511" t="s">
        <v>109</v>
      </c>
      <c r="C81" s="407"/>
      <c r="D81" s="407"/>
      <c r="E81" s="407"/>
      <c r="F81" s="407"/>
      <c r="G81" s="480"/>
      <c r="H81" s="481"/>
      <c r="J81" s="2"/>
      <c r="K81" s="2"/>
      <c r="R81" s="291"/>
      <c r="S81" s="291"/>
      <c r="T81" s="291"/>
      <c r="U81" s="291"/>
      <c r="V81" s="291"/>
      <c r="W81" s="291"/>
      <c r="X81" s="291"/>
      <c r="Y81" s="2"/>
      <c r="Z81" s="2"/>
    </row>
    <row r="82" spans="8:8" ht="15.0" outlineLevel="1" customHeight="1">
      <c r="A82" s="512" t="str">
        <f>O4</f>
        <v>无</v>
      </c>
      <c r="B82" s="512" t="s">
        <v>109</v>
      </c>
      <c r="C82" s="512" t="e">
        <f ca="1">INDEX($A$32:$S$40,MATCH(C46,$A$32:$A$40,0),15)+$G$82*10</f>
        <v>#REF!</v>
      </c>
      <c r="D82" s="512" t="e">
        <f ca="1">INDEX($A$32:$S$40,MATCH(D46,$A$32:$A$40,0),15)+$G$82*10</f>
        <v>#REF!</v>
      </c>
      <c r="E82" s="512" t="e">
        <f ca="1">INDEX($A$32:$S$40,MATCH(E46,$A$32:$A$40,0),15)+$G$82*10</f>
        <v>#REF!</v>
      </c>
      <c r="F82" s="512" t="e">
        <f ca="1">INDEX($A$32:$S$40,MATCH(F46,$A$32:$A$40,0),15)+$G$82*10</f>
        <v>#REF!</v>
      </c>
      <c r="G82" s="513"/>
      <c r="H82" s="509"/>
      <c r="R82" s="291"/>
      <c r="S82" s="291"/>
      <c r="T82" s="291"/>
      <c r="U82" s="291"/>
      <c r="V82" s="291"/>
      <c r="W82" s="291"/>
      <c r="X82" s="291"/>
      <c r="Y82" s="2"/>
      <c r="Z82" s="2"/>
    </row>
    <row r="83" spans="8:8" ht="15.0" customHeight="1">
      <c r="A83" s="510" t="s">
        <v>135</v>
      </c>
      <c r="B83" s="511" t="s">
        <v>109</v>
      </c>
      <c r="C83" s="407"/>
      <c r="D83" s="407"/>
      <c r="E83" s="514"/>
      <c r="F83" s="407"/>
      <c r="G83" s="480"/>
      <c r="H83" s="481"/>
      <c r="J83" s="2"/>
      <c r="K83" s="2"/>
      <c r="R83" s="291"/>
      <c r="S83" s="291"/>
      <c r="T83" s="291"/>
      <c r="U83" s="291"/>
      <c r="V83" s="291"/>
      <c r="W83" s="291"/>
      <c r="X83" s="291"/>
      <c r="Y83" s="2"/>
      <c r="Z83" s="2"/>
    </row>
    <row r="84" spans="8:8" ht="15.0" outlineLevel="1" customHeight="1">
      <c r="A84" s="512" t="s">
        <v>137</v>
      </c>
      <c r="B84" s="511" t="s">
        <v>109</v>
      </c>
      <c r="C84" s="407"/>
      <c r="D84" s="407"/>
      <c r="E84" s="514"/>
      <c r="F84" s="407"/>
      <c r="G84" s="480"/>
      <c r="H84" s="481"/>
      <c r="J84" s="2"/>
      <c r="K84" s="2"/>
      <c r="R84" s="291"/>
      <c r="S84" s="291"/>
      <c r="T84" s="291"/>
      <c r="U84" s="291"/>
      <c r="V84" s="291"/>
      <c r="W84" s="291"/>
      <c r="X84" s="291"/>
      <c r="Y84" s="2"/>
      <c r="Z84" s="2"/>
    </row>
    <row r="85" spans="8:8" ht="15.0" outlineLevel="1" customHeight="1">
      <c r="A85" s="512" t="str">
        <f>P4</f>
        <v>无</v>
      </c>
      <c r="B85" s="512" t="s">
        <v>109</v>
      </c>
      <c r="C85" s="512" t="e">
        <f ca="1">INDEX($A$32:$S$40,MATCH(C46,$A$32:$A$40,0),16)+$G$85*10</f>
        <v>#REF!</v>
      </c>
      <c r="D85" s="512" t="e">
        <f ca="1">INDEX($A$32:$S$40,MATCH(D46,$A$32:$A$40,0),16)+$G$85*10</f>
        <v>#REF!</v>
      </c>
      <c r="E85" s="512" t="e">
        <f ca="1">INDEX($A$32:$S$40,MATCH(E46,$A$32:$A$40,0),16)+$G$85*10</f>
        <v>#REF!</v>
      </c>
      <c r="F85" s="512" t="e">
        <f ca="1">INDEX($A$32:$S$40,MATCH(F46,$A$32:$A$40,0),16)+$G$85*10</f>
        <v>#REF!</v>
      </c>
      <c r="G85" s="513"/>
      <c r="H85" s="509"/>
      <c r="J85" s="2"/>
      <c r="K85" s="2"/>
      <c r="R85" s="291"/>
      <c r="S85" s="291"/>
      <c r="T85" s="291"/>
      <c r="U85" s="291"/>
      <c r="V85" s="291"/>
      <c r="W85" s="291"/>
      <c r="X85" s="291"/>
      <c r="Y85" s="2"/>
      <c r="Z85" s="2"/>
    </row>
    <row r="86" spans="8:8" ht="15.0" customHeight="1">
      <c r="A86" s="510" t="s">
        <v>135</v>
      </c>
      <c r="B86" s="511" t="s">
        <v>109</v>
      </c>
      <c r="C86" s="407"/>
      <c r="D86" s="407"/>
      <c r="F86" s="407"/>
      <c r="G86" s="480"/>
      <c r="H86" s="477"/>
      <c r="J86" s="2"/>
      <c r="K86" s="2"/>
    </row>
    <row r="87" spans="8:8" ht="15.0" customHeight="1">
      <c r="A87" s="515" t="s">
        <v>137</v>
      </c>
      <c r="B87" s="516" t="s">
        <v>109</v>
      </c>
      <c r="C87" s="412"/>
      <c r="D87" s="412"/>
      <c r="E87" s="517"/>
      <c r="F87" s="412"/>
      <c r="G87" s="480"/>
      <c r="H87" s="477"/>
      <c r="J87" s="2"/>
      <c r="K87" s="2"/>
    </row>
    <row r="88" spans="8:8" ht="15.0" customHeight="1">
      <c r="A88" s="512" t="str">
        <f>Q4</f>
        <v>无</v>
      </c>
      <c r="B88" s="512" t="s">
        <v>109</v>
      </c>
      <c r="C88" s="512" t="e">
        <f ca="1">INDEX($A$32:$S$40,MATCH(C46,$A$32:$A$40,0),17)+$G$88*10</f>
        <v>#REF!</v>
      </c>
      <c r="D88" s="512" t="e">
        <f ca="1">INDEX($A$32:$S$40,MATCH(D46,$A$32:$A$40,0),17)+$G$88*10</f>
        <v>#REF!</v>
      </c>
      <c r="E88" s="512" t="e">
        <f ca="1">INDEX($A$32:$S$40,MATCH(E46,$A$32:$A$40,0),17)+$G$88*10</f>
        <v>#REF!</v>
      </c>
      <c r="F88" s="512" t="e">
        <f ca="1">INDEX($A$32:$S$40,MATCH(F46,$A$32:$A$40,0),17)+$G$88*10</f>
        <v>#REF!</v>
      </c>
      <c r="G88" s="513"/>
      <c r="H88" s="509"/>
      <c r="J88" s="2"/>
      <c r="K88" s="2"/>
    </row>
    <row r="89" spans="8:8" ht="15.0" customHeight="1">
      <c r="A89" s="510" t="s">
        <v>135</v>
      </c>
      <c r="B89" s="511" t="s">
        <v>109</v>
      </c>
      <c r="C89" s="407"/>
      <c r="D89" s="407"/>
      <c r="F89" s="407"/>
      <c r="G89" s="480"/>
      <c r="H89" s="477"/>
      <c r="J89" s="2"/>
      <c r="K89" s="2"/>
    </row>
    <row r="90" spans="8:8" ht="15.0" customHeight="1">
      <c r="A90" s="515" t="s">
        <v>137</v>
      </c>
      <c r="B90" s="516" t="s">
        <v>109</v>
      </c>
      <c r="C90" s="412"/>
      <c r="D90" s="412"/>
      <c r="E90" s="517"/>
      <c r="F90" s="412"/>
      <c r="G90" s="480"/>
      <c r="H90" s="477"/>
      <c r="J90" s="2"/>
      <c r="K90" s="2"/>
    </row>
    <row r="91" spans="8:8" ht="15.0" customHeight="1">
      <c r="A91" s="512" t="str">
        <f>R4</f>
        <v>无</v>
      </c>
      <c r="B91" s="512" t="s">
        <v>109</v>
      </c>
      <c r="C91" s="512" t="e">
        <f ca="1">INDEX($A$32:$S$40,MATCH(C46,$A$32:$A$40,0),18)+$G$91*10</f>
        <v>#REF!</v>
      </c>
      <c r="D91" s="512" t="e">
        <f ca="1">INDEX($A$32:$S$40,MATCH(D46,$A$32:$A$40,0),18)+$G$91*10</f>
        <v>#REF!</v>
      </c>
      <c r="E91" s="512" t="e">
        <f ca="1">INDEX($A$32:$S$40,MATCH(E46,$A$32:$A$40,0),18)+$G$91*10</f>
        <v>#REF!</v>
      </c>
      <c r="F91" s="512" t="e">
        <f ca="1">INDEX($A$32:$S$40,MATCH(F46,$A$32:$A$40,0),18)+$G$91*10</f>
        <v>#REF!</v>
      </c>
      <c r="G91" s="513"/>
      <c r="H91" s="509"/>
      <c r="J91" s="2"/>
      <c r="K91" s="2"/>
    </row>
    <row r="92" spans="8:8" ht="15.0" customHeight="1">
      <c r="A92" s="510" t="s">
        <v>135</v>
      </c>
      <c r="B92" s="511" t="s">
        <v>109</v>
      </c>
      <c r="C92" s="407"/>
      <c r="D92" s="407"/>
      <c r="F92" s="407"/>
      <c r="G92" s="480"/>
      <c r="H92" s="477"/>
      <c r="J92" s="2"/>
      <c r="K92" s="2"/>
    </row>
    <row r="93" spans="8:8" ht="15.0" customHeight="1">
      <c r="A93" s="515" t="s">
        <v>137</v>
      </c>
      <c r="B93" s="516" t="s">
        <v>109</v>
      </c>
      <c r="C93" s="412"/>
      <c r="D93" s="412"/>
      <c r="E93" s="517"/>
      <c r="F93" s="412"/>
      <c r="G93" s="480"/>
      <c r="H93" s="518"/>
      <c r="J93" s="2"/>
      <c r="K93" s="2"/>
    </row>
    <row r="94" spans="8:8" ht="28.0">
      <c r="A94" s="519" t="s">
        <v>150</v>
      </c>
      <c r="B94" s="520" t="e">
        <f ca="1">B47-(B63+B47+B79)/3</f>
        <v>#REF!</v>
      </c>
      <c r="C94" s="521" t="e">
        <f t="shared" si="26" ref="C94:F94">MAX(C47+C48+C49+((C50+C51+C52+C53+C54+C55)/2),0)</f>
        <v>#REF!</v>
      </c>
      <c r="D94" s="521" t="e">
        <f t="shared" si="26"/>
        <v>#REF!</v>
      </c>
      <c r="E94" s="521" t="e">
        <f t="shared" si="26"/>
        <v>#REF!</v>
      </c>
      <c r="F94" s="522" t="e">
        <f t="shared" si="26"/>
        <v>#REF!</v>
      </c>
      <c r="G94" s="523" t="e">
        <f t="shared" si="27" ref="G94:G96">(C94+D94+E94+F94)</f>
        <v>#REF!</v>
      </c>
      <c r="H94" s="386">
        <f>IF($D$98="辅助胜率正常",SUM(H47:H61),SUM(H47:H49)+SUM(H50:H61)/2)</f>
        <v>0.0</v>
      </c>
      <c r="J94" s="2"/>
      <c r="K94" s="2"/>
    </row>
    <row r="95" spans="8:8" ht="28.0">
      <c r="A95" s="524" t="s">
        <v>152</v>
      </c>
      <c r="B95" s="525" t="e">
        <f ca="1">B63-(B63+B47+B79)/3</f>
        <v>#REF!</v>
      </c>
      <c r="C95" s="526" t="e">
        <f t="shared" si="28" ref="C95:F95">MAX(C63+C64+C65+((C66+C67+C68+C69+C70+C71)/2),0)</f>
        <v>#REF!</v>
      </c>
      <c r="D95" s="526" t="e">
        <f t="shared" si="28"/>
        <v>#REF!</v>
      </c>
      <c r="E95" s="526" t="e">
        <f t="shared" si="28"/>
        <v>#REF!</v>
      </c>
      <c r="F95" s="527" t="e">
        <f t="shared" si="28"/>
        <v>#REF!</v>
      </c>
      <c r="G95" s="528" t="e">
        <f t="shared" si="27"/>
        <v>#REF!</v>
      </c>
      <c r="H95" s="390">
        <f>IF($D$98="辅助胜率正常",SUM(H63:H77),SUM(H63:H65)+SUM(H66:H77)/2)</f>
        <v>0.0</v>
      </c>
      <c r="J95" s="2"/>
      <c r="K95" s="2"/>
    </row>
    <row r="96" spans="8:8" ht="28.0">
      <c r="A96" s="529" t="s">
        <v>209</v>
      </c>
      <c r="B96" s="530" t="e">
        <f ca="1">B79-(B63+B47+B79)/3</f>
        <v>#REF!</v>
      </c>
      <c r="C96" s="531" t="e">
        <f t="shared" si="29" ref="C96:F96">MAX(C79+C80+C81+((C82+C83+C84+C85+C86+C87)/2),0)</f>
        <v>#REF!</v>
      </c>
      <c r="D96" s="531" t="e">
        <f t="shared" si="29"/>
        <v>#REF!</v>
      </c>
      <c r="E96" s="531" t="e">
        <f t="shared" si="29"/>
        <v>#REF!</v>
      </c>
      <c r="F96" s="532" t="e">
        <f t="shared" si="29"/>
        <v>#REF!</v>
      </c>
      <c r="G96" s="533" t="e">
        <f t="shared" si="27"/>
        <v>#REF!</v>
      </c>
      <c r="H96" s="394">
        <f>IF($D$98="辅助胜率正常",SUM(H79:H93),SUM(H79:H81)+SUM(H82:H93)/2)</f>
        <v>0.0</v>
      </c>
      <c r="J96" s="2"/>
      <c r="K96" s="2"/>
    </row>
    <row r="97" spans="8:8">
      <c r="A97" s="358"/>
      <c r="B97" s="2"/>
      <c r="C97" s="2" t="s">
        <v>84</v>
      </c>
      <c r="D97" s="2" t="s">
        <v>84</v>
      </c>
      <c r="E97" s="2" t="s">
        <v>84</v>
      </c>
      <c r="F97" s="2" t="s">
        <v>84</v>
      </c>
      <c r="J97" s="2"/>
      <c r="K97" s="2"/>
    </row>
    <row r="98" spans="8:8" ht="28.0">
      <c r="A98" s="534" t="s">
        <v>157</v>
      </c>
      <c r="B98" s="534"/>
      <c r="C98" s="534"/>
      <c r="D98" s="535" t="s">
        <v>159</v>
      </c>
      <c r="E98" s="536" t="s">
        <v>160</v>
      </c>
      <c r="F98" s="2"/>
      <c r="J98" s="2"/>
      <c r="K98" s="2"/>
    </row>
    <row r="99" spans="8:8">
      <c r="A99" s="537" t="s">
        <v>210</v>
      </c>
      <c r="B99" s="538" t="s">
        <v>211</v>
      </c>
      <c r="C99" s="539" t="e">
        <f ca="1">SUM(C101:C103)</f>
        <v>#REF!</v>
      </c>
      <c r="D99" s="2"/>
      <c r="E99" s="2"/>
      <c r="F99" s="2"/>
      <c r="I99" s="539" t="e">
        <f ca="1">SUM(I101:I103)</f>
        <v>#REF!</v>
      </c>
      <c r="J99" s="540"/>
    </row>
    <row r="100" spans="8:8">
      <c r="A100" s="541"/>
      <c r="B100" s="542" t="s">
        <v>212</v>
      </c>
      <c r="C100" s="541" t="s">
        <v>213</v>
      </c>
      <c r="D100" s="541" t="s">
        <v>214</v>
      </c>
      <c r="E100" s="541" t="s">
        <v>215</v>
      </c>
      <c r="F100" s="541" t="s">
        <v>216</v>
      </c>
      <c r="G100" s="543" t="s">
        <v>172</v>
      </c>
      <c r="H100" s="541" t="s">
        <v>217</v>
      </c>
      <c r="I100" s="541" t="s">
        <v>215</v>
      </c>
      <c r="J100" s="541" t="s">
        <v>218</v>
      </c>
      <c r="K100" s="541" t="s">
        <v>219</v>
      </c>
      <c r="N100"/>
      <c r="O100" s="2"/>
      <c r="XFD100" s="24"/>
    </row>
    <row r="101" spans="8:8">
      <c r="A101" s="475" t="str">
        <f>A47</f>
        <v>无</v>
      </c>
      <c r="B101" s="475" t="e">
        <f ca="1">IF(B100="星之开拓者",0,B94)</f>
        <v>#REF!</v>
      </c>
      <c r="C101" s="475" t="e">
        <f ca="1">IF(AND(C94&gt;C95,C94&gt;C96),30,IF(OR(AND(C94=C95,C94&gt;C96),AND(C94=C96,C94&gt;C95)),15,IF(AND(C94=C95,C95=C96),10,0)))+IF(AND(D94&gt;D95,D94&gt;D96),30,IF(OR(AND(D94=D95,D94&gt;D96),AND(D94=D96,D94&gt;D95)),15,IF(AND(D94=D95,D95=D96),10,0)))+IF(AND(E94&gt;E95,E94&gt;E96),30,IF(OR(AND(E94=E95,E94&gt;E96),AND(E94=E96,E94&gt;E95)),15,IF(AND(E94=E95,E95=E96),10,0)))+IF(AND(F94&gt;F95,F94&gt;F96),30,IF(OR(AND(F94=F95,F94&gt;F96),AND(F94=F96,F94&gt;F95)),15,IF(AND(F94=F95,F95=F96),10,0)))+10</f>
        <v>#REF!</v>
      </c>
      <c r="D101" s="475" t="e">
        <f ca="1">G94-(G94+G95+G96)/3</f>
        <v>#REF!</v>
      </c>
      <c r="E101" s="475" t="e">
        <f t="shared" si="30" ref="E101:E103">B101+C101+D101</f>
        <v>#REF!</v>
      </c>
      <c r="F101" s="475">
        <f>G13+J20+H94</f>
        <v>0.0</v>
      </c>
      <c r="G101" s="544"/>
      <c r="H101" s="544"/>
      <c r="I101" s="545" t="e">
        <f ca="1">SUM(E101:H101)-SUM(F101:H103)/3</f>
        <v>#REF!</v>
      </c>
      <c r="J101" s="514"/>
      <c r="K101" s="546" t="e">
        <f ca="1">IF(AND(I102&lt;J102,I103&lt;J103),150-J102-J103,(IF(I101&lt;J101,J101,IF(I102&lt;J102,E106,IF(I103&lt;J103,F106,I101)))))</f>
        <v>#REF!</v>
      </c>
      <c r="N101"/>
      <c r="O101" s="6"/>
      <c r="XFD101" s="24"/>
    </row>
    <row r="102" spans="8:8">
      <c r="A102" s="496" t="str">
        <f>A63</f>
        <v>无</v>
      </c>
      <c r="B102" s="496" t="e">
        <f ca="1">IF(B100="星之开拓者",0,B95)</f>
        <v>#REF!</v>
      </c>
      <c r="C102" s="496" t="e">
        <f ca="1">IF(AND(C95&gt;C94,C95&gt;C96),30,IF(OR(AND(C95=C94,C95&gt;C96),AND(C95=C96,C95&gt;C94)),15,IF(AND(C94=C95,C95=C96),10,0)))+IF(AND(D95&gt;D94,D95&gt;D96),30,IF(OR(AND(D95=D94,D95&gt;D96),AND(D95=D96,D95&gt;D94)),15,IF(AND(D94=D95,D95=D96),10,0)))+IF(AND(E95&gt;E94,E95&gt;E96),30,IF(OR(AND(E95=E94,E95&gt;E96),AND(E95=E96,E95&gt;E94)),15,IF(AND(E94=E95,E95=E96),10,0)))+IF(AND(F95&gt;F94,F95&gt;F96),30,IF(OR(AND(F95=F94,F95&gt;F96),AND(F95=F96,F95&gt;F94)),15,IF(AND(F94=F95,F95=F96),10,0)))+10</f>
        <v>#REF!</v>
      </c>
      <c r="D102" s="496" t="e">
        <f ca="1">G95-(G94+G95+G96)/3</f>
        <v>#REF!</v>
      </c>
      <c r="E102" s="496" t="e">
        <f t="shared" si="30"/>
        <v>#REF!</v>
      </c>
      <c r="F102" s="496">
        <f>M13+J25+H95</f>
        <v>0.0</v>
      </c>
      <c r="G102" s="544"/>
      <c r="H102" s="544"/>
      <c r="I102" s="547" t="e">
        <f ca="1">SUM(E102:H102)-SUM(F101:H103)/3</f>
        <v>#REF!</v>
      </c>
      <c r="J102" s="514"/>
      <c r="K102" s="548" t="e">
        <f ca="1">IF(AND(I101&lt;J101,I103&lt;J103),150-J101-J103,(IF(I102&lt;J102,J102,IF(I101&lt;J101,D107,IF(I103&lt;J103,F107,I102)))))</f>
        <v>#REF!</v>
      </c>
      <c r="N102"/>
      <c r="O102" s="6"/>
      <c r="XFD102" s="24"/>
    </row>
    <row r="103" spans="8:8">
      <c r="A103" s="512" t="str">
        <f>A79</f>
        <v>无</v>
      </c>
      <c r="B103" s="512" t="e">
        <f ca="1">IF(B100="星之开拓者",0,B96)</f>
        <v>#REF!</v>
      </c>
      <c r="C103" s="512" t="e">
        <f ca="1">IF(AND(C96&gt;C94,C96&gt;C95),30,IF(OR(AND(C96=C94,C96&gt;C95),AND(C96=C95,C96&gt;C94)),15,IF(AND(C94=C95,C95=C96),10,0)))+IF(AND(D96&gt;D94,D96&gt;D95),30,IF(OR(AND(D96=D94,D96&gt;D95),AND(D96=D95,D96&gt;D94)),15,IF(AND(D94=D95,D95=D96),10,0)))+IF(AND(E96&gt;E94,E96&gt;E95),30,IF(OR(AND(E96=E94,E96&gt;E95),AND(E96=E95,E96&gt;E94)),15,IF(AND(E94=E95,E95=E96),10,0)))+IF(AND(F96&gt;F94,F96&gt;F95),30,IF(OR(AND(F96=F94,F96&gt;F95),AND(F96=F95,F96&gt;F94)),15,IF(AND(F94=F95,F95=F96),10,0)))+10</f>
        <v>#REF!</v>
      </c>
      <c r="D103" s="512" t="e">
        <f ca="1">G96-(G94+G95+G96)/3</f>
        <v>#REF!</v>
      </c>
      <c r="E103" s="512" t="e">
        <f t="shared" si="30"/>
        <v>#REF!</v>
      </c>
      <c r="F103" s="512">
        <f>S13+J30+H96</f>
        <v>0.0</v>
      </c>
      <c r="G103" s="544"/>
      <c r="H103" s="544"/>
      <c r="I103" s="549" t="e">
        <f ca="1">SUM(E103:H103)-SUM(F101:H103)/3</f>
        <v>#REF!</v>
      </c>
      <c r="J103" s="514"/>
      <c r="K103" s="550" t="e">
        <f ca="1">IF(AND(I101&lt;J101,I102&lt;J102),150-J102-J101,(IF(I103&lt;J103,J103,IF(I102&lt;J102,E108,IF(I101&lt;J101,D108,I103)))))</f>
        <v>#REF!</v>
      </c>
      <c r="N103"/>
      <c r="O103" s="6"/>
      <c r="XFD103" s="24"/>
    </row>
    <row r="104" spans="8:8">
      <c r="C104" s="2" t="s">
        <v>220</v>
      </c>
      <c r="D104" s="2"/>
      <c r="E104" s="2"/>
      <c r="F104" s="3" t="s">
        <v>221</v>
      </c>
      <c r="G104" s="551"/>
      <c r="H104" s="2" t="s">
        <v>222</v>
      </c>
      <c r="J104"/>
      <c r="K104"/>
      <c r="L104"/>
      <c r="M104"/>
    </row>
    <row r="105" spans="8:8">
      <c r="C105" s="552"/>
      <c r="D105" s="553" t="str">
        <f>A101</f>
        <v>无</v>
      </c>
      <c r="E105" s="553" t="str">
        <f>A102</f>
        <v>无</v>
      </c>
      <c r="F105" s="553" t="str">
        <f>A103</f>
        <v>无</v>
      </c>
      <c r="G105"/>
    </row>
    <row r="106" spans="8:8">
      <c r="C106" s="552" t="str">
        <f t="shared" si="31" ref="C106:C108">A101</f>
        <v>无</v>
      </c>
      <c r="D106" s="552">
        <f>J101</f>
        <v>0.0</v>
      </c>
      <c r="E106" s="552" t="e">
        <f ca="1">((I101/(I101+I103))*150)-((I101/(I101+I103))*J102)</f>
        <v>#REF!</v>
      </c>
      <c r="F106" s="552" t="e">
        <f ca="1">((I101/(I101+I102))*150)-((I101/(I101+I102))*J103)</f>
        <v>#REF!</v>
      </c>
      <c r="G106"/>
    </row>
    <row r="107" spans="8:8">
      <c r="C107" s="552" t="str">
        <f t="shared" si="31"/>
        <v>无</v>
      </c>
      <c r="D107" s="552" t="e">
        <f ca="1">((I102/(I102+I103))*150)-((I102/(I102+I103))*J101)</f>
        <v>#REF!</v>
      </c>
      <c r="E107" s="552">
        <f>J102</f>
        <v>0.0</v>
      </c>
      <c r="F107" s="552" t="e">
        <f ca="1">((I102/(I101+I102))*150)-((I102/(I101+I102))*J103)</f>
        <v>#REF!</v>
      </c>
      <c r="G107"/>
    </row>
    <row r="108" spans="8:8">
      <c r="C108" s="552" t="str">
        <f t="shared" si="31"/>
        <v>无</v>
      </c>
      <c r="D108" s="552" t="e">
        <f ca="1">((I103/(I102+I103))*150)-((I103/(I102+I103))*J101)</f>
        <v>#REF!</v>
      </c>
      <c r="E108" s="552" t="e">
        <f ca="1">((I103/(I101+I103))*150)-((I103/(I101+I103))*J102)</f>
        <v>#REF!</v>
      </c>
      <c r="F108" s="552">
        <f>J103</f>
        <v>0.0</v>
      </c>
      <c r="G108"/>
    </row>
    <row r="109" spans="8:8">
      <c r="C109"/>
      <c r="D109"/>
      <c r="E109"/>
      <c r="F109"/>
      <c r="G109"/>
    </row>
  </sheetData>
  <sheetProtection sheet="0" selectLockedCells="1"/>
  <mergeCells count="12">
    <mergeCell ref="A98:C98"/>
    <mergeCell ref="F104:G104"/>
    <mergeCell ref="A43:B44"/>
    <mergeCell ref="C43:F44"/>
    <mergeCell ref="J20:J21"/>
    <mergeCell ref="J25:J26"/>
    <mergeCell ref="J30:J31"/>
    <mergeCell ref="A1:B2"/>
    <mergeCell ref="C1:D2"/>
    <mergeCell ref="A14:B15"/>
    <mergeCell ref="C14:D15"/>
    <mergeCell ref="E15:G15"/>
  </mergeCells>
  <conditionalFormatting sqref="H7:H12 H35:H40">
    <cfRule type="expression" priority="158" dxfId="72">
      <formula>$H$3="隱藏"</formula>
    </cfRule>
  </conditionalFormatting>
  <conditionalFormatting sqref="O7:O12 O34:O40">
    <cfRule type="expression" priority="153" dxfId="73">
      <formula>$O$3="隱藏"</formula>
    </cfRule>
  </conditionalFormatting>
  <conditionalFormatting sqref="A67">
    <cfRule type="containsText" text="隱藏" operator="containsText" priority="167" dxfId="74">
      <formula>NOT(ISERROR(SEARCH("隱藏",A67)))</formula>
    </cfRule>
  </conditionalFormatting>
  <conditionalFormatting sqref="A94:A96">
    <cfRule type="containsText" text="隱藏" operator="containsText" priority="172" dxfId="75">
      <formula>NOT(ISERROR(SEARCH("隱藏",A94)))</formula>
    </cfRule>
  </conditionalFormatting>
  <conditionalFormatting sqref="E7:E12">
    <cfRule type="expression" priority="135" dxfId="76">
      <formula>$E$3="隱藏"</formula>
    </cfRule>
  </conditionalFormatting>
  <conditionalFormatting sqref="R7:R12">
    <cfRule type="expression" priority="118" dxfId="77">
      <formula>$R$3="隱藏"</formula>
    </cfRule>
  </conditionalFormatting>
  <conditionalFormatting sqref="B5:F5">
    <cfRule type="cellIs" operator="notEqual" priority="134" dxfId="78">
      <formula>0</formula>
    </cfRule>
  </conditionalFormatting>
  <conditionalFormatting sqref="A48">
    <cfRule type="containsText" text="隱藏" operator="containsText" priority="171" dxfId="79">
      <formula>NOT(ISERROR(SEARCH("隱藏",A48)))</formula>
    </cfRule>
  </conditionalFormatting>
  <conditionalFormatting sqref="C60:F61">
    <cfRule type="cellIs" operator="notEqual" priority="88" dxfId="80">
      <formula>0</formula>
    </cfRule>
  </conditionalFormatting>
  <conditionalFormatting sqref="H5:L5">
    <cfRule type="cellIs" operator="notEqual" priority="127" dxfId="81">
      <formula>0</formula>
    </cfRule>
  </conditionalFormatting>
  <conditionalFormatting sqref="C75:F75">
    <cfRule type="expression" priority="105" dxfId="82">
      <formula>$A$70="隱藏"</formula>
    </cfRule>
  </conditionalFormatting>
  <conditionalFormatting sqref="C85:F85">
    <cfRule type="expression" priority="142" dxfId="83">
      <formula>$A$86="隱藏"</formula>
    </cfRule>
  </conditionalFormatting>
  <conditionalFormatting sqref="I7:I12 I35:I40">
    <cfRule type="expression" priority="157" dxfId="84">
      <formula>$I$3="隱藏"</formula>
    </cfRule>
  </conditionalFormatting>
  <conditionalFormatting sqref="G94:G96">
    <cfRule type="top10" rank="1" priority="190" dxfId="85"/>
  </conditionalFormatting>
  <conditionalFormatting sqref="A57">
    <cfRule type="containsText" text="隱藏" operator="containsText" priority="114" dxfId="86">
      <formula>NOT(ISERROR(SEARCH("隱藏",A57)))</formula>
    </cfRule>
  </conditionalFormatting>
  <conditionalFormatting sqref="N7:N12 N35:N40">
    <cfRule type="expression" priority="154" dxfId="87">
      <formula>$N$3="隱藏"</formula>
    </cfRule>
  </conditionalFormatting>
  <conditionalFormatting sqref="D7:D12">
    <cfRule type="expression" priority="160" dxfId="88">
      <formula>$D$3="隱藏"</formula>
    </cfRule>
  </conditionalFormatting>
  <conditionalFormatting sqref="I14:J16">
    <cfRule type="cellIs" operator="notEqual" priority="85" dxfId="89">
      <formula>0</formula>
    </cfRule>
  </conditionalFormatting>
  <conditionalFormatting sqref="M7:M12">
    <cfRule type="expression" priority="124" dxfId="90">
      <formula>$M$3="隱藏"</formula>
    </cfRule>
  </conditionalFormatting>
  <conditionalFormatting sqref="Q7:Q12">
    <cfRule type="expression" priority="121" dxfId="91">
      <formula>$Q$3="隱藏"</formula>
    </cfRule>
  </conditionalFormatting>
  <conditionalFormatting sqref="I99">
    <cfRule type="cellIs" operator="notEqual" priority="5" dxfId="92">
      <formula>150</formula>
    </cfRule>
  </conditionalFormatting>
  <conditionalFormatting sqref="B22:H26">
    <cfRule type="cellIs" operator="notEqual" priority="95" dxfId="93">
      <formula>0</formula>
    </cfRule>
  </conditionalFormatting>
  <conditionalFormatting sqref="K102">
    <cfRule type="expression" priority="209">
      <formula>OR(I103&lt;0,H104&lt;0,H105&lt;0)</formula>
    </cfRule>
  </conditionalFormatting>
  <conditionalFormatting sqref="A54">
    <cfRule type="containsText" text="隱藏" operator="containsText" priority="169" dxfId="94">
      <formula>NOT(ISERROR(SEARCH("隱藏",A54)))</formula>
    </cfRule>
  </conditionalFormatting>
  <conditionalFormatting sqref="J35:L40">
    <cfRule type="expression" priority="91" dxfId="95">
      <formula>$J$3="隱藏"</formula>
    </cfRule>
  </conditionalFormatting>
  <conditionalFormatting sqref="D94:D96">
    <cfRule type="top10" rank="1" priority="193" dxfId="96"/>
  </conditionalFormatting>
  <conditionalFormatting sqref="A89">
    <cfRule type="containsText" text="隱藏" operator="containsText" priority="103" dxfId="97">
      <formula>NOT(ISERROR(SEARCH("隱藏",A89)))</formula>
    </cfRule>
  </conditionalFormatting>
  <conditionalFormatting sqref="K14:M23 J23">
    <cfRule type="cellIs" operator="notEqual" priority="204" dxfId="98">
      <formula>0</formula>
    </cfRule>
  </conditionalFormatting>
  <conditionalFormatting sqref="C92:F93">
    <cfRule type="cellIs" operator="notEqual" priority="101" dxfId="99">
      <formula>0</formula>
    </cfRule>
  </conditionalFormatting>
  <conditionalFormatting sqref="B3:S3">
    <cfRule type="containsText" text="隱藏" operator="containsText" priority="119" dxfId="100">
      <formula>NOT(ISERROR(SEARCH("隱藏",B3)))</formula>
    </cfRule>
  </conditionalFormatting>
  <conditionalFormatting sqref="K7:K12">
    <cfRule type="expression" priority="128" dxfId="101">
      <formula>$K$3="隱藏"</formula>
    </cfRule>
  </conditionalFormatting>
  <conditionalFormatting sqref="B27:H31">
    <cfRule type="cellIs" operator="notEqual" priority="97" dxfId="102">
      <formula>0</formula>
    </cfRule>
  </conditionalFormatting>
  <conditionalFormatting sqref="C78:F78">
    <cfRule type="containsText" text="隱藏" operator="containsText" priority="177" dxfId="103">
      <formula>NOT(ISERROR(SEARCH("隱藏",C78)))</formula>
    </cfRule>
  </conditionalFormatting>
  <conditionalFormatting sqref="D98">
    <cfRule type="cellIs" operator="equal" priority="4" dxfId="104">
      <formula>"辅助胜率正常"</formula>
    </cfRule>
  </conditionalFormatting>
  <conditionalFormatting sqref="A64">
    <cfRule type="containsText" text="隱藏" operator="containsText" priority="168" dxfId="105">
      <formula>NOT(ISERROR(SEARCH("隱藏",A64)))</formula>
    </cfRule>
  </conditionalFormatting>
  <conditionalFormatting sqref="C82:F82">
    <cfRule type="expression" priority="143" dxfId="106">
      <formula>$A$83="隱藏"</formula>
    </cfRule>
  </conditionalFormatting>
  <conditionalFormatting sqref="C79:F79">
    <cfRule type="expression" priority="144" dxfId="107">
      <formula>$A$80="隱藏"</formula>
    </cfRule>
  </conditionalFormatting>
  <conditionalFormatting sqref="K103">
    <cfRule type="expression" priority="211">
      <formula>OR(H104&lt;0,H105&lt;0,H106&lt;0)</formula>
    </cfRule>
  </conditionalFormatting>
  <conditionalFormatting sqref="B17:H21">
    <cfRule type="cellIs" operator="notEqual" priority="93" dxfId="108">
      <formula>0</formula>
    </cfRule>
  </conditionalFormatting>
  <conditionalFormatting sqref="A92">
    <cfRule type="containsText" text="隱藏" operator="containsText" priority="100" dxfId="109">
      <formula>NOT(ISERROR(SEARCH("隱藏",A92)))</formula>
    </cfRule>
  </conditionalFormatting>
  <conditionalFormatting sqref="A73">
    <cfRule type="containsText" text="隱藏" operator="containsText" priority="110" dxfId="110">
      <formula>NOT(ISERROR(SEARCH("隱藏",A73)))</formula>
    </cfRule>
  </conditionalFormatting>
  <conditionalFormatting sqref="A83">
    <cfRule type="containsText" text="隱藏" operator="containsText" priority="164" dxfId="111">
      <formula>NOT(ISERROR(SEARCH("隱藏",A83)))</formula>
    </cfRule>
  </conditionalFormatting>
  <conditionalFormatting sqref="G7:G12">
    <cfRule type="expression" priority="159" dxfId="112">
      <formula>$G$3="隱藏"</formula>
    </cfRule>
  </conditionalFormatting>
  <conditionalFormatting sqref="C69:F69">
    <cfRule type="expression" priority="145" dxfId="113">
      <formula>$A$70="隱藏"</formula>
    </cfRule>
  </conditionalFormatting>
  <conditionalFormatting sqref="A70">
    <cfRule type="containsText" text="隱藏" operator="containsText" priority="166" dxfId="114">
      <formula>NOT(ISERROR(SEARCH("隱藏",A70)))</formula>
    </cfRule>
  </conditionalFormatting>
  <conditionalFormatting sqref="C63:F63">
    <cfRule type="expression" priority="147" dxfId="115">
      <formula>$A$64="隱藏"</formula>
    </cfRule>
  </conditionalFormatting>
  <conditionalFormatting sqref="J7:J12">
    <cfRule type="expression" priority="156" dxfId="116">
      <formula>$J$3="隱藏"</formula>
    </cfRule>
  </conditionalFormatting>
  <conditionalFormatting sqref="S7:S12">
    <cfRule type="expression" priority="151" dxfId="117">
      <formula>$S$3="隱藏"</formula>
    </cfRule>
  </conditionalFormatting>
  <conditionalFormatting sqref="B7:B12 B35:B40">
    <cfRule type="expression" priority="162" dxfId="118">
      <formula>$B$3="隱藏"</formula>
    </cfRule>
  </conditionalFormatting>
  <conditionalFormatting sqref="B94:B96">
    <cfRule type="top10" rank="1" priority="195" dxfId="119"/>
  </conditionalFormatting>
  <conditionalFormatting sqref="P7:P12">
    <cfRule type="expression" priority="152" dxfId="120">
      <formula>$P$3="隱藏"</formula>
    </cfRule>
  </conditionalFormatting>
  <conditionalFormatting sqref="C94:F94">
    <cfRule type="expression" priority="141" dxfId="121">
      <formula>$A$94="隱藏"</formula>
    </cfRule>
  </conditionalFormatting>
  <conditionalFormatting sqref="G46:H46">
    <cfRule type="containsText" text="隱藏" operator="containsText" priority="18" dxfId="122">
      <formula>NOT(ISERROR(SEARCH("隱藏",G46)))</formula>
    </cfRule>
  </conditionalFormatting>
  <conditionalFormatting sqref="C94:C96">
    <cfRule type="top10" rank="1" priority="194" dxfId="123"/>
  </conditionalFormatting>
  <conditionalFormatting sqref="C73:F74">
    <cfRule type="cellIs" operator="notEqual" priority="111" dxfId="124">
      <formula>0</formula>
    </cfRule>
  </conditionalFormatting>
  <conditionalFormatting sqref="C89:F90">
    <cfRule type="cellIs" operator="notEqual" priority="104" dxfId="125">
      <formula>0</formula>
    </cfRule>
  </conditionalFormatting>
  <conditionalFormatting sqref="F94:F96">
    <cfRule type="top10" rank="1" priority="191" dxfId="126"/>
  </conditionalFormatting>
  <conditionalFormatting sqref="C56:F56">
    <cfRule type="expression" priority="113" dxfId="127">
      <formula>$A$54="隱藏"</formula>
    </cfRule>
  </conditionalFormatting>
  <conditionalFormatting sqref="C99">
    <cfRule type="cellIs" operator="notEqual" priority="189" dxfId="128">
      <formula>150</formula>
    </cfRule>
  </conditionalFormatting>
  <conditionalFormatting sqref="N5:R5">
    <cfRule type="cellIs" operator="notEqual" priority="120" dxfId="129">
      <formula>0</formula>
    </cfRule>
  </conditionalFormatting>
  <conditionalFormatting sqref="L7:L12">
    <cfRule type="expression" priority="125" dxfId="130">
      <formula>$L$3="隱藏"</formula>
    </cfRule>
  </conditionalFormatting>
  <conditionalFormatting sqref="C66:F66">
    <cfRule type="expression" priority="146" dxfId="131">
      <formula>$A$66="隱藏"</formula>
    </cfRule>
  </conditionalFormatting>
  <conditionalFormatting sqref="A51">
    <cfRule type="containsText" text="隱藏" operator="containsText" priority="170" dxfId="132">
      <formula>NOT(ISERROR(SEARCH("隱藏",A51)))</formula>
    </cfRule>
  </conditionalFormatting>
  <conditionalFormatting sqref="K100">
    <cfRule type="expression" priority="138">
      <formula>OR(I101&lt;0,I102&lt;0,I103&lt;0)</formula>
    </cfRule>
  </conditionalFormatting>
  <conditionalFormatting sqref="A60">
    <cfRule type="containsText" text="隱藏" operator="containsText" priority="87" dxfId="133">
      <formula>NOT(ISERROR(SEARCH("隱藏",A60)))</formula>
    </cfRule>
  </conditionalFormatting>
  <conditionalFormatting sqref="A80">
    <cfRule type="containsText" text="隱藏" operator="containsText" priority="165" dxfId="134">
      <formula>NOT(ISERROR(SEARCH("隱藏",A80)))</formula>
    </cfRule>
  </conditionalFormatting>
  <conditionalFormatting sqref="C7:C12 C35:C40">
    <cfRule type="expression" priority="161" dxfId="135">
      <formula>$C$3="隱藏"</formula>
    </cfRule>
  </conditionalFormatting>
  <conditionalFormatting sqref="C72:F72">
    <cfRule type="expression" priority="109" dxfId="136">
      <formula>$A$70="隱藏"</formula>
    </cfRule>
  </conditionalFormatting>
  <conditionalFormatting sqref="A76">
    <cfRule type="containsText" text="隱藏" operator="containsText" priority="106" dxfId="137">
      <formula>NOT(ISERROR(SEARCH("隱藏",A76)))</formula>
    </cfRule>
  </conditionalFormatting>
  <conditionalFormatting sqref="C47:F47">
    <cfRule type="expression" priority="150" dxfId="138">
      <formula>$A$48="隱藏"</formula>
    </cfRule>
  </conditionalFormatting>
  <conditionalFormatting sqref="C96:F96">
    <cfRule type="expression" priority="139" dxfId="139">
      <formula>$A$96="隱藏"</formula>
    </cfRule>
  </conditionalFormatting>
  <conditionalFormatting sqref="E98">
    <cfRule type="cellIs" operator="equal" priority="3" dxfId="140">
      <formula>"最终工序正常"</formula>
    </cfRule>
  </conditionalFormatting>
  <conditionalFormatting sqref="C57:F58">
    <cfRule type="cellIs" operator="notEqual" priority="115" dxfId="141">
      <formula>0</formula>
    </cfRule>
  </conditionalFormatting>
  <conditionalFormatting sqref="I23:I31">
    <cfRule type="cellIs" operator="notEqual" priority="84" dxfId="142">
      <formula>0</formula>
    </cfRule>
  </conditionalFormatting>
  <conditionalFormatting sqref="A86">
    <cfRule type="containsText" text="隱藏" operator="containsText" priority="163" dxfId="143">
      <formula>NOT(ISERROR(SEARCH("隱藏",A86)))</formula>
    </cfRule>
  </conditionalFormatting>
  <conditionalFormatting sqref="C95:F95">
    <cfRule type="expression" priority="140" dxfId="144">
      <formula>$A$95="隱藏"</formula>
    </cfRule>
  </conditionalFormatting>
  <conditionalFormatting sqref="C62:F62">
    <cfRule type="containsText" text="隱藏" operator="containsText" priority="179" dxfId="145">
      <formula>NOT(ISERROR(SEARCH("隱藏",C62)))</formula>
    </cfRule>
  </conditionalFormatting>
  <conditionalFormatting sqref="C45:F45">
    <cfRule type="containsText" text="隱藏" operator="containsText" priority="181" dxfId="146">
      <formula>NOT(ISERROR(SEARCH("隱藏",C45)))</formula>
    </cfRule>
  </conditionalFormatting>
  <conditionalFormatting sqref="D35:F40">
    <cfRule type="expression" priority="116" dxfId="147">
      <formula>$D$3="隱藏"</formula>
    </cfRule>
  </conditionalFormatting>
  <conditionalFormatting sqref="C76:F77">
    <cfRule type="cellIs" operator="notEqual" priority="107" dxfId="148">
      <formula>0</formula>
    </cfRule>
  </conditionalFormatting>
  <conditionalFormatting sqref="C53:F53">
    <cfRule type="expression" priority="148" dxfId="149">
      <formula>$A$54="隱藏"</formula>
    </cfRule>
  </conditionalFormatting>
  <conditionalFormatting sqref="C80:F81 C83:F84 C86:F87">
    <cfRule type="cellIs" operator="notEqual" priority="203" dxfId="150">
      <formula>0</formula>
    </cfRule>
  </conditionalFormatting>
  <conditionalFormatting sqref="P35:R40">
    <cfRule type="expression" priority="89" dxfId="151">
      <formula>$P$3="隱藏"</formula>
    </cfRule>
  </conditionalFormatting>
  <conditionalFormatting sqref="F7:F12">
    <cfRule type="expression" priority="132" dxfId="152">
      <formula>$F$3="隱藏"</formula>
    </cfRule>
  </conditionalFormatting>
  <conditionalFormatting sqref="H47 H50 H53 H56 H59 H63 H66 H69 H72 H75 H79 H82 H85 H88 H91">
    <cfRule type="expression" priority="2" dxfId="153">
      <formula>$E$98="最终工序略过"</formula>
    </cfRule>
  </conditionalFormatting>
  <conditionalFormatting sqref="C91:F91">
    <cfRule type="expression" priority="99" dxfId="154">
      <formula>$A$86="隱藏"</formula>
    </cfRule>
  </conditionalFormatting>
  <conditionalFormatting sqref="C48:F49 C51:F52 C54:F55">
    <cfRule type="cellIs" operator="notEqual" priority="207" dxfId="155">
      <formula>0</formula>
    </cfRule>
  </conditionalFormatting>
  <conditionalFormatting sqref="C50:F50">
    <cfRule type="expression" priority="149" dxfId="156">
      <formula>$A$51="隱藏"</formula>
    </cfRule>
  </conditionalFormatting>
  <conditionalFormatting sqref="C64:F65 C67:F68 C70:F71">
    <cfRule type="cellIs" operator="notEqual" priority="205" dxfId="157">
      <formula>0</formula>
    </cfRule>
  </conditionalFormatting>
  <conditionalFormatting sqref="E94:E96">
    <cfRule type="top10" rank="1" priority="192" dxfId="158"/>
  </conditionalFormatting>
  <conditionalFormatting sqref="C59:F59">
    <cfRule type="expression" priority="86" dxfId="159">
      <formula>$A$54="隱藏"</formula>
    </cfRule>
  </conditionalFormatting>
  <conditionalFormatting sqref="C88:F88">
    <cfRule type="expression" priority="102" dxfId="160">
      <formula>$A$86="隱藏"</formula>
    </cfRule>
  </conditionalFormatting>
  <conditionalFormatting sqref="K101">
    <cfRule type="expression" priority="210">
      <formula>OR(I102&lt;0,I103&lt;0,H104&lt;0)</formula>
    </cfRule>
  </conditionalFormatting>
  <dataValidations count="58">
    <dataValidation allowBlank="1" type="list" errorStyle="stop" showInputMessage="1" showErrorMessage="1" sqref="C3">
      <formula1>"辅助一(减半),隱藏"</formula1>
    </dataValidation>
    <dataValidation allowBlank="1" type="list" errorStyle="stop" showInputMessage="1" showErrorMessage="1" sqref="I3">
      <formula1>"辅助一(减半),隱藏"</formula1>
    </dataValidation>
    <dataValidation allowBlank="1" type="list" errorStyle="stop" showInputMessage="1" showErrorMessage="1" sqref="O3">
      <formula1>"辅助一(减半),隱藏"</formula1>
    </dataValidation>
    <dataValidation allowBlank="1" type="list" errorStyle="stop" showInputMessage="1" showErrorMessage="1" sqref="Q3:R3">
      <formula1>"辅助一(减半),隱藏"</formula1>
    </dataValidation>
    <dataValidation allowBlank="1" type="list" errorStyle="stop" showInputMessage="1" showErrorMessage="1" sqref="S3">
      <formula1>"总值,隱藏"</formula1>
    </dataValidation>
    <dataValidation allowBlank="1" type="list" errorStyle="stop" showInputMessage="1" showErrorMessage="1" sqref="B4:F4">
      <formula1>#REF!</formula1>
    </dataValidation>
    <dataValidation allowBlank="1" type="list" errorStyle="stop" showInputMessage="1" showErrorMessage="1" sqref="A76">
      <formula1>"补正一,隱藏"</formula1>
    </dataValidation>
    <dataValidation allowBlank="1" type="list" errorStyle="stop" showInputMessage="1" showErrorMessage="1" sqref="H4:L4">
      <formula1>#REF!</formula1>
    </dataValidation>
    <dataValidation allowBlank="1" type="list" errorStyle="stop" showInputMessage="1" showErrorMessage="1" sqref="E78">
      <formula1>"选择属性(C),隱藏"</formula1>
    </dataValidation>
    <dataValidation allowBlank="1" type="list" errorStyle="stop" showInputMessage="1" showErrorMessage="1" sqref="C45">
      <formula1>"选择属性(A),隱藏"</formula1>
    </dataValidation>
    <dataValidation allowBlank="1" type="list" errorStyle="stop" showInputMessage="1" showErrorMessage="1" sqref="F78">
      <formula1>"随机属性,隱藏"</formula1>
    </dataValidation>
    <dataValidation allowBlank="1" type="list" errorStyle="stop" showInputMessage="1" showErrorMessage="1" sqref="E62">
      <formula1>"选择属性(C),隱藏"</formula1>
    </dataValidation>
    <dataValidation allowBlank="1" type="list" errorStyle="stop" showInputMessage="1" showErrorMessage="1" sqref="C62">
      <formula1>"选择属性(A),隱藏"</formula1>
    </dataValidation>
    <dataValidation allowBlank="1" type="list" errorStyle="stop" showInputMessage="1" showErrorMessage="1" sqref="N4:R4">
      <formula1>#REF!</formula1>
    </dataValidation>
    <dataValidation allowBlank="1" type="list" errorStyle="stop" showInputMessage="1" showErrorMessage="1" sqref="F45">
      <formula1>"随机属性,隱藏"</formula1>
    </dataValidation>
    <dataValidation allowBlank="1" type="list" errorStyle="stop" showInputMessage="1" showErrorMessage="1" sqref="B3">
      <formula1>"主力,隱藏"</formula1>
    </dataValidation>
    <dataValidation allowBlank="1" type="list" errorStyle="stop" showInputMessage="1" showErrorMessage="1" sqref="C46:F46">
      <formula1>$A$7:$A$12</formula1>
    </dataValidation>
    <dataValidation allowBlank="1" type="list" errorStyle="stop" showInputMessage="1" showErrorMessage="1" sqref="A48">
      <formula1>"补正一,隱藏"</formula1>
    </dataValidation>
    <dataValidation allowBlank="1" type="list" errorStyle="stop" showInputMessage="1" showErrorMessage="1" sqref="A51">
      <formula1>"补正一,隱藏"</formula1>
    </dataValidation>
    <dataValidation allowBlank="1" type="list" errorStyle="stop" showInputMessage="1" showErrorMessage="1" sqref="A70">
      <formula1>"补正一,隱藏"</formula1>
    </dataValidation>
    <dataValidation allowBlank="1" type="decimal" operator="equal" errorStyle="information" showInputMessage="1" showErrorMessage="1" errorTitle="出包了" error="不等於150，聯繫人急救吧" sqref="I99">
      <formula1>150</formula1>
    </dataValidation>
    <dataValidation allowBlank="1" type="any" operator="between" errorStyle="stop" showInputMessage="1" showErrorMessage="1" sqref="B101:B103"/>
    <dataValidation allowBlank="1" type="decimal" operator="lessThanOrEqual" errorStyle="information" showInputMessage="1" showErrorMessage="1" errorTitle="這是什麼神仙??" error="保底高於50???那還需要計算嗎？" sqref="J101:J103">
      <formula1>50</formula1>
    </dataValidation>
    <dataValidation allowBlank="1" type="list" errorStyle="stop" showInputMessage="1" showErrorMessage="1" sqref="C97:F97">
      <formula1>"蓝优,橙优,红优,平,无"</formula1>
    </dataValidation>
    <dataValidation allowBlank="1" type="list" errorStyle="stop" showInputMessage="1" showErrorMessage="1" sqref="B100">
      <formula1>"等级差加乘,星之开拓者"</formula1>
    </dataValidation>
    <dataValidation allowBlank="1" type="decimal" operator="equal" errorStyle="information" showInputMessage="1" showErrorMessage="1" errorTitle="出包了" error="不等於150，聯繫人急救吧" sqref="C99">
      <formula1>150</formula1>
    </dataValidation>
    <dataValidation allowBlank="1" type="list" errorStyle="stop" showInputMessage="1" showErrorMessage="1" sqref="E98">
      <formula1>"最终工序正常,最终工序略过"</formula1>
    </dataValidation>
    <dataValidation allowBlank="1" type="list" errorStyle="stop" showInputMessage="1" showErrorMessage="1" sqref="D98">
      <formula1>"辅助胜率减半,辅助胜率正常"</formula1>
    </dataValidation>
    <dataValidation allowBlank="1" type="list" errorStyle="stop" showInputMessage="1" showErrorMessage="1" sqref="A60">
      <formula1>"补正一,隱藏"</formula1>
    </dataValidation>
    <dataValidation allowBlank="1" type="list" errorStyle="stop" showInputMessage="1" showErrorMessage="1" sqref="A96">
      <formula1>"总值三,隱藏"</formula1>
    </dataValidation>
    <dataValidation allowBlank="1" type="list" errorStyle="stop" showInputMessage="1" showErrorMessage="1" sqref="A86">
      <formula1>"补正一,隱藏"</formula1>
    </dataValidation>
    <dataValidation allowBlank="1" type="list" errorStyle="stop" showInputMessage="1" showErrorMessage="1" sqref="A80">
      <formula1>"补正一,隱藏"</formula1>
    </dataValidation>
    <dataValidation allowBlank="1" type="list" errorStyle="stop" showInputMessage="1" showErrorMessage="1" sqref="A89">
      <formula1>"补正一,隱藏"</formula1>
    </dataValidation>
    <dataValidation allowBlank="1" type="list" errorStyle="stop" showInputMessage="1" showErrorMessage="1" sqref="A92">
      <formula1>"补正一,隱藏"</formula1>
    </dataValidation>
    <dataValidation allowBlank="1" type="list" errorStyle="stop" showInputMessage="1" showErrorMessage="1" sqref="A95">
      <formula1>"总值二,隱藏"</formula1>
    </dataValidation>
    <dataValidation allowBlank="1" type="list" errorStyle="stop" showInputMessage="1" showErrorMessage="1" sqref="N5:R5">
      <formula1>$U$4:$U$12</formula1>
    </dataValidation>
    <dataValidation allowBlank="1" type="list" errorStyle="stop" showInputMessage="1" showErrorMessage="1" sqref="D3:F3">
      <formula1>"辅助二(减半),隱藏"</formula1>
    </dataValidation>
    <dataValidation allowBlank="1" type="list" errorStyle="stop" showInputMessage="1" showErrorMessage="1" sqref="D45">
      <formula1>"选择属性(B),隱藏"</formula1>
    </dataValidation>
    <dataValidation allowBlank="1" type="list" errorStyle="stop" showInputMessage="1" showErrorMessage="1" sqref="D62">
      <formula1>"选择属性(B),隱藏"</formula1>
    </dataValidation>
    <dataValidation allowBlank="1" type="list" errorStyle="stop" showInputMessage="1" showErrorMessage="1" sqref="A57">
      <formula1>"补正一,隱藏"</formula1>
    </dataValidation>
    <dataValidation allowBlank="1" type="list" errorStyle="stop" showInputMessage="1" showErrorMessage="1" sqref="A94">
      <formula1>"总值一,隱藏"</formula1>
    </dataValidation>
    <dataValidation allowBlank="1" type="list" errorStyle="stop" showInputMessage="1" showErrorMessage="1" sqref="N3">
      <formula1>"主力,隱藏"</formula1>
    </dataValidation>
    <dataValidation allowBlank="1" type="list" errorStyle="stop" showInputMessage="1" showErrorMessage="1" sqref="D78">
      <formula1>"选择属性(B),隱藏"</formula1>
    </dataValidation>
    <dataValidation allowBlank="1" type="list" errorStyle="stop" showInputMessage="1" showErrorMessage="1" sqref="B5:F5">
      <formula1>$U$4:$U$12</formula1>
    </dataValidation>
    <dataValidation allowBlank="1" type="list" errorStyle="stop" showInputMessage="1" showErrorMessage="1" sqref="H5:L5">
      <formula1>$U$4:$U$12</formula1>
    </dataValidation>
    <dataValidation allowBlank="1" type="list" errorStyle="stop" showInputMessage="1" showErrorMessage="1" sqref="A67">
      <formula1>"补正一,隱藏"</formula1>
    </dataValidation>
    <dataValidation allowBlank="1" type="list" errorStyle="stop" showInputMessage="1" showErrorMessage="1" sqref="C78">
      <formula1>"选择属性(A),隱藏"</formula1>
    </dataValidation>
    <dataValidation allowBlank="1" type="list" errorStyle="stop" showInputMessage="1" showErrorMessage="1" sqref="E45">
      <formula1>"选择属性(C),隱藏"</formula1>
    </dataValidation>
    <dataValidation allowBlank="1" type="list" errorStyle="stop" showInputMessage="1" showErrorMessage="1" sqref="P3">
      <formula1>"辅助二(减半),隱藏"</formula1>
    </dataValidation>
    <dataValidation allowBlank="1" type="list" errorStyle="stop" showInputMessage="1" showErrorMessage="1" sqref="M3">
      <formula1>"总值,隱藏"</formula1>
    </dataValidation>
    <dataValidation allowBlank="1" type="list" errorStyle="stop" showInputMessage="1" showErrorMessage="1" sqref="G3">
      <formula1>"总值,隱藏"</formula1>
    </dataValidation>
    <dataValidation allowBlank="1" type="list" errorStyle="stop" showInputMessage="1" showErrorMessage="1" sqref="J3:L3">
      <formula1>"辅助二(减半),隱藏"</formula1>
    </dataValidation>
    <dataValidation allowBlank="1" type="list" errorStyle="stop" showInputMessage="1" showErrorMessage="1" sqref="H3">
      <formula1>"主力,隱藏"</formula1>
    </dataValidation>
    <dataValidation allowBlank="1" type="list" errorStyle="stop" showInputMessage="1" showErrorMessage="1" sqref="F62">
      <formula1>"随机属性,隱藏"</formula1>
    </dataValidation>
    <dataValidation allowBlank="1" type="list" errorStyle="stop" showInputMessage="1" showErrorMessage="1" sqref="A54">
      <formula1>"补正一,隱藏"</formula1>
    </dataValidation>
    <dataValidation allowBlank="1" type="list" errorStyle="stop" showInputMessage="1" showErrorMessage="1" sqref="A83">
      <formula1>"补正一,隱藏"</formula1>
    </dataValidation>
    <dataValidation allowBlank="1" type="list" errorStyle="stop" showInputMessage="1" showErrorMessage="1" sqref="A64">
      <formula1>"补正一,隱藏"</formula1>
    </dataValidation>
    <dataValidation allowBlank="1" type="list" errorStyle="stop" showInputMessage="1" showErrorMessage="1" sqref="A73">
      <formula1>"补正一,隱藏"</formula1>
    </dataValidation>
  </dataValidations>
  <pageMargins left="0.699305555555556" right="0.699305555555556" top="0.75" bottom="0.75" header="0.3" footer="0.3"/>
  <legacyDrawing r:id="rId1"/>
</worksheet>
</file>

<file path=xl/worksheets/sheet6.xml><?xml version="1.0" encoding="utf-8"?>
<worksheet xmlns:r="http://schemas.openxmlformats.org/officeDocument/2006/relationships" xmlns="http://schemas.openxmlformats.org/spreadsheetml/2006/main">
  <dimension ref="A1:AB76"/>
  <sheetViews>
    <sheetView workbookViewId="0">
      <selection activeCell="A1" sqref="A1"/>
    </sheetView>
  </sheetViews>
  <sheetFormatPr defaultRowHeight="14.0" defaultColWidth="9"/>
  <cols>
    <col min="1" max="1" customWidth="1" width="26.0" style="0"/>
    <col min="2" max="2" customWidth="1" width="9.6328125" style="554"/>
    <col min="3" max="3" customWidth="1" width="9.6328125" style="555"/>
    <col min="4" max="4" customWidth="1" width="9.6328125" style="556"/>
    <col min="5" max="5" customWidth="1" width="9.6328125" style="555"/>
    <col min="6" max="6" customWidth="1" width="9.363281" style="557"/>
    <col min="7" max="10" customWidth="1" width="9.363281" style="558"/>
    <col min="11" max="11" customWidth="1" width="9.363281" style="559"/>
    <col min="12" max="12" customWidth="0" width="9.0" style="560"/>
    <col min="13" max="13" customWidth="0" width="9.0" style="558"/>
    <col min="14" max="14" customWidth="1" width="9.363281" style="558"/>
    <col min="15" max="16" customWidth="0" width="9.0" style="558"/>
    <col min="17" max="17" customWidth="0" width="9.0" style="559"/>
    <col min="18" max="19" customWidth="0" width="9.0" style="561"/>
    <col min="20" max="20" customWidth="0" width="9.0" style="560"/>
    <col min="21" max="21" customWidth="1" width="9.363281" style="559"/>
    <col min="22" max="22" customWidth="1" width="12.6328125" style="562"/>
    <col min="23" max="23" customWidth="1" width="8.6328125" style="563"/>
    <col min="24" max="24" customWidth="1" width="8.6328125" style="564"/>
    <col min="25" max="25" customWidth="0" width="9.0" style="565"/>
    <col min="26" max="26" customWidth="1" width="8.6328125" style="566"/>
    <col min="27" max="27" customWidth="1" width="8.6328125" style="567"/>
  </cols>
  <sheetData>
    <row r="1" spans="8:8">
      <c r="A1" t="s">
        <v>223</v>
      </c>
      <c r="B1" s="554" t="s">
        <v>224</v>
      </c>
      <c r="C1" s="555" t="s">
        <v>225</v>
      </c>
      <c r="D1" s="556" t="s">
        <v>226</v>
      </c>
      <c r="E1" s="555" t="s">
        <v>227</v>
      </c>
      <c r="F1" s="557" t="s">
        <v>228</v>
      </c>
      <c r="L1" s="560" t="s">
        <v>229</v>
      </c>
      <c r="R1" s="561" t="s">
        <v>230</v>
      </c>
      <c r="S1" s="561" t="s">
        <v>231</v>
      </c>
      <c r="T1" s="560" t="s">
        <v>232</v>
      </c>
      <c r="U1" s="559" t="s">
        <v>233</v>
      </c>
      <c r="V1" s="562" t="s">
        <v>234</v>
      </c>
      <c r="W1" s="563" t="s">
        <v>235</v>
      </c>
      <c r="X1" s="564" t="s">
        <v>236</v>
      </c>
      <c r="Y1" s="565" t="s">
        <v>237</v>
      </c>
      <c r="Z1" s="566" t="s">
        <v>238</v>
      </c>
      <c r="AA1" s="567" t="s">
        <v>239</v>
      </c>
    </row>
    <row r="2" spans="8:8">
      <c r="F2" s="568"/>
      <c r="G2" s="569"/>
      <c r="H2" s="569"/>
      <c r="I2" s="569"/>
      <c r="J2" s="569"/>
      <c r="K2" s="570"/>
      <c r="L2" s="571">
        <f t="shared" si="0" ref="L2:L65">IF(F2&gt;(100-$C2),(100-$C2),IF(F2&lt;$B2,$B2,F2))</f>
        <v>0.0</v>
      </c>
      <c r="M2" s="572">
        <f t="shared" si="1" ref="M2:M65">IF(G2&gt;(100-$C2),(100-$C2),IF(G2&lt;$B2,$B2,G2))</f>
        <v>0.0</v>
      </c>
      <c r="N2" s="572">
        <f t="shared" si="2" ref="N2:N65">IF(H2&gt;(100-$C2),(100-$C2),IF(H2&lt;$B2,$B2,H2))</f>
        <v>0.0</v>
      </c>
      <c r="O2" s="572">
        <f t="shared" si="3" ref="O2:O65">IF(I2&gt;(100-$C2),(100-$C2),IF(I2&lt;$B2,$B2,I2))</f>
        <v>0.0</v>
      </c>
      <c r="P2" s="572">
        <f t="shared" si="4" ref="P2:P65">IF(J2&gt;(100-$C2),(100-$C2),IF(J2&lt;$B2,$B2,J2))</f>
        <v>0.0</v>
      </c>
      <c r="Q2" s="573">
        <f t="shared" si="5" ref="Q2:Q65">IF(K2&gt;(100-$C2),(100-$C2),IF(K2&lt;$B2,$B2,K2))</f>
        <v>0.0</v>
      </c>
      <c r="R2" s="574"/>
      <c r="S2" s="574"/>
      <c r="T2" s="575">
        <f t="shared" si="6" ref="T2:T65">AVERAGE(L2:Q2)</f>
        <v>0.0</v>
      </c>
      <c r="U2" s="576">
        <f t="shared" si="7" ref="U2:U65">100-T2</f>
        <v>100.0</v>
      </c>
      <c r="V2" s="577">
        <f t="shared" si="8" ref="V2:V65">SQRT(VARP(L2:Q2))</f>
        <v>0.0</v>
      </c>
      <c r="W2" s="578">
        <f t="shared" si="9" ref="W2:W65">IF(R2&gt;0,R2+(100-R2)*T2/100,IF(AND(R2=0,S2=0),T2,100-X2))</f>
        <v>0.0</v>
      </c>
      <c r="X2" s="579">
        <f t="shared" si="10" ref="X2:X65">IF(S2&gt;0,S2+(100-S2)*U2/100,IF(AND(R2=0,S2=0),U2,100-W2))</f>
        <v>100.0</v>
      </c>
      <c r="Y2" s="565">
        <f t="shared" si="11" ref="Y2:Y65">W2/(W2+X2)</f>
        <v>0.0</v>
      </c>
      <c r="Z2" s="566">
        <f t="shared" si="12" ref="Z2:Z65">D2/MAX(1,D2+E2)</f>
        <v>0.0</v>
      </c>
      <c r="AA2" s="567">
        <f t="shared" si="13" ref="AA2:AA65">IF(Z2&lt;&gt;0,ABS(Z2-Y2)/Z2,0)</f>
        <v>0.0</v>
      </c>
    </row>
    <row r="3" spans="8:8">
      <c r="F3" s="568"/>
      <c r="G3" s="569"/>
      <c r="H3" s="569"/>
      <c r="I3" s="569"/>
      <c r="J3" s="569"/>
      <c r="K3" s="570"/>
      <c r="L3" s="571">
        <f t="shared" si="0"/>
        <v>0.0</v>
      </c>
      <c r="M3" s="572">
        <f t="shared" si="1"/>
        <v>0.0</v>
      </c>
      <c r="N3" s="572">
        <f t="shared" si="2"/>
        <v>0.0</v>
      </c>
      <c r="O3" s="572">
        <f t="shared" si="3"/>
        <v>0.0</v>
      </c>
      <c r="P3" s="572">
        <f t="shared" si="4"/>
        <v>0.0</v>
      </c>
      <c r="Q3" s="573">
        <f t="shared" si="5"/>
        <v>0.0</v>
      </c>
      <c r="R3" s="574"/>
      <c r="S3" s="574"/>
      <c r="T3" s="575">
        <f t="shared" si="6"/>
        <v>0.0</v>
      </c>
      <c r="U3" s="576">
        <f t="shared" si="7"/>
        <v>100.0</v>
      </c>
      <c r="V3" s="577">
        <f t="shared" si="8"/>
        <v>0.0</v>
      </c>
      <c r="W3" s="578">
        <f t="shared" si="9"/>
        <v>0.0</v>
      </c>
      <c r="X3" s="579">
        <f t="shared" si="10"/>
        <v>100.0</v>
      </c>
      <c r="Y3" s="565">
        <f t="shared" si="11"/>
        <v>0.0</v>
      </c>
      <c r="Z3" s="566">
        <f t="shared" si="12"/>
        <v>0.0</v>
      </c>
      <c r="AA3" s="567">
        <f t="shared" si="13"/>
        <v>0.0</v>
      </c>
    </row>
    <row r="4" spans="8:8">
      <c r="F4" s="568"/>
      <c r="G4" s="569"/>
      <c r="H4" s="569"/>
      <c r="I4" s="569"/>
      <c r="J4" s="569"/>
      <c r="K4" s="570"/>
      <c r="L4" s="571">
        <f t="shared" si="0"/>
        <v>0.0</v>
      </c>
      <c r="M4" s="572">
        <f t="shared" si="1"/>
        <v>0.0</v>
      </c>
      <c r="N4" s="572">
        <f t="shared" si="2"/>
        <v>0.0</v>
      </c>
      <c r="O4" s="572">
        <f t="shared" si="3"/>
        <v>0.0</v>
      </c>
      <c r="P4" s="572">
        <f t="shared" si="4"/>
        <v>0.0</v>
      </c>
      <c r="Q4" s="573">
        <f t="shared" si="5"/>
        <v>0.0</v>
      </c>
      <c r="R4" s="574"/>
      <c r="S4" s="574"/>
      <c r="T4" s="575">
        <f t="shared" si="6"/>
        <v>0.0</v>
      </c>
      <c r="U4" s="576">
        <f t="shared" si="7"/>
        <v>100.0</v>
      </c>
      <c r="V4" s="577">
        <f t="shared" si="8"/>
        <v>0.0</v>
      </c>
      <c r="W4" s="578">
        <f t="shared" si="9"/>
        <v>0.0</v>
      </c>
      <c r="X4" s="579">
        <f t="shared" si="10"/>
        <v>100.0</v>
      </c>
      <c r="Y4" s="565">
        <f t="shared" si="11"/>
        <v>0.0</v>
      </c>
      <c r="Z4" s="566">
        <f t="shared" si="12"/>
        <v>0.0</v>
      </c>
      <c r="AA4" s="567">
        <f t="shared" si="13"/>
        <v>0.0</v>
      </c>
    </row>
    <row r="5" spans="8:8">
      <c r="F5" s="568"/>
      <c r="G5" s="569"/>
      <c r="H5" s="569"/>
      <c r="I5" s="569"/>
      <c r="J5" s="569"/>
      <c r="K5" s="570"/>
      <c r="L5" s="571">
        <f t="shared" si="0"/>
        <v>0.0</v>
      </c>
      <c r="M5" s="572">
        <f t="shared" si="1"/>
        <v>0.0</v>
      </c>
      <c r="N5" s="572">
        <f t="shared" si="2"/>
        <v>0.0</v>
      </c>
      <c r="O5" s="572">
        <f t="shared" si="3"/>
        <v>0.0</v>
      </c>
      <c r="P5" s="572">
        <f t="shared" si="4"/>
        <v>0.0</v>
      </c>
      <c r="Q5" s="573">
        <f t="shared" si="5"/>
        <v>0.0</v>
      </c>
      <c r="R5" s="574"/>
      <c r="S5" s="574"/>
      <c r="T5" s="575">
        <f t="shared" si="6"/>
        <v>0.0</v>
      </c>
      <c r="U5" s="576">
        <f t="shared" si="7"/>
        <v>100.0</v>
      </c>
      <c r="V5" s="577">
        <f t="shared" si="8"/>
        <v>0.0</v>
      </c>
      <c r="W5" s="578">
        <f t="shared" si="9"/>
        <v>0.0</v>
      </c>
      <c r="X5" s="579">
        <f t="shared" si="10"/>
        <v>100.0</v>
      </c>
      <c r="Y5" s="565">
        <f t="shared" si="11"/>
        <v>0.0</v>
      </c>
      <c r="Z5" s="566">
        <f t="shared" si="12"/>
        <v>0.0</v>
      </c>
      <c r="AA5" s="567">
        <f t="shared" si="13"/>
        <v>0.0</v>
      </c>
    </row>
    <row r="6" spans="8:8">
      <c r="F6" s="568"/>
      <c r="G6" s="569"/>
      <c r="H6" s="569"/>
      <c r="I6" s="569"/>
      <c r="J6" s="569"/>
      <c r="K6" s="570"/>
      <c r="L6" s="571">
        <f t="shared" si="0"/>
        <v>0.0</v>
      </c>
      <c r="M6" s="572">
        <f t="shared" si="1"/>
        <v>0.0</v>
      </c>
      <c r="N6" s="572">
        <f t="shared" si="2"/>
        <v>0.0</v>
      </c>
      <c r="O6" s="572">
        <f t="shared" si="3"/>
        <v>0.0</v>
      </c>
      <c r="P6" s="572">
        <f t="shared" si="4"/>
        <v>0.0</v>
      </c>
      <c r="Q6" s="573">
        <f t="shared" si="5"/>
        <v>0.0</v>
      </c>
      <c r="R6" s="574"/>
      <c r="S6" s="574"/>
      <c r="T6" s="575">
        <f t="shared" si="6"/>
        <v>0.0</v>
      </c>
      <c r="U6" s="576">
        <f t="shared" si="7"/>
        <v>100.0</v>
      </c>
      <c r="V6" s="577">
        <f t="shared" si="8"/>
        <v>0.0</v>
      </c>
      <c r="W6" s="578">
        <f t="shared" si="9"/>
        <v>0.0</v>
      </c>
      <c r="X6" s="579">
        <f t="shared" si="10"/>
        <v>100.0</v>
      </c>
      <c r="Y6" s="565">
        <f t="shared" si="11"/>
        <v>0.0</v>
      </c>
      <c r="Z6" s="566">
        <f t="shared" si="12"/>
        <v>0.0</v>
      </c>
      <c r="AA6" s="567">
        <f t="shared" si="13"/>
        <v>0.0</v>
      </c>
    </row>
    <row r="7" spans="8:8">
      <c r="F7" s="568"/>
      <c r="G7" s="569"/>
      <c r="H7" s="569"/>
      <c r="I7" s="569"/>
      <c r="J7" s="569"/>
      <c r="K7" s="570"/>
      <c r="L7" s="571">
        <f t="shared" si="0"/>
        <v>0.0</v>
      </c>
      <c r="M7" s="572">
        <f t="shared" si="1"/>
        <v>0.0</v>
      </c>
      <c r="N7" s="572">
        <f t="shared" si="2"/>
        <v>0.0</v>
      </c>
      <c r="O7" s="572">
        <f t="shared" si="3"/>
        <v>0.0</v>
      </c>
      <c r="P7" s="572">
        <f t="shared" si="4"/>
        <v>0.0</v>
      </c>
      <c r="Q7" s="573">
        <f t="shared" si="5"/>
        <v>0.0</v>
      </c>
      <c r="R7" s="574"/>
      <c r="S7" s="574"/>
      <c r="T7" s="575">
        <f t="shared" si="6"/>
        <v>0.0</v>
      </c>
      <c r="U7" s="576">
        <f t="shared" si="7"/>
        <v>100.0</v>
      </c>
      <c r="V7" s="577">
        <f t="shared" si="8"/>
        <v>0.0</v>
      </c>
      <c r="W7" s="578">
        <f t="shared" si="9"/>
        <v>0.0</v>
      </c>
      <c r="X7" s="579">
        <f t="shared" si="10"/>
        <v>100.0</v>
      </c>
      <c r="Y7" s="565">
        <f t="shared" si="11"/>
        <v>0.0</v>
      </c>
      <c r="Z7" s="566">
        <f t="shared" si="12"/>
        <v>0.0</v>
      </c>
      <c r="AA7" s="567">
        <f t="shared" si="13"/>
        <v>0.0</v>
      </c>
    </row>
    <row r="8" spans="8:8">
      <c r="F8" s="568"/>
      <c r="G8" s="569"/>
      <c r="H8" s="569"/>
      <c r="I8" s="569"/>
      <c r="J8" s="569"/>
      <c r="K8" s="570"/>
      <c r="L8" s="571">
        <f t="shared" si="0"/>
        <v>0.0</v>
      </c>
      <c r="M8" s="572">
        <f t="shared" si="1"/>
        <v>0.0</v>
      </c>
      <c r="N8" s="572">
        <f t="shared" si="2"/>
        <v>0.0</v>
      </c>
      <c r="O8" s="572">
        <f t="shared" si="3"/>
        <v>0.0</v>
      </c>
      <c r="P8" s="572">
        <f t="shared" si="4"/>
        <v>0.0</v>
      </c>
      <c r="Q8" s="573">
        <f t="shared" si="5"/>
        <v>0.0</v>
      </c>
      <c r="R8" s="574"/>
      <c r="S8" s="574"/>
      <c r="T8" s="575">
        <f t="shared" si="6"/>
        <v>0.0</v>
      </c>
      <c r="U8" s="576">
        <f t="shared" si="7"/>
        <v>100.0</v>
      </c>
      <c r="V8" s="577">
        <f t="shared" si="8"/>
        <v>0.0</v>
      </c>
      <c r="W8" s="578">
        <f t="shared" si="9"/>
        <v>0.0</v>
      </c>
      <c r="X8" s="579">
        <f t="shared" si="10"/>
        <v>100.0</v>
      </c>
      <c r="Y8" s="565">
        <f t="shared" si="11"/>
        <v>0.0</v>
      </c>
      <c r="Z8" s="566">
        <f t="shared" si="12"/>
        <v>0.0</v>
      </c>
      <c r="AA8" s="567">
        <f t="shared" si="13"/>
        <v>0.0</v>
      </c>
    </row>
    <row r="9" spans="8:8">
      <c r="F9" s="568"/>
      <c r="G9" s="569"/>
      <c r="H9" s="569"/>
      <c r="I9" s="569"/>
      <c r="J9" s="569"/>
      <c r="K9" s="570"/>
      <c r="L9" s="571">
        <f t="shared" si="0"/>
        <v>0.0</v>
      </c>
      <c r="M9" s="572">
        <f t="shared" si="1"/>
        <v>0.0</v>
      </c>
      <c r="N9" s="572">
        <f t="shared" si="2"/>
        <v>0.0</v>
      </c>
      <c r="O9" s="572">
        <f t="shared" si="3"/>
        <v>0.0</v>
      </c>
      <c r="P9" s="572">
        <f t="shared" si="4"/>
        <v>0.0</v>
      </c>
      <c r="Q9" s="573">
        <f t="shared" si="5"/>
        <v>0.0</v>
      </c>
      <c r="R9" s="574"/>
      <c r="S9" s="574"/>
      <c r="T9" s="575">
        <f t="shared" si="6"/>
        <v>0.0</v>
      </c>
      <c r="U9" s="576">
        <f t="shared" si="7"/>
        <v>100.0</v>
      </c>
      <c r="V9" s="577">
        <f t="shared" si="8"/>
        <v>0.0</v>
      </c>
      <c r="W9" s="578">
        <f t="shared" si="9"/>
        <v>0.0</v>
      </c>
      <c r="X9" s="579">
        <f t="shared" si="10"/>
        <v>100.0</v>
      </c>
      <c r="Y9" s="565">
        <f t="shared" si="11"/>
        <v>0.0</v>
      </c>
      <c r="Z9" s="566">
        <f t="shared" si="14" ref="Z9:Z13">D10/MAX(1,D10+E9)</f>
        <v>0.0</v>
      </c>
      <c r="AA9" s="567">
        <f t="shared" si="13"/>
        <v>0.0</v>
      </c>
    </row>
    <row r="10" spans="8:8">
      <c r="F10" s="568"/>
      <c r="G10" s="569"/>
      <c r="H10" s="569"/>
      <c r="I10" s="569"/>
      <c r="J10" s="569"/>
      <c r="K10" s="570"/>
      <c r="L10" s="571">
        <f t="shared" si="0"/>
        <v>0.0</v>
      </c>
      <c r="M10" s="572">
        <f t="shared" si="1"/>
        <v>0.0</v>
      </c>
      <c r="N10" s="572">
        <f t="shared" si="2"/>
        <v>0.0</v>
      </c>
      <c r="O10" s="572">
        <f t="shared" si="3"/>
        <v>0.0</v>
      </c>
      <c r="P10" s="572">
        <f t="shared" si="4"/>
        <v>0.0</v>
      </c>
      <c r="Q10" s="573">
        <f t="shared" si="5"/>
        <v>0.0</v>
      </c>
      <c r="R10" s="574"/>
      <c r="S10" s="574"/>
      <c r="T10" s="575">
        <f t="shared" si="6"/>
        <v>0.0</v>
      </c>
      <c r="U10" s="576">
        <f t="shared" si="7"/>
        <v>100.0</v>
      </c>
      <c r="V10" s="577">
        <f t="shared" si="8"/>
        <v>0.0</v>
      </c>
      <c r="W10" s="578">
        <f t="shared" si="9"/>
        <v>0.0</v>
      </c>
      <c r="X10" s="579">
        <f t="shared" si="10"/>
        <v>100.0</v>
      </c>
      <c r="Y10" s="565">
        <f t="shared" si="11"/>
        <v>0.0</v>
      </c>
      <c r="Z10" s="566">
        <f>D10/MAX(1,D10+E10)</f>
        <v>0.0</v>
      </c>
      <c r="AA10" s="567">
        <f t="shared" si="13"/>
        <v>0.0</v>
      </c>
    </row>
    <row r="11" spans="8:8">
      <c r="F11" s="568"/>
      <c r="G11" s="569"/>
      <c r="H11" s="569"/>
      <c r="I11" s="569"/>
      <c r="J11" s="569"/>
      <c r="K11" s="570"/>
      <c r="L11" s="571">
        <f t="shared" si="0"/>
        <v>0.0</v>
      </c>
      <c r="M11" s="572">
        <f t="shared" si="1"/>
        <v>0.0</v>
      </c>
      <c r="N11" s="572">
        <f t="shared" si="2"/>
        <v>0.0</v>
      </c>
      <c r="O11" s="572">
        <f t="shared" si="3"/>
        <v>0.0</v>
      </c>
      <c r="P11" s="572">
        <f t="shared" si="4"/>
        <v>0.0</v>
      </c>
      <c r="Q11" s="573">
        <f t="shared" si="5"/>
        <v>0.0</v>
      </c>
      <c r="R11" s="574"/>
      <c r="S11" s="574"/>
      <c r="T11" s="575">
        <f t="shared" si="6"/>
        <v>0.0</v>
      </c>
      <c r="U11" s="576">
        <f t="shared" si="7"/>
        <v>100.0</v>
      </c>
      <c r="V11" s="577">
        <f t="shared" si="8"/>
        <v>0.0</v>
      </c>
      <c r="W11" s="578">
        <f t="shared" si="9"/>
        <v>0.0</v>
      </c>
      <c r="X11" s="579">
        <f t="shared" si="10"/>
        <v>100.0</v>
      </c>
      <c r="Y11" s="565">
        <f t="shared" si="11"/>
        <v>0.0</v>
      </c>
      <c r="Z11" s="566">
        <f t="shared" si="14"/>
        <v>0.0</v>
      </c>
      <c r="AA11" s="567">
        <f t="shared" si="13"/>
        <v>0.0</v>
      </c>
    </row>
    <row r="12" spans="8:8">
      <c r="F12" s="568"/>
      <c r="G12" s="569"/>
      <c r="H12" s="569"/>
      <c r="I12" s="569"/>
      <c r="J12" s="569"/>
      <c r="K12" s="570"/>
      <c r="L12" s="571">
        <f t="shared" si="0"/>
        <v>0.0</v>
      </c>
      <c r="M12" s="572">
        <f t="shared" si="1"/>
        <v>0.0</v>
      </c>
      <c r="N12" s="572">
        <f t="shared" si="2"/>
        <v>0.0</v>
      </c>
      <c r="O12" s="572">
        <f t="shared" si="3"/>
        <v>0.0</v>
      </c>
      <c r="P12" s="572">
        <f t="shared" si="4"/>
        <v>0.0</v>
      </c>
      <c r="Q12" s="573">
        <f t="shared" si="5"/>
        <v>0.0</v>
      </c>
      <c r="R12" s="574"/>
      <c r="S12" s="574"/>
      <c r="T12" s="575">
        <f t="shared" si="6"/>
        <v>0.0</v>
      </c>
      <c r="U12" s="576">
        <f t="shared" si="7"/>
        <v>100.0</v>
      </c>
      <c r="V12" s="577">
        <f t="shared" si="8"/>
        <v>0.0</v>
      </c>
      <c r="W12" s="578">
        <f t="shared" si="9"/>
        <v>0.0</v>
      </c>
      <c r="X12" s="579">
        <f t="shared" si="10"/>
        <v>100.0</v>
      </c>
      <c r="Y12" s="565">
        <f t="shared" si="11"/>
        <v>0.0</v>
      </c>
      <c r="Z12" s="566">
        <f>D12/MAX(1,D12+E12)</f>
        <v>0.0</v>
      </c>
      <c r="AA12" s="567">
        <f t="shared" si="13"/>
        <v>0.0</v>
      </c>
    </row>
    <row r="13" spans="8:8">
      <c r="F13" s="568"/>
      <c r="G13" s="569"/>
      <c r="H13" s="569"/>
      <c r="I13" s="569"/>
      <c r="J13" s="569"/>
      <c r="K13" s="570"/>
      <c r="L13" s="571">
        <f t="shared" si="0"/>
        <v>0.0</v>
      </c>
      <c r="M13" s="572">
        <f t="shared" si="1"/>
        <v>0.0</v>
      </c>
      <c r="N13" s="572">
        <f t="shared" si="2"/>
        <v>0.0</v>
      </c>
      <c r="O13" s="572">
        <f t="shared" si="3"/>
        <v>0.0</v>
      </c>
      <c r="P13" s="572">
        <f t="shared" si="4"/>
        <v>0.0</v>
      </c>
      <c r="Q13" s="573">
        <f t="shared" si="5"/>
        <v>0.0</v>
      </c>
      <c r="R13" s="574"/>
      <c r="S13" s="574"/>
      <c r="T13" s="575">
        <f t="shared" si="6"/>
        <v>0.0</v>
      </c>
      <c r="U13" s="576">
        <f t="shared" si="7"/>
        <v>100.0</v>
      </c>
      <c r="V13" s="577">
        <f t="shared" si="8"/>
        <v>0.0</v>
      </c>
      <c r="W13" s="578">
        <f t="shared" si="9"/>
        <v>0.0</v>
      </c>
      <c r="X13" s="579">
        <f t="shared" si="10"/>
        <v>100.0</v>
      </c>
      <c r="Y13" s="565">
        <f t="shared" si="11"/>
        <v>0.0</v>
      </c>
      <c r="Z13" s="566">
        <f t="shared" si="14"/>
        <v>0.0</v>
      </c>
      <c r="AA13" s="567">
        <f t="shared" si="13"/>
        <v>0.0</v>
      </c>
    </row>
    <row r="14" spans="8:8">
      <c r="F14" s="568"/>
      <c r="G14" s="569"/>
      <c r="H14" s="569"/>
      <c r="I14" s="569"/>
      <c r="J14" s="569"/>
      <c r="K14" s="570"/>
      <c r="L14" s="571">
        <f t="shared" si="0"/>
        <v>0.0</v>
      </c>
      <c r="M14" s="572">
        <f t="shared" si="1"/>
        <v>0.0</v>
      </c>
      <c r="N14" s="572">
        <f t="shared" si="2"/>
        <v>0.0</v>
      </c>
      <c r="O14" s="572">
        <f t="shared" si="3"/>
        <v>0.0</v>
      </c>
      <c r="P14" s="572">
        <f t="shared" si="4"/>
        <v>0.0</v>
      </c>
      <c r="Q14" s="573">
        <f t="shared" si="5"/>
        <v>0.0</v>
      </c>
      <c r="R14" s="574"/>
      <c r="S14" s="574"/>
      <c r="T14" s="575">
        <f t="shared" si="6"/>
        <v>0.0</v>
      </c>
      <c r="U14" s="576">
        <f t="shared" si="7"/>
        <v>100.0</v>
      </c>
      <c r="V14" s="577">
        <f t="shared" si="8"/>
        <v>0.0</v>
      </c>
      <c r="W14" s="578">
        <f t="shared" si="9"/>
        <v>0.0</v>
      </c>
      <c r="X14" s="579">
        <f t="shared" si="10"/>
        <v>100.0</v>
      </c>
      <c r="Y14" s="565">
        <f t="shared" si="11"/>
        <v>0.0</v>
      </c>
      <c r="Z14" s="566">
        <f t="shared" si="12"/>
        <v>0.0</v>
      </c>
      <c r="AA14" s="567">
        <f t="shared" si="13"/>
        <v>0.0</v>
      </c>
    </row>
    <row r="15" spans="8:8">
      <c r="F15" s="568"/>
      <c r="G15" s="569"/>
      <c r="H15" s="569"/>
      <c r="I15" s="569"/>
      <c r="J15" s="569"/>
      <c r="K15" s="570"/>
      <c r="L15" s="571">
        <f t="shared" si="0"/>
        <v>0.0</v>
      </c>
      <c r="M15" s="572">
        <f t="shared" si="1"/>
        <v>0.0</v>
      </c>
      <c r="N15" s="572">
        <f t="shared" si="2"/>
        <v>0.0</v>
      </c>
      <c r="O15" s="572">
        <f t="shared" si="3"/>
        <v>0.0</v>
      </c>
      <c r="P15" s="572">
        <f t="shared" si="4"/>
        <v>0.0</v>
      </c>
      <c r="Q15" s="573">
        <f t="shared" si="5"/>
        <v>0.0</v>
      </c>
      <c r="R15" s="574"/>
      <c r="S15" s="574"/>
      <c r="T15" s="575">
        <f t="shared" si="6"/>
        <v>0.0</v>
      </c>
      <c r="U15" s="576">
        <f t="shared" si="7"/>
        <v>100.0</v>
      </c>
      <c r="V15" s="577">
        <f t="shared" si="8"/>
        <v>0.0</v>
      </c>
      <c r="W15" s="578">
        <f t="shared" si="9"/>
        <v>0.0</v>
      </c>
      <c r="X15" s="579">
        <f t="shared" si="10"/>
        <v>100.0</v>
      </c>
      <c r="Y15" s="565">
        <f t="shared" si="11"/>
        <v>0.0</v>
      </c>
      <c r="Z15" s="566">
        <f t="shared" si="12"/>
        <v>0.0</v>
      </c>
      <c r="AA15" s="567">
        <f t="shared" si="13"/>
        <v>0.0</v>
      </c>
    </row>
    <row r="16" spans="8:8">
      <c r="F16" s="568"/>
      <c r="G16" s="569"/>
      <c r="H16" s="569"/>
      <c r="I16" s="569"/>
      <c r="J16" s="569"/>
      <c r="K16" s="570"/>
      <c r="L16" s="571">
        <f t="shared" si="0"/>
        <v>0.0</v>
      </c>
      <c r="M16" s="572">
        <f t="shared" si="1"/>
        <v>0.0</v>
      </c>
      <c r="N16" s="572">
        <f t="shared" si="2"/>
        <v>0.0</v>
      </c>
      <c r="O16" s="572">
        <f t="shared" si="3"/>
        <v>0.0</v>
      </c>
      <c r="P16" s="572">
        <f t="shared" si="4"/>
        <v>0.0</v>
      </c>
      <c r="Q16" s="573">
        <f t="shared" si="5"/>
        <v>0.0</v>
      </c>
      <c r="R16" s="574"/>
      <c r="S16" s="574"/>
      <c r="T16" s="575">
        <f t="shared" si="6"/>
        <v>0.0</v>
      </c>
      <c r="U16" s="576">
        <f t="shared" si="7"/>
        <v>100.0</v>
      </c>
      <c r="V16" s="577">
        <f t="shared" si="8"/>
        <v>0.0</v>
      </c>
      <c r="W16" s="578">
        <f t="shared" si="9"/>
        <v>0.0</v>
      </c>
      <c r="X16" s="579">
        <f t="shared" si="10"/>
        <v>100.0</v>
      </c>
      <c r="Y16" s="565">
        <f t="shared" si="11"/>
        <v>0.0</v>
      </c>
      <c r="Z16" s="566">
        <f t="shared" si="12"/>
        <v>0.0</v>
      </c>
      <c r="AA16" s="567">
        <f t="shared" si="13"/>
        <v>0.0</v>
      </c>
    </row>
    <row r="17" spans="8:8">
      <c r="F17" s="568"/>
      <c r="G17" s="569"/>
      <c r="H17" s="569"/>
      <c r="I17" s="569"/>
      <c r="J17" s="569"/>
      <c r="K17" s="570"/>
      <c r="L17" s="571">
        <f t="shared" si="0"/>
        <v>0.0</v>
      </c>
      <c r="M17" s="572">
        <f t="shared" si="1"/>
        <v>0.0</v>
      </c>
      <c r="N17" s="572">
        <f t="shared" si="2"/>
        <v>0.0</v>
      </c>
      <c r="O17" s="572">
        <f t="shared" si="3"/>
        <v>0.0</v>
      </c>
      <c r="P17" s="572">
        <f t="shared" si="4"/>
        <v>0.0</v>
      </c>
      <c r="Q17" s="573">
        <f t="shared" si="5"/>
        <v>0.0</v>
      </c>
      <c r="R17" s="574"/>
      <c r="S17" s="574"/>
      <c r="T17" s="575">
        <f t="shared" si="6"/>
        <v>0.0</v>
      </c>
      <c r="U17" s="576">
        <f t="shared" si="7"/>
        <v>100.0</v>
      </c>
      <c r="V17" s="577">
        <f t="shared" si="8"/>
        <v>0.0</v>
      </c>
      <c r="W17" s="578">
        <f t="shared" si="9"/>
        <v>0.0</v>
      </c>
      <c r="X17" s="579">
        <f t="shared" si="10"/>
        <v>100.0</v>
      </c>
      <c r="Y17" s="565">
        <f t="shared" si="11"/>
        <v>0.0</v>
      </c>
      <c r="Z17" s="566">
        <f t="shared" si="12"/>
        <v>0.0</v>
      </c>
      <c r="AA17" s="567">
        <f t="shared" si="13"/>
        <v>0.0</v>
      </c>
    </row>
    <row r="18" spans="8:8">
      <c r="F18" s="568"/>
      <c r="G18" s="569"/>
      <c r="H18" s="569"/>
      <c r="I18" s="569"/>
      <c r="J18" s="569"/>
      <c r="K18" s="570"/>
      <c r="L18" s="571">
        <f t="shared" si="0"/>
        <v>0.0</v>
      </c>
      <c r="M18" s="572">
        <f t="shared" si="1"/>
        <v>0.0</v>
      </c>
      <c r="N18" s="572">
        <f t="shared" si="2"/>
        <v>0.0</v>
      </c>
      <c r="O18" s="572">
        <f t="shared" si="3"/>
        <v>0.0</v>
      </c>
      <c r="P18" s="572">
        <f t="shared" si="4"/>
        <v>0.0</v>
      </c>
      <c r="Q18" s="573">
        <f t="shared" si="5"/>
        <v>0.0</v>
      </c>
      <c r="R18" s="574"/>
      <c r="S18" s="574"/>
      <c r="T18" s="575">
        <f t="shared" si="6"/>
        <v>0.0</v>
      </c>
      <c r="U18" s="576">
        <f t="shared" si="7"/>
        <v>100.0</v>
      </c>
      <c r="V18" s="577">
        <f t="shared" si="8"/>
        <v>0.0</v>
      </c>
      <c r="W18" s="578">
        <f t="shared" si="9"/>
        <v>0.0</v>
      </c>
      <c r="X18" s="579">
        <f t="shared" si="10"/>
        <v>100.0</v>
      </c>
      <c r="Y18" s="565">
        <f t="shared" si="11"/>
        <v>0.0</v>
      </c>
      <c r="Z18" s="566">
        <f t="shared" si="12"/>
        <v>0.0</v>
      </c>
      <c r="AA18" s="567">
        <f t="shared" si="13"/>
        <v>0.0</v>
      </c>
    </row>
    <row r="19" spans="8:8">
      <c r="F19" s="568"/>
      <c r="G19" s="569"/>
      <c r="H19" s="569"/>
      <c r="I19" s="569"/>
      <c r="J19" s="569"/>
      <c r="K19" s="570"/>
      <c r="L19" s="571">
        <f t="shared" si="0"/>
        <v>0.0</v>
      </c>
      <c r="M19" s="572">
        <f t="shared" si="1"/>
        <v>0.0</v>
      </c>
      <c r="N19" s="572">
        <f t="shared" si="2"/>
        <v>0.0</v>
      </c>
      <c r="O19" s="572">
        <f t="shared" si="3"/>
        <v>0.0</v>
      </c>
      <c r="P19" s="572">
        <f t="shared" si="4"/>
        <v>0.0</v>
      </c>
      <c r="Q19" s="573">
        <f t="shared" si="5"/>
        <v>0.0</v>
      </c>
      <c r="R19" s="574"/>
      <c r="S19" s="574"/>
      <c r="T19" s="575">
        <f t="shared" si="6"/>
        <v>0.0</v>
      </c>
      <c r="U19" s="576">
        <f t="shared" si="7"/>
        <v>100.0</v>
      </c>
      <c r="V19" s="577">
        <f t="shared" si="8"/>
        <v>0.0</v>
      </c>
      <c r="W19" s="578">
        <f t="shared" si="9"/>
        <v>0.0</v>
      </c>
      <c r="X19" s="579">
        <f t="shared" si="10"/>
        <v>100.0</v>
      </c>
      <c r="Y19" s="565">
        <f t="shared" si="11"/>
        <v>0.0</v>
      </c>
      <c r="Z19" s="566">
        <f t="shared" si="12"/>
        <v>0.0</v>
      </c>
      <c r="AA19" s="567">
        <f t="shared" si="13"/>
        <v>0.0</v>
      </c>
    </row>
    <row r="20" spans="8:8">
      <c r="F20" s="568"/>
      <c r="G20" s="569"/>
      <c r="H20" s="569"/>
      <c r="I20" s="569"/>
      <c r="J20" s="569"/>
      <c r="K20" s="570"/>
      <c r="L20" s="571">
        <f t="shared" si="0"/>
        <v>0.0</v>
      </c>
      <c r="M20" s="572">
        <f t="shared" si="1"/>
        <v>0.0</v>
      </c>
      <c r="N20" s="572">
        <f t="shared" si="2"/>
        <v>0.0</v>
      </c>
      <c r="O20" s="572">
        <f t="shared" si="3"/>
        <v>0.0</v>
      </c>
      <c r="P20" s="572">
        <f t="shared" si="4"/>
        <v>0.0</v>
      </c>
      <c r="Q20" s="573">
        <f t="shared" si="5"/>
        <v>0.0</v>
      </c>
      <c r="R20" s="574"/>
      <c r="S20" s="574"/>
      <c r="T20" s="575">
        <f t="shared" si="6"/>
        <v>0.0</v>
      </c>
      <c r="U20" s="576">
        <f t="shared" si="7"/>
        <v>100.0</v>
      </c>
      <c r="V20" s="577">
        <f t="shared" si="8"/>
        <v>0.0</v>
      </c>
      <c r="W20" s="578">
        <f t="shared" si="9"/>
        <v>0.0</v>
      </c>
      <c r="X20" s="579">
        <f t="shared" si="10"/>
        <v>100.0</v>
      </c>
      <c r="Y20" s="565">
        <f t="shared" si="11"/>
        <v>0.0</v>
      </c>
      <c r="Z20" s="566">
        <f t="shared" si="12"/>
        <v>0.0</v>
      </c>
      <c r="AA20" s="567">
        <f t="shared" si="13"/>
        <v>0.0</v>
      </c>
    </row>
    <row r="21" spans="8:8">
      <c r="F21" s="568"/>
      <c r="G21" s="569"/>
      <c r="H21" s="569"/>
      <c r="I21" s="569"/>
      <c r="J21" s="569"/>
      <c r="K21" s="570"/>
      <c r="L21" s="571">
        <f t="shared" si="0"/>
        <v>0.0</v>
      </c>
      <c r="M21" s="572">
        <f t="shared" si="1"/>
        <v>0.0</v>
      </c>
      <c r="N21" s="572">
        <f t="shared" si="2"/>
        <v>0.0</v>
      </c>
      <c r="O21" s="572">
        <f t="shared" si="3"/>
        <v>0.0</v>
      </c>
      <c r="P21" s="572">
        <f t="shared" si="4"/>
        <v>0.0</v>
      </c>
      <c r="Q21" s="573">
        <f t="shared" si="5"/>
        <v>0.0</v>
      </c>
      <c r="R21" s="574"/>
      <c r="S21" s="574"/>
      <c r="T21" s="575">
        <f t="shared" si="6"/>
        <v>0.0</v>
      </c>
      <c r="U21" s="576">
        <f t="shared" si="7"/>
        <v>100.0</v>
      </c>
      <c r="V21" s="577">
        <f t="shared" si="8"/>
        <v>0.0</v>
      </c>
      <c r="W21" s="578">
        <f t="shared" si="9"/>
        <v>0.0</v>
      </c>
      <c r="X21" s="579">
        <f t="shared" si="10"/>
        <v>100.0</v>
      </c>
      <c r="Y21" s="565">
        <f t="shared" si="11"/>
        <v>0.0</v>
      </c>
      <c r="Z21" s="566">
        <f t="shared" si="12"/>
        <v>0.0</v>
      </c>
      <c r="AA21" s="567">
        <f t="shared" si="13"/>
        <v>0.0</v>
      </c>
    </row>
    <row r="22" spans="8:8">
      <c r="F22" s="568"/>
      <c r="G22" s="569"/>
      <c r="H22" s="569"/>
      <c r="I22" s="569"/>
      <c r="J22" s="569"/>
      <c r="K22" s="570"/>
      <c r="L22" s="571">
        <f t="shared" si="0"/>
        <v>0.0</v>
      </c>
      <c r="M22" s="572">
        <f t="shared" si="1"/>
        <v>0.0</v>
      </c>
      <c r="N22" s="572">
        <f t="shared" si="2"/>
        <v>0.0</v>
      </c>
      <c r="O22" s="572">
        <f t="shared" si="3"/>
        <v>0.0</v>
      </c>
      <c r="P22" s="572">
        <f t="shared" si="4"/>
        <v>0.0</v>
      </c>
      <c r="Q22" s="573">
        <f t="shared" si="5"/>
        <v>0.0</v>
      </c>
      <c r="R22" s="574"/>
      <c r="S22" s="574"/>
      <c r="T22" s="575">
        <f t="shared" si="6"/>
        <v>0.0</v>
      </c>
      <c r="U22" s="576">
        <f t="shared" si="7"/>
        <v>100.0</v>
      </c>
      <c r="V22" s="577">
        <f t="shared" si="8"/>
        <v>0.0</v>
      </c>
      <c r="W22" s="578">
        <f t="shared" si="9"/>
        <v>0.0</v>
      </c>
      <c r="X22" s="579">
        <f t="shared" si="10"/>
        <v>100.0</v>
      </c>
      <c r="Y22" s="565">
        <f t="shared" si="11"/>
        <v>0.0</v>
      </c>
      <c r="Z22" s="566">
        <f t="shared" si="12"/>
        <v>0.0</v>
      </c>
      <c r="AA22" s="567">
        <f t="shared" si="13"/>
        <v>0.0</v>
      </c>
    </row>
    <row r="23" spans="8:8">
      <c r="F23" s="568"/>
      <c r="G23" s="569"/>
      <c r="H23" s="569"/>
      <c r="I23" s="569"/>
      <c r="J23" s="569"/>
      <c r="K23" s="570"/>
      <c r="L23" s="571">
        <f t="shared" si="0"/>
        <v>0.0</v>
      </c>
      <c r="M23" s="572">
        <f t="shared" si="1"/>
        <v>0.0</v>
      </c>
      <c r="N23" s="572">
        <f t="shared" si="2"/>
        <v>0.0</v>
      </c>
      <c r="O23" s="572">
        <f t="shared" si="3"/>
        <v>0.0</v>
      </c>
      <c r="P23" s="572">
        <f t="shared" si="4"/>
        <v>0.0</v>
      </c>
      <c r="Q23" s="573">
        <f t="shared" si="5"/>
        <v>0.0</v>
      </c>
      <c r="R23" s="574"/>
      <c r="S23" s="574"/>
      <c r="T23" s="575">
        <f t="shared" si="6"/>
        <v>0.0</v>
      </c>
      <c r="U23" s="576">
        <f t="shared" si="7"/>
        <v>100.0</v>
      </c>
      <c r="V23" s="577">
        <f t="shared" si="8"/>
        <v>0.0</v>
      </c>
      <c r="W23" s="578">
        <f t="shared" si="9"/>
        <v>0.0</v>
      </c>
      <c r="X23" s="579">
        <f t="shared" si="10"/>
        <v>100.0</v>
      </c>
      <c r="Y23" s="565">
        <f t="shared" si="11"/>
        <v>0.0</v>
      </c>
      <c r="Z23" s="566">
        <f t="shared" si="12"/>
        <v>0.0</v>
      </c>
      <c r="AA23" s="567">
        <f t="shared" si="13"/>
        <v>0.0</v>
      </c>
    </row>
    <row r="24" spans="8:8">
      <c r="F24" s="568"/>
      <c r="G24" s="569"/>
      <c r="H24" s="569"/>
      <c r="I24" s="569"/>
      <c r="J24" s="569"/>
      <c r="K24" s="570"/>
      <c r="L24" s="571">
        <f t="shared" si="0"/>
        <v>0.0</v>
      </c>
      <c r="M24" s="572">
        <f t="shared" si="1"/>
        <v>0.0</v>
      </c>
      <c r="N24" s="572">
        <f t="shared" si="2"/>
        <v>0.0</v>
      </c>
      <c r="O24" s="572">
        <f t="shared" si="3"/>
        <v>0.0</v>
      </c>
      <c r="P24" s="572">
        <f t="shared" si="4"/>
        <v>0.0</v>
      </c>
      <c r="Q24" s="573">
        <f t="shared" si="5"/>
        <v>0.0</v>
      </c>
      <c r="R24" s="574"/>
      <c r="S24" s="574"/>
      <c r="T24" s="575">
        <f t="shared" si="6"/>
        <v>0.0</v>
      </c>
      <c r="U24" s="576">
        <f t="shared" si="7"/>
        <v>100.0</v>
      </c>
      <c r="V24" s="577">
        <f t="shared" si="8"/>
        <v>0.0</v>
      </c>
      <c r="W24" s="578">
        <f t="shared" si="9"/>
        <v>0.0</v>
      </c>
      <c r="X24" s="579">
        <f t="shared" si="10"/>
        <v>100.0</v>
      </c>
      <c r="Y24" s="565">
        <f t="shared" si="11"/>
        <v>0.0</v>
      </c>
      <c r="Z24" s="566">
        <f t="shared" si="12"/>
        <v>0.0</v>
      </c>
      <c r="AA24" s="567">
        <f t="shared" si="13"/>
        <v>0.0</v>
      </c>
    </row>
    <row r="25" spans="8:8">
      <c r="F25" s="568"/>
      <c r="G25" s="569"/>
      <c r="H25" s="569"/>
      <c r="I25" s="569"/>
      <c r="J25" s="569"/>
      <c r="K25" s="570"/>
      <c r="L25" s="571">
        <f t="shared" si="0"/>
        <v>0.0</v>
      </c>
      <c r="M25" s="572">
        <f t="shared" si="1"/>
        <v>0.0</v>
      </c>
      <c r="N25" s="572">
        <f t="shared" si="2"/>
        <v>0.0</v>
      </c>
      <c r="O25" s="572">
        <f t="shared" si="3"/>
        <v>0.0</v>
      </c>
      <c r="P25" s="572">
        <f t="shared" si="4"/>
        <v>0.0</v>
      </c>
      <c r="Q25" s="573">
        <f t="shared" si="5"/>
        <v>0.0</v>
      </c>
      <c r="R25" s="574"/>
      <c r="S25" s="574"/>
      <c r="T25" s="575">
        <f t="shared" si="6"/>
        <v>0.0</v>
      </c>
      <c r="U25" s="576">
        <f t="shared" si="7"/>
        <v>100.0</v>
      </c>
      <c r="V25" s="577">
        <f t="shared" si="8"/>
        <v>0.0</v>
      </c>
      <c r="W25" s="578">
        <f t="shared" si="9"/>
        <v>0.0</v>
      </c>
      <c r="X25" s="579">
        <f t="shared" si="10"/>
        <v>100.0</v>
      </c>
      <c r="Y25" s="565">
        <f t="shared" si="11"/>
        <v>0.0</v>
      </c>
      <c r="Z25" s="566">
        <f t="shared" si="12"/>
        <v>0.0</v>
      </c>
      <c r="AA25" s="567">
        <f t="shared" si="13"/>
        <v>0.0</v>
      </c>
    </row>
    <row r="26" spans="8:8">
      <c r="F26" s="568"/>
      <c r="G26" s="569"/>
      <c r="H26" s="569"/>
      <c r="I26" s="569"/>
      <c r="J26" s="569"/>
      <c r="K26" s="570"/>
      <c r="L26" s="571">
        <f t="shared" si="0"/>
        <v>0.0</v>
      </c>
      <c r="M26" s="572">
        <f t="shared" si="1"/>
        <v>0.0</v>
      </c>
      <c r="N26" s="572">
        <f t="shared" si="2"/>
        <v>0.0</v>
      </c>
      <c r="O26" s="572">
        <f t="shared" si="3"/>
        <v>0.0</v>
      </c>
      <c r="P26" s="572">
        <f t="shared" si="4"/>
        <v>0.0</v>
      </c>
      <c r="Q26" s="573">
        <f t="shared" si="5"/>
        <v>0.0</v>
      </c>
      <c r="R26" s="574"/>
      <c r="S26" s="574"/>
      <c r="T26" s="575">
        <f t="shared" si="6"/>
        <v>0.0</v>
      </c>
      <c r="U26" s="576">
        <f t="shared" si="7"/>
        <v>100.0</v>
      </c>
      <c r="V26" s="577">
        <f t="shared" si="8"/>
        <v>0.0</v>
      </c>
      <c r="W26" s="578">
        <f t="shared" si="9"/>
        <v>0.0</v>
      </c>
      <c r="X26" s="579">
        <f t="shared" si="10"/>
        <v>100.0</v>
      </c>
      <c r="Y26" s="565">
        <f t="shared" si="11"/>
        <v>0.0</v>
      </c>
      <c r="Z26" s="566">
        <f t="shared" si="12"/>
        <v>0.0</v>
      </c>
      <c r="AA26" s="567">
        <f t="shared" si="13"/>
        <v>0.0</v>
      </c>
    </row>
    <row r="27" spans="8:8">
      <c r="F27" s="568"/>
      <c r="G27" s="569"/>
      <c r="H27" s="569"/>
      <c r="I27" s="569"/>
      <c r="J27" s="569"/>
      <c r="K27" s="570"/>
      <c r="L27" s="571">
        <f t="shared" si="0"/>
        <v>0.0</v>
      </c>
      <c r="M27" s="572">
        <f t="shared" si="1"/>
        <v>0.0</v>
      </c>
      <c r="N27" s="572">
        <f t="shared" si="2"/>
        <v>0.0</v>
      </c>
      <c r="O27" s="572">
        <f t="shared" si="3"/>
        <v>0.0</v>
      </c>
      <c r="P27" s="572">
        <f t="shared" si="4"/>
        <v>0.0</v>
      </c>
      <c r="Q27" s="573">
        <f t="shared" si="5"/>
        <v>0.0</v>
      </c>
      <c r="R27" s="574"/>
      <c r="S27" s="574"/>
      <c r="T27" s="575">
        <f t="shared" si="6"/>
        <v>0.0</v>
      </c>
      <c r="U27" s="576">
        <f t="shared" si="7"/>
        <v>100.0</v>
      </c>
      <c r="V27" s="577">
        <f t="shared" si="8"/>
        <v>0.0</v>
      </c>
      <c r="W27" s="578">
        <f t="shared" si="9"/>
        <v>0.0</v>
      </c>
      <c r="X27" s="579">
        <f t="shared" si="10"/>
        <v>100.0</v>
      </c>
      <c r="Y27" s="565">
        <f t="shared" si="11"/>
        <v>0.0</v>
      </c>
      <c r="Z27" s="566">
        <f t="shared" si="12"/>
        <v>0.0</v>
      </c>
      <c r="AA27" s="567">
        <f t="shared" si="13"/>
        <v>0.0</v>
      </c>
    </row>
    <row r="28" spans="8:8">
      <c r="F28" s="568"/>
      <c r="G28" s="569"/>
      <c r="H28" s="569"/>
      <c r="I28" s="569"/>
      <c r="J28" s="569"/>
      <c r="K28" s="570"/>
      <c r="L28" s="571">
        <f t="shared" si="0"/>
        <v>0.0</v>
      </c>
      <c r="M28" s="572">
        <f t="shared" si="1"/>
        <v>0.0</v>
      </c>
      <c r="N28" s="572">
        <f t="shared" si="2"/>
        <v>0.0</v>
      </c>
      <c r="O28" s="572">
        <f t="shared" si="3"/>
        <v>0.0</v>
      </c>
      <c r="P28" s="572">
        <f t="shared" si="4"/>
        <v>0.0</v>
      </c>
      <c r="Q28" s="573">
        <f t="shared" si="5"/>
        <v>0.0</v>
      </c>
      <c r="R28" s="574"/>
      <c r="S28" s="574"/>
      <c r="T28" s="575">
        <f t="shared" si="6"/>
        <v>0.0</v>
      </c>
      <c r="U28" s="576">
        <f t="shared" si="7"/>
        <v>100.0</v>
      </c>
      <c r="V28" s="577">
        <f t="shared" si="8"/>
        <v>0.0</v>
      </c>
      <c r="W28" s="578">
        <f t="shared" si="9"/>
        <v>0.0</v>
      </c>
      <c r="X28" s="579">
        <f t="shared" si="10"/>
        <v>100.0</v>
      </c>
      <c r="Y28" s="565">
        <f t="shared" si="11"/>
        <v>0.0</v>
      </c>
      <c r="Z28" s="566">
        <f t="shared" si="12"/>
        <v>0.0</v>
      </c>
      <c r="AA28" s="567">
        <f t="shared" si="13"/>
        <v>0.0</v>
      </c>
    </row>
    <row r="29" spans="8:8">
      <c r="F29" s="568"/>
      <c r="G29" s="569"/>
      <c r="H29" s="569"/>
      <c r="I29" s="569"/>
      <c r="J29" s="569"/>
      <c r="K29" s="570"/>
      <c r="L29" s="571">
        <f t="shared" si="0"/>
        <v>0.0</v>
      </c>
      <c r="M29" s="572">
        <f t="shared" si="1"/>
        <v>0.0</v>
      </c>
      <c r="N29" s="572">
        <f t="shared" si="2"/>
        <v>0.0</v>
      </c>
      <c r="O29" s="572">
        <f t="shared" si="3"/>
        <v>0.0</v>
      </c>
      <c r="P29" s="572">
        <f t="shared" si="4"/>
        <v>0.0</v>
      </c>
      <c r="Q29" s="573">
        <f t="shared" si="5"/>
        <v>0.0</v>
      </c>
      <c r="R29" s="574"/>
      <c r="S29" s="574"/>
      <c r="T29" s="575">
        <f t="shared" si="6"/>
        <v>0.0</v>
      </c>
      <c r="U29" s="576">
        <f t="shared" si="7"/>
        <v>100.0</v>
      </c>
      <c r="V29" s="577">
        <f t="shared" si="8"/>
        <v>0.0</v>
      </c>
      <c r="W29" s="578">
        <f t="shared" si="9"/>
        <v>0.0</v>
      </c>
      <c r="X29" s="579">
        <f t="shared" si="10"/>
        <v>100.0</v>
      </c>
      <c r="Y29" s="565">
        <f t="shared" si="11"/>
        <v>0.0</v>
      </c>
      <c r="Z29" s="566">
        <f t="shared" si="12"/>
        <v>0.0</v>
      </c>
      <c r="AA29" s="567">
        <f t="shared" si="13"/>
        <v>0.0</v>
      </c>
    </row>
    <row r="30" spans="8:8">
      <c r="F30" s="568"/>
      <c r="G30" s="569"/>
      <c r="H30" s="569"/>
      <c r="I30" s="569"/>
      <c r="J30" s="569"/>
      <c r="K30" s="570"/>
      <c r="L30" s="571">
        <f t="shared" si="0"/>
        <v>0.0</v>
      </c>
      <c r="M30" s="572">
        <f t="shared" si="1"/>
        <v>0.0</v>
      </c>
      <c r="N30" s="572">
        <f t="shared" si="2"/>
        <v>0.0</v>
      </c>
      <c r="O30" s="572">
        <f t="shared" si="3"/>
        <v>0.0</v>
      </c>
      <c r="P30" s="572">
        <f t="shared" si="4"/>
        <v>0.0</v>
      </c>
      <c r="Q30" s="573">
        <f t="shared" si="5"/>
        <v>0.0</v>
      </c>
      <c r="R30" s="574"/>
      <c r="S30" s="574"/>
      <c r="T30" s="575">
        <f t="shared" si="6"/>
        <v>0.0</v>
      </c>
      <c r="U30" s="576">
        <f t="shared" si="7"/>
        <v>100.0</v>
      </c>
      <c r="V30" s="577">
        <f t="shared" si="8"/>
        <v>0.0</v>
      </c>
      <c r="W30" s="578">
        <f t="shared" si="9"/>
        <v>0.0</v>
      </c>
      <c r="X30" s="579">
        <f t="shared" si="10"/>
        <v>100.0</v>
      </c>
      <c r="Y30" s="565">
        <f t="shared" si="11"/>
        <v>0.0</v>
      </c>
      <c r="Z30" s="566">
        <f t="shared" si="12"/>
        <v>0.0</v>
      </c>
      <c r="AA30" s="567">
        <f t="shared" si="13"/>
        <v>0.0</v>
      </c>
    </row>
    <row r="31" spans="8:8">
      <c r="F31" s="568"/>
      <c r="G31" s="569"/>
      <c r="H31" s="569"/>
      <c r="I31" s="569"/>
      <c r="J31" s="569"/>
      <c r="K31" s="570"/>
      <c r="L31" s="571">
        <f t="shared" si="0"/>
        <v>0.0</v>
      </c>
      <c r="M31" s="572">
        <f t="shared" si="1"/>
        <v>0.0</v>
      </c>
      <c r="N31" s="572">
        <f t="shared" si="2"/>
        <v>0.0</v>
      </c>
      <c r="O31" s="572">
        <f t="shared" si="3"/>
        <v>0.0</v>
      </c>
      <c r="P31" s="572">
        <f t="shared" si="4"/>
        <v>0.0</v>
      </c>
      <c r="Q31" s="573">
        <f t="shared" si="5"/>
        <v>0.0</v>
      </c>
      <c r="R31" s="574"/>
      <c r="S31" s="574"/>
      <c r="T31" s="575">
        <f t="shared" si="6"/>
        <v>0.0</v>
      </c>
      <c r="U31" s="576">
        <f t="shared" si="7"/>
        <v>100.0</v>
      </c>
      <c r="V31" s="577">
        <f t="shared" si="8"/>
        <v>0.0</v>
      </c>
      <c r="W31" s="578">
        <f t="shared" si="9"/>
        <v>0.0</v>
      </c>
      <c r="X31" s="579">
        <f t="shared" si="10"/>
        <v>100.0</v>
      </c>
      <c r="Y31" s="565">
        <f t="shared" si="11"/>
        <v>0.0</v>
      </c>
      <c r="Z31" s="566">
        <f t="shared" si="12"/>
        <v>0.0</v>
      </c>
      <c r="AA31" s="567">
        <f t="shared" si="13"/>
        <v>0.0</v>
      </c>
    </row>
    <row r="32" spans="8:8">
      <c r="F32" s="568"/>
      <c r="G32" s="569"/>
      <c r="H32" s="569"/>
      <c r="I32" s="569"/>
      <c r="J32" s="569"/>
      <c r="K32" s="570"/>
      <c r="L32" s="571">
        <f t="shared" si="0"/>
        <v>0.0</v>
      </c>
      <c r="M32" s="572">
        <f t="shared" si="1"/>
        <v>0.0</v>
      </c>
      <c r="N32" s="572">
        <f t="shared" si="2"/>
        <v>0.0</v>
      </c>
      <c r="O32" s="572">
        <f t="shared" si="3"/>
        <v>0.0</v>
      </c>
      <c r="P32" s="572">
        <f t="shared" si="4"/>
        <v>0.0</v>
      </c>
      <c r="Q32" s="573">
        <f t="shared" si="5"/>
        <v>0.0</v>
      </c>
      <c r="R32" s="574"/>
      <c r="S32" s="574"/>
      <c r="T32" s="575">
        <f t="shared" si="6"/>
        <v>0.0</v>
      </c>
      <c r="U32" s="576">
        <f t="shared" si="7"/>
        <v>100.0</v>
      </c>
      <c r="V32" s="577">
        <f t="shared" si="8"/>
        <v>0.0</v>
      </c>
      <c r="W32" s="578">
        <f t="shared" si="9"/>
        <v>0.0</v>
      </c>
      <c r="X32" s="579">
        <f t="shared" si="10"/>
        <v>100.0</v>
      </c>
      <c r="Y32" s="565">
        <f t="shared" si="11"/>
        <v>0.0</v>
      </c>
      <c r="Z32" s="566">
        <f t="shared" si="12"/>
        <v>0.0</v>
      </c>
      <c r="AA32" s="567">
        <f t="shared" si="13"/>
        <v>0.0</v>
      </c>
    </row>
    <row r="33" spans="8:8">
      <c r="F33" s="568"/>
      <c r="G33" s="569"/>
      <c r="H33" s="569"/>
      <c r="I33" s="569"/>
      <c r="J33" s="569"/>
      <c r="K33" s="570"/>
      <c r="L33" s="571">
        <f t="shared" si="0"/>
        <v>0.0</v>
      </c>
      <c r="M33" s="572">
        <f t="shared" si="1"/>
        <v>0.0</v>
      </c>
      <c r="N33" s="572">
        <f t="shared" si="2"/>
        <v>0.0</v>
      </c>
      <c r="O33" s="572">
        <f t="shared" si="3"/>
        <v>0.0</v>
      </c>
      <c r="P33" s="572">
        <f t="shared" si="4"/>
        <v>0.0</v>
      </c>
      <c r="Q33" s="573">
        <f t="shared" si="5"/>
        <v>0.0</v>
      </c>
      <c r="R33" s="574"/>
      <c r="S33" s="574"/>
      <c r="T33" s="575">
        <f t="shared" si="6"/>
        <v>0.0</v>
      </c>
      <c r="U33" s="576">
        <f t="shared" si="7"/>
        <v>100.0</v>
      </c>
      <c r="V33" s="577">
        <f t="shared" si="8"/>
        <v>0.0</v>
      </c>
      <c r="W33" s="578">
        <f t="shared" si="9"/>
        <v>0.0</v>
      </c>
      <c r="X33" s="579">
        <f t="shared" si="10"/>
        <v>100.0</v>
      </c>
      <c r="Y33" s="565">
        <f t="shared" si="11"/>
        <v>0.0</v>
      </c>
      <c r="Z33" s="566">
        <f t="shared" si="12"/>
        <v>0.0</v>
      </c>
      <c r="AA33" s="567">
        <f t="shared" si="13"/>
        <v>0.0</v>
      </c>
    </row>
    <row r="34" spans="8:8">
      <c r="F34" s="568"/>
      <c r="G34" s="569"/>
      <c r="H34" s="569"/>
      <c r="I34" s="569"/>
      <c r="J34" s="569"/>
      <c r="K34" s="570"/>
      <c r="L34" s="571">
        <f t="shared" si="0"/>
        <v>0.0</v>
      </c>
      <c r="M34" s="572">
        <f t="shared" si="1"/>
        <v>0.0</v>
      </c>
      <c r="N34" s="572">
        <f t="shared" si="2"/>
        <v>0.0</v>
      </c>
      <c r="O34" s="572">
        <f t="shared" si="3"/>
        <v>0.0</v>
      </c>
      <c r="P34" s="572">
        <f t="shared" si="4"/>
        <v>0.0</v>
      </c>
      <c r="Q34" s="573">
        <f t="shared" si="5"/>
        <v>0.0</v>
      </c>
      <c r="R34" s="574"/>
      <c r="S34" s="574"/>
      <c r="T34" s="575">
        <f t="shared" si="6"/>
        <v>0.0</v>
      </c>
      <c r="U34" s="576">
        <f t="shared" si="7"/>
        <v>100.0</v>
      </c>
      <c r="V34" s="577">
        <f t="shared" si="8"/>
        <v>0.0</v>
      </c>
      <c r="W34" s="578">
        <f t="shared" si="9"/>
        <v>0.0</v>
      </c>
      <c r="X34" s="579">
        <f t="shared" si="10"/>
        <v>100.0</v>
      </c>
      <c r="Y34" s="565">
        <f t="shared" si="11"/>
        <v>0.0</v>
      </c>
      <c r="Z34" s="566">
        <f t="shared" si="12"/>
        <v>0.0</v>
      </c>
      <c r="AA34" s="567">
        <f t="shared" si="13"/>
        <v>0.0</v>
      </c>
    </row>
    <row r="35" spans="8:8">
      <c r="F35" s="568"/>
      <c r="G35" s="569"/>
      <c r="H35" s="569"/>
      <c r="I35" s="569"/>
      <c r="J35" s="569"/>
      <c r="K35" s="570"/>
      <c r="L35" s="571">
        <f t="shared" si="0"/>
        <v>0.0</v>
      </c>
      <c r="M35" s="572">
        <f t="shared" si="1"/>
        <v>0.0</v>
      </c>
      <c r="N35" s="572">
        <f t="shared" si="2"/>
        <v>0.0</v>
      </c>
      <c r="O35" s="572">
        <f t="shared" si="3"/>
        <v>0.0</v>
      </c>
      <c r="P35" s="572">
        <f t="shared" si="4"/>
        <v>0.0</v>
      </c>
      <c r="Q35" s="573">
        <f t="shared" si="5"/>
        <v>0.0</v>
      </c>
      <c r="R35" s="574"/>
      <c r="S35" s="574"/>
      <c r="T35" s="575">
        <f t="shared" si="6"/>
        <v>0.0</v>
      </c>
      <c r="U35" s="576">
        <f t="shared" si="7"/>
        <v>100.0</v>
      </c>
      <c r="V35" s="577">
        <f t="shared" si="8"/>
        <v>0.0</v>
      </c>
      <c r="W35" s="578">
        <f t="shared" si="9"/>
        <v>0.0</v>
      </c>
      <c r="X35" s="579">
        <f t="shared" si="10"/>
        <v>100.0</v>
      </c>
      <c r="Y35" s="565">
        <f t="shared" si="11"/>
        <v>0.0</v>
      </c>
      <c r="Z35" s="566">
        <f t="shared" si="12"/>
        <v>0.0</v>
      </c>
      <c r="AA35" s="567">
        <f t="shared" si="13"/>
        <v>0.0</v>
      </c>
    </row>
    <row r="36" spans="8:8">
      <c r="F36" s="568"/>
      <c r="G36" s="569"/>
      <c r="H36" s="569"/>
      <c r="I36" s="569"/>
      <c r="J36" s="569"/>
      <c r="K36" s="570"/>
      <c r="L36" s="571">
        <f t="shared" si="0"/>
        <v>0.0</v>
      </c>
      <c r="M36" s="572">
        <f t="shared" si="1"/>
        <v>0.0</v>
      </c>
      <c r="N36" s="572">
        <f t="shared" si="2"/>
        <v>0.0</v>
      </c>
      <c r="O36" s="572">
        <f t="shared" si="3"/>
        <v>0.0</v>
      </c>
      <c r="P36" s="572">
        <f t="shared" si="4"/>
        <v>0.0</v>
      </c>
      <c r="Q36" s="573">
        <f t="shared" si="5"/>
        <v>0.0</v>
      </c>
      <c r="R36" s="574"/>
      <c r="S36" s="574"/>
      <c r="T36" s="575">
        <f t="shared" si="6"/>
        <v>0.0</v>
      </c>
      <c r="U36" s="576">
        <f t="shared" si="7"/>
        <v>100.0</v>
      </c>
      <c r="V36" s="577">
        <f t="shared" si="8"/>
        <v>0.0</v>
      </c>
      <c r="W36" s="578">
        <f t="shared" si="9"/>
        <v>0.0</v>
      </c>
      <c r="X36" s="579">
        <f t="shared" si="10"/>
        <v>100.0</v>
      </c>
      <c r="Y36" s="565">
        <f t="shared" si="11"/>
        <v>0.0</v>
      </c>
      <c r="Z36" s="566">
        <f t="shared" si="12"/>
        <v>0.0</v>
      </c>
      <c r="AA36" s="567">
        <f t="shared" si="13"/>
        <v>0.0</v>
      </c>
    </row>
    <row r="37" spans="8:8">
      <c r="F37" s="568"/>
      <c r="G37" s="569"/>
      <c r="H37" s="569"/>
      <c r="I37" s="569"/>
      <c r="J37" s="569"/>
      <c r="K37" s="570"/>
      <c r="L37" s="571">
        <f t="shared" si="0"/>
        <v>0.0</v>
      </c>
      <c r="M37" s="572">
        <f t="shared" si="1"/>
        <v>0.0</v>
      </c>
      <c r="N37" s="572">
        <f t="shared" si="2"/>
        <v>0.0</v>
      </c>
      <c r="O37" s="572">
        <f t="shared" si="3"/>
        <v>0.0</v>
      </c>
      <c r="P37" s="572">
        <f t="shared" si="4"/>
        <v>0.0</v>
      </c>
      <c r="Q37" s="573">
        <f t="shared" si="5"/>
        <v>0.0</v>
      </c>
      <c r="R37" s="574"/>
      <c r="S37" s="574"/>
      <c r="T37" s="575">
        <f t="shared" si="6"/>
        <v>0.0</v>
      </c>
      <c r="U37" s="576">
        <f t="shared" si="7"/>
        <v>100.0</v>
      </c>
      <c r="V37" s="577">
        <f t="shared" si="8"/>
        <v>0.0</v>
      </c>
      <c r="W37" s="578">
        <f t="shared" si="9"/>
        <v>0.0</v>
      </c>
      <c r="X37" s="579">
        <f t="shared" si="10"/>
        <v>100.0</v>
      </c>
      <c r="Y37" s="565">
        <f t="shared" si="11"/>
        <v>0.0</v>
      </c>
      <c r="Z37" s="566">
        <f t="shared" si="12"/>
        <v>0.0</v>
      </c>
      <c r="AA37" s="567">
        <f t="shared" si="13"/>
        <v>0.0</v>
      </c>
    </row>
    <row r="38" spans="8:8">
      <c r="F38" s="568"/>
      <c r="G38" s="569"/>
      <c r="H38" s="569"/>
      <c r="I38" s="569"/>
      <c r="J38" s="569"/>
      <c r="K38" s="570"/>
      <c r="L38" s="571">
        <f t="shared" si="0"/>
        <v>0.0</v>
      </c>
      <c r="M38" s="572">
        <f t="shared" si="1"/>
        <v>0.0</v>
      </c>
      <c r="N38" s="572">
        <f t="shared" si="2"/>
        <v>0.0</v>
      </c>
      <c r="O38" s="572">
        <f t="shared" si="3"/>
        <v>0.0</v>
      </c>
      <c r="P38" s="572">
        <f t="shared" si="4"/>
        <v>0.0</v>
      </c>
      <c r="Q38" s="573">
        <f t="shared" si="5"/>
        <v>0.0</v>
      </c>
      <c r="R38" s="574"/>
      <c r="S38" s="574"/>
      <c r="T38" s="575">
        <f t="shared" si="6"/>
        <v>0.0</v>
      </c>
      <c r="U38" s="576">
        <f t="shared" si="7"/>
        <v>100.0</v>
      </c>
      <c r="V38" s="577">
        <f t="shared" si="8"/>
        <v>0.0</v>
      </c>
      <c r="W38" s="578">
        <f t="shared" si="9"/>
        <v>0.0</v>
      </c>
      <c r="X38" s="579">
        <f t="shared" si="10"/>
        <v>100.0</v>
      </c>
      <c r="Y38" s="565">
        <f t="shared" si="11"/>
        <v>0.0</v>
      </c>
      <c r="Z38" s="566">
        <f t="shared" si="12"/>
        <v>0.0</v>
      </c>
      <c r="AA38" s="567">
        <f t="shared" si="13"/>
        <v>0.0</v>
      </c>
    </row>
    <row r="39" spans="8:8">
      <c r="F39" s="568"/>
      <c r="G39" s="569"/>
      <c r="H39" s="569"/>
      <c r="I39" s="569"/>
      <c r="J39" s="569"/>
      <c r="K39" s="570"/>
      <c r="L39" s="571">
        <f t="shared" si="0"/>
        <v>0.0</v>
      </c>
      <c r="M39" s="572">
        <f t="shared" si="1"/>
        <v>0.0</v>
      </c>
      <c r="N39" s="572">
        <f t="shared" si="2"/>
        <v>0.0</v>
      </c>
      <c r="O39" s="572">
        <f t="shared" si="3"/>
        <v>0.0</v>
      </c>
      <c r="P39" s="572">
        <f t="shared" si="4"/>
        <v>0.0</v>
      </c>
      <c r="Q39" s="573">
        <f t="shared" si="5"/>
        <v>0.0</v>
      </c>
      <c r="R39" s="574"/>
      <c r="S39" s="574"/>
      <c r="T39" s="575">
        <f t="shared" si="6"/>
        <v>0.0</v>
      </c>
      <c r="U39" s="576">
        <f t="shared" si="7"/>
        <v>100.0</v>
      </c>
      <c r="V39" s="577">
        <f t="shared" si="8"/>
        <v>0.0</v>
      </c>
      <c r="W39" s="578">
        <f t="shared" si="9"/>
        <v>0.0</v>
      </c>
      <c r="X39" s="579">
        <f t="shared" si="10"/>
        <v>100.0</v>
      </c>
      <c r="Y39" s="565">
        <f t="shared" si="11"/>
        <v>0.0</v>
      </c>
      <c r="Z39" s="566">
        <f t="shared" si="12"/>
        <v>0.0</v>
      </c>
      <c r="AA39" s="567">
        <f t="shared" si="13"/>
        <v>0.0</v>
      </c>
    </row>
    <row r="40" spans="8:8">
      <c r="F40" s="568"/>
      <c r="G40" s="569"/>
      <c r="H40" s="569"/>
      <c r="I40" s="569"/>
      <c r="J40" s="569"/>
      <c r="K40" s="570"/>
      <c r="L40" s="571">
        <f t="shared" si="0"/>
        <v>0.0</v>
      </c>
      <c r="M40" s="572">
        <f t="shared" si="1"/>
        <v>0.0</v>
      </c>
      <c r="N40" s="572">
        <f t="shared" si="2"/>
        <v>0.0</v>
      </c>
      <c r="O40" s="572">
        <f t="shared" si="3"/>
        <v>0.0</v>
      </c>
      <c r="P40" s="572">
        <f t="shared" si="4"/>
        <v>0.0</v>
      </c>
      <c r="Q40" s="573">
        <f t="shared" si="5"/>
        <v>0.0</v>
      </c>
      <c r="R40" s="574"/>
      <c r="S40" s="574"/>
      <c r="T40" s="575">
        <f t="shared" si="6"/>
        <v>0.0</v>
      </c>
      <c r="U40" s="576">
        <f t="shared" si="7"/>
        <v>100.0</v>
      </c>
      <c r="V40" s="577">
        <f t="shared" si="8"/>
        <v>0.0</v>
      </c>
      <c r="W40" s="578">
        <f t="shared" si="9"/>
        <v>0.0</v>
      </c>
      <c r="X40" s="579">
        <f t="shared" si="10"/>
        <v>100.0</v>
      </c>
      <c r="Y40" s="565">
        <f t="shared" si="11"/>
        <v>0.0</v>
      </c>
      <c r="Z40" s="566">
        <f t="shared" si="12"/>
        <v>0.0</v>
      </c>
      <c r="AA40" s="567">
        <f t="shared" si="13"/>
        <v>0.0</v>
      </c>
    </row>
    <row r="41" spans="8:8">
      <c r="F41" s="568"/>
      <c r="G41" s="569"/>
      <c r="H41" s="569"/>
      <c r="I41" s="569"/>
      <c r="J41" s="569"/>
      <c r="K41" s="570"/>
      <c r="L41" s="571">
        <f t="shared" si="0"/>
        <v>0.0</v>
      </c>
      <c r="M41" s="572">
        <f t="shared" si="1"/>
        <v>0.0</v>
      </c>
      <c r="N41" s="572">
        <f t="shared" si="2"/>
        <v>0.0</v>
      </c>
      <c r="O41" s="572">
        <f t="shared" si="3"/>
        <v>0.0</v>
      </c>
      <c r="P41" s="572">
        <f t="shared" si="4"/>
        <v>0.0</v>
      </c>
      <c r="Q41" s="573">
        <f t="shared" si="5"/>
        <v>0.0</v>
      </c>
      <c r="R41" s="574"/>
      <c r="S41" s="574"/>
      <c r="T41" s="575">
        <f t="shared" si="6"/>
        <v>0.0</v>
      </c>
      <c r="U41" s="576">
        <f t="shared" si="7"/>
        <v>100.0</v>
      </c>
      <c r="V41" s="577">
        <f t="shared" si="8"/>
        <v>0.0</v>
      </c>
      <c r="W41" s="578">
        <f t="shared" si="9"/>
        <v>0.0</v>
      </c>
      <c r="X41" s="579">
        <f t="shared" si="10"/>
        <v>100.0</v>
      </c>
      <c r="Y41" s="565">
        <f t="shared" si="11"/>
        <v>0.0</v>
      </c>
      <c r="Z41" s="566">
        <f t="shared" si="12"/>
        <v>0.0</v>
      </c>
      <c r="AA41" s="567">
        <f t="shared" si="13"/>
        <v>0.0</v>
      </c>
    </row>
    <row r="42" spans="8:8">
      <c r="F42" s="568"/>
      <c r="G42" s="569"/>
      <c r="H42" s="569"/>
      <c r="I42" s="569"/>
      <c r="J42" s="569"/>
      <c r="K42" s="570"/>
      <c r="L42" s="571">
        <f t="shared" si="0"/>
        <v>0.0</v>
      </c>
      <c r="M42" s="572">
        <f t="shared" si="1"/>
        <v>0.0</v>
      </c>
      <c r="N42" s="572">
        <f t="shared" si="2"/>
        <v>0.0</v>
      </c>
      <c r="O42" s="572">
        <f t="shared" si="3"/>
        <v>0.0</v>
      </c>
      <c r="P42" s="572">
        <f t="shared" si="4"/>
        <v>0.0</v>
      </c>
      <c r="Q42" s="573">
        <f t="shared" si="5"/>
        <v>0.0</v>
      </c>
      <c r="R42" s="574"/>
      <c r="S42" s="574"/>
      <c r="T42" s="575">
        <f t="shared" si="6"/>
        <v>0.0</v>
      </c>
      <c r="U42" s="576">
        <f t="shared" si="7"/>
        <v>100.0</v>
      </c>
      <c r="V42" s="577">
        <f t="shared" si="8"/>
        <v>0.0</v>
      </c>
      <c r="W42" s="578">
        <f t="shared" si="9"/>
        <v>0.0</v>
      </c>
      <c r="X42" s="579">
        <f t="shared" si="10"/>
        <v>100.0</v>
      </c>
      <c r="Y42" s="565">
        <f t="shared" si="11"/>
        <v>0.0</v>
      </c>
      <c r="Z42" s="566">
        <f t="shared" si="12"/>
        <v>0.0</v>
      </c>
      <c r="AA42" s="567">
        <f t="shared" si="13"/>
        <v>0.0</v>
      </c>
    </row>
    <row r="43" spans="8:8">
      <c r="F43" s="568"/>
      <c r="G43" s="569"/>
      <c r="H43" s="569"/>
      <c r="I43" s="569"/>
      <c r="J43" s="569"/>
      <c r="K43" s="570"/>
      <c r="L43" s="571">
        <f t="shared" si="0"/>
        <v>0.0</v>
      </c>
      <c r="M43" s="572">
        <f t="shared" si="1"/>
        <v>0.0</v>
      </c>
      <c r="N43" s="572">
        <f t="shared" si="2"/>
        <v>0.0</v>
      </c>
      <c r="O43" s="572">
        <f t="shared" si="3"/>
        <v>0.0</v>
      </c>
      <c r="P43" s="572">
        <f t="shared" si="4"/>
        <v>0.0</v>
      </c>
      <c r="Q43" s="573">
        <f t="shared" si="5"/>
        <v>0.0</v>
      </c>
      <c r="R43" s="574"/>
      <c r="S43" s="574"/>
      <c r="T43" s="575">
        <f t="shared" si="6"/>
        <v>0.0</v>
      </c>
      <c r="U43" s="576">
        <f t="shared" si="7"/>
        <v>100.0</v>
      </c>
      <c r="V43" s="577">
        <f t="shared" si="8"/>
        <v>0.0</v>
      </c>
      <c r="W43" s="578">
        <f t="shared" si="9"/>
        <v>0.0</v>
      </c>
      <c r="X43" s="579">
        <f t="shared" si="10"/>
        <v>100.0</v>
      </c>
      <c r="Y43" s="565">
        <f t="shared" si="11"/>
        <v>0.0</v>
      </c>
      <c r="Z43" s="566">
        <f t="shared" si="12"/>
        <v>0.0</v>
      </c>
      <c r="AA43" s="567">
        <f t="shared" si="13"/>
        <v>0.0</v>
      </c>
    </row>
    <row r="44" spans="8:8">
      <c r="F44" s="568"/>
      <c r="G44" s="569"/>
      <c r="H44" s="569"/>
      <c r="I44" s="569"/>
      <c r="J44" s="569"/>
      <c r="K44" s="570"/>
      <c r="L44" s="571">
        <f t="shared" si="0"/>
        <v>0.0</v>
      </c>
      <c r="M44" s="572">
        <f t="shared" si="1"/>
        <v>0.0</v>
      </c>
      <c r="N44" s="572">
        <f t="shared" si="2"/>
        <v>0.0</v>
      </c>
      <c r="O44" s="572">
        <f t="shared" si="3"/>
        <v>0.0</v>
      </c>
      <c r="P44" s="572">
        <f t="shared" si="4"/>
        <v>0.0</v>
      </c>
      <c r="Q44" s="573">
        <f t="shared" si="5"/>
        <v>0.0</v>
      </c>
      <c r="R44" s="574"/>
      <c r="S44" s="574"/>
      <c r="T44" s="575">
        <f t="shared" si="6"/>
        <v>0.0</v>
      </c>
      <c r="U44" s="576">
        <f t="shared" si="7"/>
        <v>100.0</v>
      </c>
      <c r="V44" s="577">
        <f t="shared" si="8"/>
        <v>0.0</v>
      </c>
      <c r="W44" s="578">
        <f t="shared" si="9"/>
        <v>0.0</v>
      </c>
      <c r="X44" s="579">
        <f t="shared" si="10"/>
        <v>100.0</v>
      </c>
      <c r="Y44" s="565">
        <f t="shared" si="11"/>
        <v>0.0</v>
      </c>
      <c r="Z44" s="566">
        <f t="shared" si="12"/>
        <v>0.0</v>
      </c>
      <c r="AA44" s="567">
        <f t="shared" si="13"/>
        <v>0.0</v>
      </c>
    </row>
    <row r="45" spans="8:8">
      <c r="F45" s="568"/>
      <c r="G45" s="569"/>
      <c r="H45" s="569"/>
      <c r="I45" s="569"/>
      <c r="J45" s="569"/>
      <c r="K45" s="570"/>
      <c r="L45" s="571">
        <f t="shared" si="0"/>
        <v>0.0</v>
      </c>
      <c r="M45" s="572">
        <f t="shared" si="1"/>
        <v>0.0</v>
      </c>
      <c r="N45" s="572">
        <f t="shared" si="2"/>
        <v>0.0</v>
      </c>
      <c r="O45" s="572">
        <f t="shared" si="3"/>
        <v>0.0</v>
      </c>
      <c r="P45" s="572">
        <f t="shared" si="4"/>
        <v>0.0</v>
      </c>
      <c r="Q45" s="573">
        <f t="shared" si="5"/>
        <v>0.0</v>
      </c>
      <c r="R45" s="574"/>
      <c r="S45" s="574"/>
      <c r="T45" s="575">
        <f t="shared" si="6"/>
        <v>0.0</v>
      </c>
      <c r="U45" s="576">
        <f t="shared" si="7"/>
        <v>100.0</v>
      </c>
      <c r="V45" s="577">
        <f t="shared" si="8"/>
        <v>0.0</v>
      </c>
      <c r="W45" s="578">
        <f t="shared" si="9"/>
        <v>0.0</v>
      </c>
      <c r="X45" s="579">
        <f t="shared" si="10"/>
        <v>100.0</v>
      </c>
      <c r="Y45" s="565">
        <f t="shared" si="11"/>
        <v>0.0</v>
      </c>
      <c r="Z45" s="566">
        <f t="shared" si="12"/>
        <v>0.0</v>
      </c>
      <c r="AA45" s="567">
        <f t="shared" si="13"/>
        <v>0.0</v>
      </c>
    </row>
    <row r="46" spans="8:8">
      <c r="F46" s="568"/>
      <c r="G46" s="569"/>
      <c r="H46" s="569"/>
      <c r="I46" s="569"/>
      <c r="J46" s="569"/>
      <c r="K46" s="570"/>
      <c r="L46" s="571">
        <f t="shared" si="0"/>
        <v>0.0</v>
      </c>
      <c r="M46" s="572">
        <f t="shared" si="1"/>
        <v>0.0</v>
      </c>
      <c r="N46" s="572">
        <f t="shared" si="2"/>
        <v>0.0</v>
      </c>
      <c r="O46" s="572">
        <f t="shared" si="3"/>
        <v>0.0</v>
      </c>
      <c r="P46" s="572">
        <f t="shared" si="4"/>
        <v>0.0</v>
      </c>
      <c r="Q46" s="573">
        <f t="shared" si="5"/>
        <v>0.0</v>
      </c>
      <c r="R46" s="574"/>
      <c r="S46" s="574"/>
      <c r="T46" s="575">
        <f t="shared" si="6"/>
        <v>0.0</v>
      </c>
      <c r="U46" s="576">
        <f t="shared" si="7"/>
        <v>100.0</v>
      </c>
      <c r="V46" s="577">
        <f t="shared" si="8"/>
        <v>0.0</v>
      </c>
      <c r="W46" s="578">
        <f t="shared" si="9"/>
        <v>0.0</v>
      </c>
      <c r="X46" s="579">
        <f t="shared" si="10"/>
        <v>100.0</v>
      </c>
      <c r="Y46" s="565">
        <f t="shared" si="11"/>
        <v>0.0</v>
      </c>
      <c r="Z46" s="566">
        <f t="shared" si="12"/>
        <v>0.0</v>
      </c>
      <c r="AA46" s="567">
        <f t="shared" si="13"/>
        <v>0.0</v>
      </c>
    </row>
    <row r="47" spans="8:8">
      <c r="F47" s="568"/>
      <c r="G47" s="569"/>
      <c r="H47" s="569"/>
      <c r="I47" s="569"/>
      <c r="J47" s="569"/>
      <c r="K47" s="570"/>
      <c r="L47" s="571">
        <f t="shared" si="0"/>
        <v>0.0</v>
      </c>
      <c r="M47" s="572">
        <f t="shared" si="1"/>
        <v>0.0</v>
      </c>
      <c r="N47" s="572">
        <f t="shared" si="2"/>
        <v>0.0</v>
      </c>
      <c r="O47" s="572">
        <f t="shared" si="3"/>
        <v>0.0</v>
      </c>
      <c r="P47" s="572">
        <f t="shared" si="4"/>
        <v>0.0</v>
      </c>
      <c r="Q47" s="573">
        <f t="shared" si="5"/>
        <v>0.0</v>
      </c>
      <c r="R47" s="574"/>
      <c r="S47" s="574"/>
      <c r="T47" s="575">
        <f t="shared" si="6"/>
        <v>0.0</v>
      </c>
      <c r="U47" s="576">
        <f t="shared" si="7"/>
        <v>100.0</v>
      </c>
      <c r="V47" s="577">
        <f t="shared" si="8"/>
        <v>0.0</v>
      </c>
      <c r="W47" s="578">
        <f t="shared" si="9"/>
        <v>0.0</v>
      </c>
      <c r="X47" s="579">
        <f t="shared" si="10"/>
        <v>100.0</v>
      </c>
      <c r="Y47" s="565">
        <f t="shared" si="11"/>
        <v>0.0</v>
      </c>
      <c r="Z47" s="566">
        <f t="shared" si="12"/>
        <v>0.0</v>
      </c>
      <c r="AA47" s="567">
        <f t="shared" si="13"/>
        <v>0.0</v>
      </c>
    </row>
    <row r="48" spans="8:8">
      <c r="F48" s="568"/>
      <c r="G48" s="569"/>
      <c r="H48" s="569"/>
      <c r="I48" s="569"/>
      <c r="J48" s="569"/>
      <c r="K48" s="570"/>
      <c r="L48" s="571">
        <f t="shared" si="0"/>
        <v>0.0</v>
      </c>
      <c r="M48" s="572">
        <f t="shared" si="1"/>
        <v>0.0</v>
      </c>
      <c r="N48" s="572">
        <f t="shared" si="2"/>
        <v>0.0</v>
      </c>
      <c r="O48" s="572">
        <f t="shared" si="3"/>
        <v>0.0</v>
      </c>
      <c r="P48" s="572">
        <f t="shared" si="4"/>
        <v>0.0</v>
      </c>
      <c r="Q48" s="573">
        <f t="shared" si="5"/>
        <v>0.0</v>
      </c>
      <c r="R48" s="574"/>
      <c r="S48" s="574"/>
      <c r="T48" s="575">
        <f t="shared" si="6"/>
        <v>0.0</v>
      </c>
      <c r="U48" s="576">
        <f t="shared" si="7"/>
        <v>100.0</v>
      </c>
      <c r="V48" s="577">
        <f t="shared" si="8"/>
        <v>0.0</v>
      </c>
      <c r="W48" s="578">
        <f t="shared" si="9"/>
        <v>0.0</v>
      </c>
      <c r="X48" s="579">
        <f t="shared" si="10"/>
        <v>100.0</v>
      </c>
      <c r="Y48" s="565">
        <f t="shared" si="11"/>
        <v>0.0</v>
      </c>
      <c r="Z48" s="566">
        <f t="shared" si="12"/>
        <v>0.0</v>
      </c>
      <c r="AA48" s="567">
        <f t="shared" si="13"/>
        <v>0.0</v>
      </c>
    </row>
    <row r="49" spans="8:8">
      <c r="F49" s="568"/>
      <c r="G49" s="569"/>
      <c r="H49" s="569"/>
      <c r="I49" s="569"/>
      <c r="J49" s="569"/>
      <c r="K49" s="570"/>
      <c r="L49" s="571">
        <f t="shared" si="0"/>
        <v>0.0</v>
      </c>
      <c r="M49" s="572">
        <f t="shared" si="1"/>
        <v>0.0</v>
      </c>
      <c r="N49" s="572">
        <f t="shared" si="2"/>
        <v>0.0</v>
      </c>
      <c r="O49" s="572">
        <f t="shared" si="3"/>
        <v>0.0</v>
      </c>
      <c r="P49" s="572">
        <f t="shared" si="4"/>
        <v>0.0</v>
      </c>
      <c r="Q49" s="573">
        <f t="shared" si="5"/>
        <v>0.0</v>
      </c>
      <c r="R49" s="574"/>
      <c r="S49" s="574"/>
      <c r="T49" s="575">
        <f t="shared" si="6"/>
        <v>0.0</v>
      </c>
      <c r="U49" s="576">
        <f t="shared" si="7"/>
        <v>100.0</v>
      </c>
      <c r="V49" s="577">
        <f t="shared" si="8"/>
        <v>0.0</v>
      </c>
      <c r="W49" s="578">
        <f t="shared" si="9"/>
        <v>0.0</v>
      </c>
      <c r="X49" s="579">
        <f t="shared" si="10"/>
        <v>100.0</v>
      </c>
      <c r="Y49" s="565">
        <f t="shared" si="11"/>
        <v>0.0</v>
      </c>
      <c r="Z49" s="566">
        <f t="shared" si="12"/>
        <v>0.0</v>
      </c>
      <c r="AA49" s="567">
        <f t="shared" si="13"/>
        <v>0.0</v>
      </c>
    </row>
    <row r="50" spans="8:8">
      <c r="F50" s="568"/>
      <c r="G50" s="569"/>
      <c r="H50" s="569"/>
      <c r="I50" s="569"/>
      <c r="J50" s="569"/>
      <c r="K50" s="570"/>
      <c r="L50" s="571">
        <f t="shared" si="0"/>
        <v>0.0</v>
      </c>
      <c r="M50" s="572">
        <f t="shared" si="1"/>
        <v>0.0</v>
      </c>
      <c r="N50" s="572">
        <f t="shared" si="2"/>
        <v>0.0</v>
      </c>
      <c r="O50" s="572">
        <f t="shared" si="3"/>
        <v>0.0</v>
      </c>
      <c r="P50" s="572">
        <f t="shared" si="4"/>
        <v>0.0</v>
      </c>
      <c r="Q50" s="573">
        <f t="shared" si="5"/>
        <v>0.0</v>
      </c>
      <c r="R50" s="574"/>
      <c r="S50" s="574"/>
      <c r="T50" s="575">
        <f t="shared" si="6"/>
        <v>0.0</v>
      </c>
      <c r="U50" s="576">
        <f t="shared" si="7"/>
        <v>100.0</v>
      </c>
      <c r="V50" s="577">
        <f t="shared" si="8"/>
        <v>0.0</v>
      </c>
      <c r="W50" s="578">
        <f t="shared" si="9"/>
        <v>0.0</v>
      </c>
      <c r="X50" s="579">
        <f t="shared" si="10"/>
        <v>100.0</v>
      </c>
      <c r="Y50" s="565">
        <f t="shared" si="11"/>
        <v>0.0</v>
      </c>
      <c r="Z50" s="566">
        <f t="shared" si="12"/>
        <v>0.0</v>
      </c>
      <c r="AA50" s="567">
        <f t="shared" si="13"/>
        <v>0.0</v>
      </c>
    </row>
    <row r="51" spans="8:8">
      <c r="F51" s="568"/>
      <c r="G51" s="569"/>
      <c r="H51" s="569"/>
      <c r="I51" s="569"/>
      <c r="J51" s="569"/>
      <c r="K51" s="570"/>
      <c r="L51" s="571">
        <f t="shared" si="0"/>
        <v>0.0</v>
      </c>
      <c r="M51" s="572">
        <f t="shared" si="1"/>
        <v>0.0</v>
      </c>
      <c r="N51" s="572">
        <f t="shared" si="2"/>
        <v>0.0</v>
      </c>
      <c r="O51" s="572">
        <f t="shared" si="3"/>
        <v>0.0</v>
      </c>
      <c r="P51" s="572">
        <f t="shared" si="4"/>
        <v>0.0</v>
      </c>
      <c r="Q51" s="573">
        <f t="shared" si="5"/>
        <v>0.0</v>
      </c>
      <c r="R51" s="574"/>
      <c r="S51" s="574"/>
      <c r="T51" s="575">
        <f t="shared" si="6"/>
        <v>0.0</v>
      </c>
      <c r="U51" s="576">
        <f t="shared" si="7"/>
        <v>100.0</v>
      </c>
      <c r="V51" s="577">
        <f t="shared" si="8"/>
        <v>0.0</v>
      </c>
      <c r="W51" s="578">
        <f t="shared" si="9"/>
        <v>0.0</v>
      </c>
      <c r="X51" s="579">
        <f t="shared" si="10"/>
        <v>100.0</v>
      </c>
      <c r="Y51" s="565">
        <f t="shared" si="11"/>
        <v>0.0</v>
      </c>
      <c r="Z51" s="566">
        <f t="shared" si="12"/>
        <v>0.0</v>
      </c>
      <c r="AA51" s="567">
        <f t="shared" si="13"/>
        <v>0.0</v>
      </c>
    </row>
    <row r="52" spans="8:8">
      <c r="F52" s="568"/>
      <c r="G52" s="569"/>
      <c r="H52" s="569"/>
      <c r="I52" s="569"/>
      <c r="J52" s="569"/>
      <c r="K52" s="570"/>
      <c r="L52" s="571">
        <f t="shared" si="0"/>
        <v>0.0</v>
      </c>
      <c r="M52" s="572">
        <f t="shared" si="1"/>
        <v>0.0</v>
      </c>
      <c r="N52" s="572">
        <f t="shared" si="2"/>
        <v>0.0</v>
      </c>
      <c r="O52" s="572">
        <f t="shared" si="3"/>
        <v>0.0</v>
      </c>
      <c r="P52" s="572">
        <f t="shared" si="4"/>
        <v>0.0</v>
      </c>
      <c r="Q52" s="573">
        <f t="shared" si="5"/>
        <v>0.0</v>
      </c>
      <c r="R52" s="574"/>
      <c r="S52" s="574"/>
      <c r="T52" s="575">
        <f t="shared" si="6"/>
        <v>0.0</v>
      </c>
      <c r="U52" s="576">
        <f t="shared" si="7"/>
        <v>100.0</v>
      </c>
      <c r="V52" s="577">
        <f t="shared" si="8"/>
        <v>0.0</v>
      </c>
      <c r="W52" s="578">
        <f t="shared" si="9"/>
        <v>0.0</v>
      </c>
      <c r="X52" s="579">
        <f t="shared" si="10"/>
        <v>100.0</v>
      </c>
      <c r="Y52" s="565">
        <f t="shared" si="11"/>
        <v>0.0</v>
      </c>
      <c r="Z52" s="566">
        <f t="shared" si="12"/>
        <v>0.0</v>
      </c>
      <c r="AA52" s="567">
        <f t="shared" si="13"/>
        <v>0.0</v>
      </c>
    </row>
    <row r="53" spans="8:8">
      <c r="F53" s="568"/>
      <c r="G53" s="569"/>
      <c r="H53" s="569"/>
      <c r="I53" s="569"/>
      <c r="J53" s="569"/>
      <c r="K53" s="570"/>
      <c r="L53" s="571">
        <f t="shared" si="0"/>
        <v>0.0</v>
      </c>
      <c r="M53" s="572">
        <f t="shared" si="1"/>
        <v>0.0</v>
      </c>
      <c r="N53" s="572">
        <f t="shared" si="2"/>
        <v>0.0</v>
      </c>
      <c r="O53" s="572">
        <f t="shared" si="3"/>
        <v>0.0</v>
      </c>
      <c r="P53" s="572">
        <f t="shared" si="4"/>
        <v>0.0</v>
      </c>
      <c r="Q53" s="573">
        <f t="shared" si="5"/>
        <v>0.0</v>
      </c>
      <c r="R53" s="574"/>
      <c r="S53" s="574"/>
      <c r="T53" s="575">
        <f t="shared" si="6"/>
        <v>0.0</v>
      </c>
      <c r="U53" s="576">
        <f t="shared" si="7"/>
        <v>100.0</v>
      </c>
      <c r="V53" s="577">
        <f t="shared" si="8"/>
        <v>0.0</v>
      </c>
      <c r="W53" s="578">
        <f t="shared" si="9"/>
        <v>0.0</v>
      </c>
      <c r="X53" s="579">
        <f t="shared" si="10"/>
        <v>100.0</v>
      </c>
      <c r="Y53" s="565">
        <f t="shared" si="11"/>
        <v>0.0</v>
      </c>
      <c r="Z53" s="566">
        <f t="shared" si="12"/>
        <v>0.0</v>
      </c>
      <c r="AA53" s="567">
        <f t="shared" si="13"/>
        <v>0.0</v>
      </c>
    </row>
    <row r="54" spans="8:8">
      <c r="F54" s="568"/>
      <c r="G54" s="569"/>
      <c r="H54" s="569"/>
      <c r="I54" s="569"/>
      <c r="J54" s="569"/>
      <c r="K54" s="570"/>
      <c r="L54" s="571">
        <f t="shared" si="0"/>
        <v>0.0</v>
      </c>
      <c r="M54" s="572">
        <f t="shared" si="1"/>
        <v>0.0</v>
      </c>
      <c r="N54" s="572">
        <f t="shared" si="2"/>
        <v>0.0</v>
      </c>
      <c r="O54" s="572">
        <f t="shared" si="3"/>
        <v>0.0</v>
      </c>
      <c r="P54" s="572">
        <f t="shared" si="4"/>
        <v>0.0</v>
      </c>
      <c r="Q54" s="573">
        <f t="shared" si="5"/>
        <v>0.0</v>
      </c>
      <c r="R54" s="574"/>
      <c r="S54" s="574"/>
      <c r="T54" s="575">
        <f t="shared" si="6"/>
        <v>0.0</v>
      </c>
      <c r="U54" s="576">
        <f t="shared" si="7"/>
        <v>100.0</v>
      </c>
      <c r="V54" s="577">
        <f t="shared" si="8"/>
        <v>0.0</v>
      </c>
      <c r="W54" s="578">
        <f t="shared" si="9"/>
        <v>0.0</v>
      </c>
      <c r="X54" s="579">
        <f t="shared" si="10"/>
        <v>100.0</v>
      </c>
      <c r="Y54" s="565">
        <f t="shared" si="11"/>
        <v>0.0</v>
      </c>
      <c r="Z54" s="566">
        <f t="shared" si="12"/>
        <v>0.0</v>
      </c>
      <c r="AA54" s="567">
        <f t="shared" si="13"/>
        <v>0.0</v>
      </c>
    </row>
    <row r="55" spans="8:8">
      <c r="F55" s="568"/>
      <c r="G55" s="569"/>
      <c r="H55" s="569"/>
      <c r="I55" s="569"/>
      <c r="J55" s="569"/>
      <c r="K55" s="570"/>
      <c r="L55" s="571">
        <f t="shared" si="0"/>
        <v>0.0</v>
      </c>
      <c r="M55" s="572">
        <f t="shared" si="1"/>
        <v>0.0</v>
      </c>
      <c r="N55" s="572">
        <f t="shared" si="2"/>
        <v>0.0</v>
      </c>
      <c r="O55" s="572">
        <f t="shared" si="3"/>
        <v>0.0</v>
      </c>
      <c r="P55" s="572">
        <f t="shared" si="4"/>
        <v>0.0</v>
      </c>
      <c r="Q55" s="573">
        <f t="shared" si="5"/>
        <v>0.0</v>
      </c>
      <c r="R55" s="574"/>
      <c r="S55" s="574"/>
      <c r="T55" s="575">
        <f t="shared" si="6"/>
        <v>0.0</v>
      </c>
      <c r="U55" s="576">
        <f t="shared" si="7"/>
        <v>100.0</v>
      </c>
      <c r="V55" s="577">
        <f t="shared" si="8"/>
        <v>0.0</v>
      </c>
      <c r="W55" s="578">
        <f t="shared" si="9"/>
        <v>0.0</v>
      </c>
      <c r="X55" s="579">
        <f t="shared" si="10"/>
        <v>100.0</v>
      </c>
      <c r="Y55" s="565">
        <f t="shared" si="11"/>
        <v>0.0</v>
      </c>
      <c r="Z55" s="566">
        <f t="shared" si="12"/>
        <v>0.0</v>
      </c>
      <c r="AA55" s="567">
        <f t="shared" si="13"/>
        <v>0.0</v>
      </c>
    </row>
    <row r="56" spans="8:8">
      <c r="F56" s="568"/>
      <c r="G56" s="569"/>
      <c r="H56" s="569"/>
      <c r="I56" s="569"/>
      <c r="J56" s="569"/>
      <c r="K56" s="570"/>
      <c r="L56" s="571">
        <f t="shared" si="0"/>
        <v>0.0</v>
      </c>
      <c r="M56" s="572">
        <f t="shared" si="1"/>
        <v>0.0</v>
      </c>
      <c r="N56" s="572">
        <f t="shared" si="2"/>
        <v>0.0</v>
      </c>
      <c r="O56" s="572">
        <f t="shared" si="3"/>
        <v>0.0</v>
      </c>
      <c r="P56" s="572">
        <f t="shared" si="4"/>
        <v>0.0</v>
      </c>
      <c r="Q56" s="573">
        <f t="shared" si="5"/>
        <v>0.0</v>
      </c>
      <c r="R56" s="574"/>
      <c r="S56" s="574"/>
      <c r="T56" s="575">
        <f t="shared" si="6"/>
        <v>0.0</v>
      </c>
      <c r="U56" s="576">
        <f t="shared" si="7"/>
        <v>100.0</v>
      </c>
      <c r="V56" s="577">
        <f t="shared" si="8"/>
        <v>0.0</v>
      </c>
      <c r="W56" s="578">
        <f t="shared" si="9"/>
        <v>0.0</v>
      </c>
      <c r="X56" s="579">
        <f t="shared" si="10"/>
        <v>100.0</v>
      </c>
      <c r="Y56" s="565">
        <f t="shared" si="11"/>
        <v>0.0</v>
      </c>
      <c r="Z56" s="566">
        <f t="shared" si="12"/>
        <v>0.0</v>
      </c>
      <c r="AA56" s="567">
        <f t="shared" si="13"/>
        <v>0.0</v>
      </c>
    </row>
    <row r="57" spans="8:8">
      <c r="F57" s="568"/>
      <c r="G57" s="569"/>
      <c r="H57" s="569"/>
      <c r="I57" s="569"/>
      <c r="J57" s="569"/>
      <c r="K57" s="570"/>
      <c r="L57" s="571">
        <f t="shared" si="0"/>
        <v>0.0</v>
      </c>
      <c r="M57" s="572">
        <f t="shared" si="1"/>
        <v>0.0</v>
      </c>
      <c r="N57" s="572">
        <f t="shared" si="2"/>
        <v>0.0</v>
      </c>
      <c r="O57" s="572">
        <f t="shared" si="3"/>
        <v>0.0</v>
      </c>
      <c r="P57" s="572">
        <f t="shared" si="4"/>
        <v>0.0</v>
      </c>
      <c r="Q57" s="573">
        <f t="shared" si="5"/>
        <v>0.0</v>
      </c>
      <c r="R57" s="574"/>
      <c r="S57" s="574"/>
      <c r="T57" s="575">
        <f t="shared" si="6"/>
        <v>0.0</v>
      </c>
      <c r="U57" s="576">
        <f t="shared" si="7"/>
        <v>100.0</v>
      </c>
      <c r="V57" s="577">
        <f t="shared" si="8"/>
        <v>0.0</v>
      </c>
      <c r="W57" s="578">
        <f t="shared" si="9"/>
        <v>0.0</v>
      </c>
      <c r="X57" s="579">
        <f t="shared" si="10"/>
        <v>100.0</v>
      </c>
      <c r="Y57" s="565">
        <f t="shared" si="11"/>
        <v>0.0</v>
      </c>
      <c r="Z57" s="566">
        <f t="shared" si="12"/>
        <v>0.0</v>
      </c>
      <c r="AA57" s="567">
        <f t="shared" si="13"/>
        <v>0.0</v>
      </c>
    </row>
    <row r="58" spans="8:8">
      <c r="F58" s="568"/>
      <c r="G58" s="569"/>
      <c r="H58" s="569"/>
      <c r="I58" s="569"/>
      <c r="J58" s="569"/>
      <c r="K58" s="570"/>
      <c r="L58" s="571">
        <f t="shared" si="0"/>
        <v>0.0</v>
      </c>
      <c r="M58" s="572">
        <f t="shared" si="1"/>
        <v>0.0</v>
      </c>
      <c r="N58" s="572">
        <f t="shared" si="2"/>
        <v>0.0</v>
      </c>
      <c r="O58" s="572">
        <f t="shared" si="3"/>
        <v>0.0</v>
      </c>
      <c r="P58" s="572">
        <f t="shared" si="4"/>
        <v>0.0</v>
      </c>
      <c r="Q58" s="573">
        <f t="shared" si="5"/>
        <v>0.0</v>
      </c>
      <c r="R58" s="574"/>
      <c r="S58" s="574"/>
      <c r="T58" s="575">
        <f t="shared" si="6"/>
        <v>0.0</v>
      </c>
      <c r="U58" s="576">
        <f t="shared" si="7"/>
        <v>100.0</v>
      </c>
      <c r="V58" s="577">
        <f t="shared" si="8"/>
        <v>0.0</v>
      </c>
      <c r="W58" s="578">
        <f t="shared" si="9"/>
        <v>0.0</v>
      </c>
      <c r="X58" s="579">
        <f t="shared" si="10"/>
        <v>100.0</v>
      </c>
      <c r="Y58" s="565">
        <f t="shared" si="11"/>
        <v>0.0</v>
      </c>
      <c r="Z58" s="566">
        <f t="shared" si="12"/>
        <v>0.0</v>
      </c>
      <c r="AA58" s="567">
        <f t="shared" si="13"/>
        <v>0.0</v>
      </c>
    </row>
    <row r="59" spans="8:8">
      <c r="F59" s="568"/>
      <c r="G59" s="569"/>
      <c r="H59" s="569"/>
      <c r="I59" s="569"/>
      <c r="J59" s="569"/>
      <c r="K59" s="570"/>
      <c r="L59" s="571">
        <f t="shared" si="0"/>
        <v>0.0</v>
      </c>
      <c r="M59" s="572">
        <f t="shared" si="1"/>
        <v>0.0</v>
      </c>
      <c r="N59" s="572">
        <f t="shared" si="2"/>
        <v>0.0</v>
      </c>
      <c r="O59" s="572">
        <f t="shared" si="3"/>
        <v>0.0</v>
      </c>
      <c r="P59" s="572">
        <f t="shared" si="4"/>
        <v>0.0</v>
      </c>
      <c r="Q59" s="573">
        <f t="shared" si="5"/>
        <v>0.0</v>
      </c>
      <c r="R59" s="574"/>
      <c r="S59" s="574"/>
      <c r="T59" s="575">
        <f t="shared" si="6"/>
        <v>0.0</v>
      </c>
      <c r="U59" s="576">
        <f t="shared" si="7"/>
        <v>100.0</v>
      </c>
      <c r="V59" s="577">
        <f t="shared" si="8"/>
        <v>0.0</v>
      </c>
      <c r="W59" s="578">
        <f t="shared" si="9"/>
        <v>0.0</v>
      </c>
      <c r="X59" s="579">
        <f t="shared" si="10"/>
        <v>100.0</v>
      </c>
      <c r="Y59" s="565">
        <f t="shared" si="11"/>
        <v>0.0</v>
      </c>
      <c r="Z59" s="566">
        <f t="shared" si="12"/>
        <v>0.0</v>
      </c>
      <c r="AA59" s="567">
        <f t="shared" si="13"/>
        <v>0.0</v>
      </c>
    </row>
    <row r="60" spans="8:8">
      <c r="F60" s="568"/>
      <c r="G60" s="569"/>
      <c r="H60" s="569"/>
      <c r="I60" s="569"/>
      <c r="J60" s="569"/>
      <c r="K60" s="570"/>
      <c r="L60" s="571">
        <f t="shared" si="0"/>
        <v>0.0</v>
      </c>
      <c r="M60" s="572">
        <f t="shared" si="1"/>
        <v>0.0</v>
      </c>
      <c r="N60" s="572">
        <f t="shared" si="2"/>
        <v>0.0</v>
      </c>
      <c r="O60" s="572">
        <f t="shared" si="3"/>
        <v>0.0</v>
      </c>
      <c r="P60" s="572">
        <f t="shared" si="4"/>
        <v>0.0</v>
      </c>
      <c r="Q60" s="573">
        <f t="shared" si="5"/>
        <v>0.0</v>
      </c>
      <c r="R60" s="574"/>
      <c r="S60" s="574"/>
      <c r="T60" s="575">
        <f t="shared" si="6"/>
        <v>0.0</v>
      </c>
      <c r="U60" s="576">
        <f t="shared" si="7"/>
        <v>100.0</v>
      </c>
      <c r="V60" s="577">
        <f t="shared" si="8"/>
        <v>0.0</v>
      </c>
      <c r="W60" s="578">
        <f t="shared" si="9"/>
        <v>0.0</v>
      </c>
      <c r="X60" s="579">
        <f t="shared" si="10"/>
        <v>100.0</v>
      </c>
      <c r="Y60" s="565">
        <f t="shared" si="11"/>
        <v>0.0</v>
      </c>
      <c r="Z60" s="566">
        <f t="shared" si="12"/>
        <v>0.0</v>
      </c>
      <c r="AA60" s="567">
        <f t="shared" si="13"/>
        <v>0.0</v>
      </c>
    </row>
    <row r="61" spans="8:8">
      <c r="F61" s="568"/>
      <c r="G61" s="569"/>
      <c r="H61" s="569"/>
      <c r="I61" s="569"/>
      <c r="J61" s="569"/>
      <c r="K61" s="570"/>
      <c r="L61" s="571">
        <f t="shared" si="0"/>
        <v>0.0</v>
      </c>
      <c r="M61" s="572">
        <f t="shared" si="1"/>
        <v>0.0</v>
      </c>
      <c r="N61" s="572">
        <f t="shared" si="2"/>
        <v>0.0</v>
      </c>
      <c r="O61" s="572">
        <f t="shared" si="3"/>
        <v>0.0</v>
      </c>
      <c r="P61" s="572">
        <f t="shared" si="4"/>
        <v>0.0</v>
      </c>
      <c r="Q61" s="573">
        <f t="shared" si="5"/>
        <v>0.0</v>
      </c>
      <c r="R61" s="574"/>
      <c r="S61" s="574"/>
      <c r="T61" s="575">
        <f t="shared" si="6"/>
        <v>0.0</v>
      </c>
      <c r="U61" s="576">
        <f t="shared" si="7"/>
        <v>100.0</v>
      </c>
      <c r="V61" s="577">
        <f t="shared" si="8"/>
        <v>0.0</v>
      </c>
      <c r="W61" s="578">
        <f t="shared" si="9"/>
        <v>0.0</v>
      </c>
      <c r="X61" s="579">
        <f t="shared" si="10"/>
        <v>100.0</v>
      </c>
      <c r="Y61" s="565">
        <f t="shared" si="11"/>
        <v>0.0</v>
      </c>
      <c r="Z61" s="566">
        <f t="shared" si="12"/>
        <v>0.0</v>
      </c>
      <c r="AA61" s="567">
        <f t="shared" si="13"/>
        <v>0.0</v>
      </c>
    </row>
    <row r="62" spans="8:8">
      <c r="F62" s="568"/>
      <c r="G62" s="569"/>
      <c r="H62" s="569"/>
      <c r="I62" s="569"/>
      <c r="J62" s="569"/>
      <c r="K62" s="570"/>
      <c r="L62" s="571">
        <f t="shared" si="0"/>
        <v>0.0</v>
      </c>
      <c r="M62" s="572">
        <f t="shared" si="1"/>
        <v>0.0</v>
      </c>
      <c r="N62" s="572">
        <f t="shared" si="2"/>
        <v>0.0</v>
      </c>
      <c r="O62" s="572">
        <f t="shared" si="3"/>
        <v>0.0</v>
      </c>
      <c r="P62" s="572">
        <f t="shared" si="4"/>
        <v>0.0</v>
      </c>
      <c r="Q62" s="573">
        <f t="shared" si="5"/>
        <v>0.0</v>
      </c>
      <c r="R62" s="574"/>
      <c r="S62" s="574"/>
      <c r="T62" s="575">
        <f t="shared" si="6"/>
        <v>0.0</v>
      </c>
      <c r="U62" s="576">
        <f t="shared" si="7"/>
        <v>100.0</v>
      </c>
      <c r="V62" s="577">
        <f t="shared" si="8"/>
        <v>0.0</v>
      </c>
      <c r="W62" s="578">
        <f t="shared" si="9"/>
        <v>0.0</v>
      </c>
      <c r="X62" s="579">
        <f t="shared" si="10"/>
        <v>100.0</v>
      </c>
      <c r="Y62" s="565">
        <f t="shared" si="11"/>
        <v>0.0</v>
      </c>
      <c r="Z62" s="566">
        <f t="shared" si="12"/>
        <v>0.0</v>
      </c>
      <c r="AA62" s="567">
        <f t="shared" si="13"/>
        <v>0.0</v>
      </c>
    </row>
    <row r="63" spans="8:8">
      <c r="F63" s="568"/>
      <c r="G63" s="569"/>
      <c r="H63" s="569"/>
      <c r="I63" s="569"/>
      <c r="J63" s="569"/>
      <c r="K63" s="570"/>
      <c r="L63" s="571">
        <f t="shared" si="0"/>
        <v>0.0</v>
      </c>
      <c r="M63" s="572">
        <f t="shared" si="1"/>
        <v>0.0</v>
      </c>
      <c r="N63" s="572">
        <f t="shared" si="2"/>
        <v>0.0</v>
      </c>
      <c r="O63" s="572">
        <f t="shared" si="3"/>
        <v>0.0</v>
      </c>
      <c r="P63" s="572">
        <f t="shared" si="4"/>
        <v>0.0</v>
      </c>
      <c r="Q63" s="573">
        <f t="shared" si="5"/>
        <v>0.0</v>
      </c>
      <c r="R63" s="574"/>
      <c r="S63" s="574"/>
      <c r="T63" s="575">
        <f t="shared" si="6"/>
        <v>0.0</v>
      </c>
      <c r="U63" s="576">
        <f t="shared" si="7"/>
        <v>100.0</v>
      </c>
      <c r="V63" s="577">
        <f t="shared" si="8"/>
        <v>0.0</v>
      </c>
      <c r="W63" s="578">
        <f t="shared" si="9"/>
        <v>0.0</v>
      </c>
      <c r="X63" s="579">
        <f t="shared" si="10"/>
        <v>100.0</v>
      </c>
      <c r="Y63" s="565">
        <f t="shared" si="11"/>
        <v>0.0</v>
      </c>
      <c r="Z63" s="566">
        <f t="shared" si="12"/>
        <v>0.0</v>
      </c>
      <c r="AA63" s="567">
        <f t="shared" si="13"/>
        <v>0.0</v>
      </c>
    </row>
    <row r="64" spans="8:8">
      <c r="F64" s="568"/>
      <c r="G64" s="569"/>
      <c r="H64" s="569"/>
      <c r="I64" s="569"/>
      <c r="J64" s="569"/>
      <c r="K64" s="570"/>
      <c r="L64" s="571">
        <f t="shared" si="0"/>
        <v>0.0</v>
      </c>
      <c r="M64" s="572">
        <f t="shared" si="1"/>
        <v>0.0</v>
      </c>
      <c r="N64" s="572">
        <f t="shared" si="2"/>
        <v>0.0</v>
      </c>
      <c r="O64" s="572">
        <f t="shared" si="3"/>
        <v>0.0</v>
      </c>
      <c r="P64" s="572">
        <f t="shared" si="4"/>
        <v>0.0</v>
      </c>
      <c r="Q64" s="573">
        <f t="shared" si="5"/>
        <v>0.0</v>
      </c>
      <c r="R64" s="574"/>
      <c r="S64" s="574"/>
      <c r="T64" s="575">
        <f t="shared" si="6"/>
        <v>0.0</v>
      </c>
      <c r="U64" s="576">
        <f t="shared" si="7"/>
        <v>100.0</v>
      </c>
      <c r="V64" s="577">
        <f t="shared" si="8"/>
        <v>0.0</v>
      </c>
      <c r="W64" s="578">
        <f t="shared" si="9"/>
        <v>0.0</v>
      </c>
      <c r="X64" s="579">
        <f t="shared" si="10"/>
        <v>100.0</v>
      </c>
      <c r="Y64" s="565">
        <f t="shared" si="11"/>
        <v>0.0</v>
      </c>
      <c r="Z64" s="566">
        <f t="shared" si="12"/>
        <v>0.0</v>
      </c>
      <c r="AA64" s="567">
        <f t="shared" si="13"/>
        <v>0.0</v>
      </c>
    </row>
    <row r="65" spans="8:8">
      <c r="F65" s="568"/>
      <c r="G65" s="569"/>
      <c r="H65" s="569"/>
      <c r="I65" s="569"/>
      <c r="J65" s="569"/>
      <c r="K65" s="570"/>
      <c r="L65" s="571">
        <f t="shared" si="0"/>
        <v>0.0</v>
      </c>
      <c r="M65" s="572">
        <f t="shared" si="1"/>
        <v>0.0</v>
      </c>
      <c r="N65" s="572">
        <f t="shared" si="2"/>
        <v>0.0</v>
      </c>
      <c r="O65" s="572">
        <f t="shared" si="3"/>
        <v>0.0</v>
      </c>
      <c r="P65" s="572">
        <f t="shared" si="4"/>
        <v>0.0</v>
      </c>
      <c r="Q65" s="573">
        <f t="shared" si="5"/>
        <v>0.0</v>
      </c>
      <c r="R65" s="574"/>
      <c r="S65" s="574"/>
      <c r="T65" s="575">
        <f t="shared" si="6"/>
        <v>0.0</v>
      </c>
      <c r="U65" s="576">
        <f t="shared" si="7"/>
        <v>100.0</v>
      </c>
      <c r="V65" s="577">
        <f t="shared" si="8"/>
        <v>0.0</v>
      </c>
      <c r="W65" s="578">
        <f t="shared" si="9"/>
        <v>0.0</v>
      </c>
      <c r="X65" s="579">
        <f t="shared" si="10"/>
        <v>100.0</v>
      </c>
      <c r="Y65" s="565">
        <f t="shared" si="11"/>
        <v>0.0</v>
      </c>
      <c r="Z65" s="566">
        <f t="shared" si="12"/>
        <v>0.0</v>
      </c>
      <c r="AA65" s="567">
        <f t="shared" si="13"/>
        <v>0.0</v>
      </c>
    </row>
    <row r="66" spans="8:8">
      <c r="F66" s="568"/>
      <c r="G66" s="569"/>
      <c r="H66" s="569"/>
      <c r="I66" s="569"/>
      <c r="J66" s="569"/>
      <c r="K66" s="570"/>
      <c r="L66" s="571">
        <f t="shared" si="15" ref="L66:L76">IF(F66&gt;(100-$C66),(100-$C66),IF(F66&lt;$B66,$B66,F66))</f>
        <v>0.0</v>
      </c>
      <c r="M66" s="572">
        <f t="shared" si="16" ref="M66:M76">IF(G66&gt;(100-$C66),(100-$C66),IF(G66&lt;$B66,$B66,G66))</f>
        <v>0.0</v>
      </c>
      <c r="N66" s="572">
        <f t="shared" si="17" ref="N66:N76">IF(H66&gt;(100-$C66),(100-$C66),IF(H66&lt;$B66,$B66,H66))</f>
        <v>0.0</v>
      </c>
      <c r="O66" s="572">
        <f t="shared" si="18" ref="O66:O76">IF(I66&gt;(100-$C66),(100-$C66),IF(I66&lt;$B66,$B66,I66))</f>
        <v>0.0</v>
      </c>
      <c r="P66" s="572">
        <f t="shared" si="19" ref="P66:P76">IF(J66&gt;(100-$C66),(100-$C66),IF(J66&lt;$B66,$B66,J66))</f>
        <v>0.0</v>
      </c>
      <c r="Q66" s="573">
        <f t="shared" si="20" ref="Q66:Q76">IF(K66&gt;(100-$C66),(100-$C66),IF(K66&lt;$B66,$B66,K66))</f>
        <v>0.0</v>
      </c>
      <c r="R66" s="574"/>
      <c r="S66" s="574"/>
      <c r="T66" s="575">
        <f t="shared" si="21" ref="T66:T76">AVERAGE(L66:Q66)</f>
        <v>0.0</v>
      </c>
      <c r="U66" s="576">
        <f t="shared" si="22" ref="U66:U76">100-T66</f>
        <v>100.0</v>
      </c>
      <c r="V66" s="577">
        <f t="shared" si="23" ref="V66:V76">SQRT(VARP(L66:Q66))</f>
        <v>0.0</v>
      </c>
      <c r="W66" s="578">
        <f t="shared" si="24" ref="W66:W76">IF(R66&gt;0,R66+(100-R66)*T66/100,IF(AND(R66=0,S66=0),T66,100-X66))</f>
        <v>0.0</v>
      </c>
      <c r="X66" s="579">
        <f t="shared" si="25" ref="X66:X76">IF(S66&gt;0,S66+(100-S66)*U66/100,IF(AND(R66=0,S66=0),U66,100-W66))</f>
        <v>100.0</v>
      </c>
      <c r="Y66" s="565">
        <f t="shared" si="26" ref="Y66:Y76">W66/(W66+X66)</f>
        <v>0.0</v>
      </c>
      <c r="Z66" s="566">
        <f t="shared" si="27" ref="Z66:Z76">D66/MAX(1,D66+E66)</f>
        <v>0.0</v>
      </c>
      <c r="AA66" s="567">
        <f t="shared" si="28" ref="AA66:AA76">IF(Z66&lt;&gt;0,ABS(Z66-Y66)/Z66,0)</f>
        <v>0.0</v>
      </c>
    </row>
    <row r="67" spans="8:8">
      <c r="F67" s="568"/>
      <c r="G67" s="569"/>
      <c r="H67" s="569"/>
      <c r="I67" s="569"/>
      <c r="J67" s="569"/>
      <c r="K67" s="570"/>
      <c r="L67" s="571">
        <f t="shared" si="15"/>
        <v>0.0</v>
      </c>
      <c r="M67" s="572">
        <f t="shared" si="16"/>
        <v>0.0</v>
      </c>
      <c r="N67" s="572">
        <f t="shared" si="17"/>
        <v>0.0</v>
      </c>
      <c r="O67" s="572">
        <f t="shared" si="18"/>
        <v>0.0</v>
      </c>
      <c r="P67" s="572">
        <f t="shared" si="19"/>
        <v>0.0</v>
      </c>
      <c r="Q67" s="573">
        <f t="shared" si="20"/>
        <v>0.0</v>
      </c>
      <c r="R67" s="574"/>
      <c r="S67" s="574"/>
      <c r="T67" s="575">
        <f t="shared" si="21"/>
        <v>0.0</v>
      </c>
      <c r="U67" s="576">
        <f t="shared" si="22"/>
        <v>100.0</v>
      </c>
      <c r="V67" s="577">
        <f t="shared" si="23"/>
        <v>0.0</v>
      </c>
      <c r="W67" s="578">
        <f t="shared" si="24"/>
        <v>0.0</v>
      </c>
      <c r="X67" s="579">
        <f t="shared" si="25"/>
        <v>100.0</v>
      </c>
      <c r="Y67" s="565">
        <f t="shared" si="26"/>
        <v>0.0</v>
      </c>
      <c r="Z67" s="566">
        <f t="shared" si="27"/>
        <v>0.0</v>
      </c>
      <c r="AA67" s="567">
        <f t="shared" si="28"/>
        <v>0.0</v>
      </c>
    </row>
    <row r="68" spans="8:8">
      <c r="F68" s="568"/>
      <c r="G68" s="569"/>
      <c r="H68" s="569"/>
      <c r="I68" s="569"/>
      <c r="J68" s="569"/>
      <c r="K68" s="570"/>
      <c r="L68" s="571">
        <f t="shared" si="15"/>
        <v>0.0</v>
      </c>
      <c r="M68" s="572">
        <f t="shared" si="16"/>
        <v>0.0</v>
      </c>
      <c r="N68" s="572">
        <f t="shared" si="17"/>
        <v>0.0</v>
      </c>
      <c r="O68" s="572">
        <f t="shared" si="18"/>
        <v>0.0</v>
      </c>
      <c r="P68" s="572">
        <f t="shared" si="19"/>
        <v>0.0</v>
      </c>
      <c r="Q68" s="573">
        <f t="shared" si="20"/>
        <v>0.0</v>
      </c>
      <c r="R68" s="574"/>
      <c r="S68" s="574"/>
      <c r="T68" s="575">
        <f t="shared" si="21"/>
        <v>0.0</v>
      </c>
      <c r="U68" s="576">
        <f t="shared" si="22"/>
        <v>100.0</v>
      </c>
      <c r="V68" s="577">
        <f t="shared" si="23"/>
        <v>0.0</v>
      </c>
      <c r="W68" s="578">
        <f t="shared" si="24"/>
        <v>0.0</v>
      </c>
      <c r="X68" s="579">
        <f t="shared" si="25"/>
        <v>100.0</v>
      </c>
      <c r="Y68" s="565">
        <f t="shared" si="26"/>
        <v>0.0</v>
      </c>
      <c r="Z68" s="566">
        <f t="shared" si="27"/>
        <v>0.0</v>
      </c>
      <c r="AA68" s="567">
        <f t="shared" si="28"/>
        <v>0.0</v>
      </c>
    </row>
    <row r="69" spans="8:8">
      <c r="F69" s="568"/>
      <c r="G69" s="569"/>
      <c r="H69" s="569"/>
      <c r="I69" s="569"/>
      <c r="J69" s="569"/>
      <c r="K69" s="570"/>
      <c r="L69" s="571">
        <f t="shared" si="15"/>
        <v>0.0</v>
      </c>
      <c r="M69" s="572">
        <f t="shared" si="16"/>
        <v>0.0</v>
      </c>
      <c r="N69" s="572">
        <f t="shared" si="17"/>
        <v>0.0</v>
      </c>
      <c r="O69" s="572">
        <f t="shared" si="18"/>
        <v>0.0</v>
      </c>
      <c r="P69" s="572">
        <f t="shared" si="19"/>
        <v>0.0</v>
      </c>
      <c r="Q69" s="573">
        <f t="shared" si="20"/>
        <v>0.0</v>
      </c>
      <c r="R69" s="574"/>
      <c r="S69" s="574"/>
      <c r="T69" s="575">
        <f t="shared" si="21"/>
        <v>0.0</v>
      </c>
      <c r="U69" s="576">
        <f t="shared" si="22"/>
        <v>100.0</v>
      </c>
      <c r="V69" s="577">
        <f t="shared" si="23"/>
        <v>0.0</v>
      </c>
      <c r="W69" s="578">
        <f t="shared" si="24"/>
        <v>0.0</v>
      </c>
      <c r="X69" s="579">
        <f t="shared" si="25"/>
        <v>100.0</v>
      </c>
      <c r="Y69" s="565">
        <f t="shared" si="26"/>
        <v>0.0</v>
      </c>
      <c r="Z69" s="566">
        <f t="shared" si="27"/>
        <v>0.0</v>
      </c>
      <c r="AA69" s="567">
        <f t="shared" si="28"/>
        <v>0.0</v>
      </c>
    </row>
    <row r="70" spans="8:8">
      <c r="F70" s="568"/>
      <c r="G70" s="569"/>
      <c r="H70" s="569"/>
      <c r="I70" s="569"/>
      <c r="J70" s="569"/>
      <c r="K70" s="570"/>
      <c r="L70" s="571">
        <f t="shared" si="15"/>
        <v>0.0</v>
      </c>
      <c r="M70" s="572">
        <f t="shared" si="16"/>
        <v>0.0</v>
      </c>
      <c r="N70" s="572">
        <f t="shared" si="17"/>
        <v>0.0</v>
      </c>
      <c r="O70" s="572">
        <f t="shared" si="18"/>
        <v>0.0</v>
      </c>
      <c r="P70" s="572">
        <f t="shared" si="19"/>
        <v>0.0</v>
      </c>
      <c r="Q70" s="573">
        <f t="shared" si="20"/>
        <v>0.0</v>
      </c>
      <c r="R70" s="574"/>
      <c r="S70" s="574"/>
      <c r="T70" s="575">
        <f t="shared" si="21"/>
        <v>0.0</v>
      </c>
      <c r="U70" s="576">
        <f t="shared" si="22"/>
        <v>100.0</v>
      </c>
      <c r="V70" s="577">
        <f t="shared" si="23"/>
        <v>0.0</v>
      </c>
      <c r="W70" s="578">
        <f t="shared" si="24"/>
        <v>0.0</v>
      </c>
      <c r="X70" s="579">
        <f t="shared" si="25"/>
        <v>100.0</v>
      </c>
      <c r="Y70" s="565">
        <f t="shared" si="26"/>
        <v>0.0</v>
      </c>
      <c r="Z70" s="566">
        <f t="shared" si="27"/>
        <v>0.0</v>
      </c>
      <c r="AA70" s="567">
        <f t="shared" si="28"/>
        <v>0.0</v>
      </c>
    </row>
    <row r="71" spans="8:8">
      <c r="F71" s="568"/>
      <c r="G71" s="569"/>
      <c r="H71" s="569"/>
      <c r="I71" s="569"/>
      <c r="J71" s="569"/>
      <c r="K71" s="570"/>
      <c r="L71" s="571">
        <f t="shared" si="15"/>
        <v>0.0</v>
      </c>
      <c r="M71" s="572">
        <f t="shared" si="16"/>
        <v>0.0</v>
      </c>
      <c r="N71" s="572">
        <f t="shared" si="17"/>
        <v>0.0</v>
      </c>
      <c r="O71" s="572">
        <f t="shared" si="18"/>
        <v>0.0</v>
      </c>
      <c r="P71" s="572">
        <f t="shared" si="19"/>
        <v>0.0</v>
      </c>
      <c r="Q71" s="573">
        <f t="shared" si="20"/>
        <v>0.0</v>
      </c>
      <c r="R71" s="574"/>
      <c r="S71" s="574"/>
      <c r="T71" s="575">
        <f t="shared" si="21"/>
        <v>0.0</v>
      </c>
      <c r="U71" s="576">
        <f t="shared" si="22"/>
        <v>100.0</v>
      </c>
      <c r="V71" s="577">
        <f t="shared" si="23"/>
        <v>0.0</v>
      </c>
      <c r="W71" s="578">
        <f t="shared" si="24"/>
        <v>0.0</v>
      </c>
      <c r="X71" s="579">
        <f t="shared" si="25"/>
        <v>100.0</v>
      </c>
      <c r="Y71" s="565">
        <f t="shared" si="26"/>
        <v>0.0</v>
      </c>
      <c r="Z71" s="566">
        <f t="shared" si="27"/>
        <v>0.0</v>
      </c>
      <c r="AA71" s="567">
        <f t="shared" si="28"/>
        <v>0.0</v>
      </c>
    </row>
    <row r="72" spans="8:8">
      <c r="F72" s="568"/>
      <c r="G72" s="569"/>
      <c r="H72" s="569"/>
      <c r="I72" s="569"/>
      <c r="J72" s="569"/>
      <c r="K72" s="570"/>
      <c r="L72" s="571">
        <f t="shared" si="15"/>
        <v>0.0</v>
      </c>
      <c r="M72" s="572">
        <f t="shared" si="16"/>
        <v>0.0</v>
      </c>
      <c r="N72" s="572">
        <f t="shared" si="17"/>
        <v>0.0</v>
      </c>
      <c r="O72" s="572">
        <f t="shared" si="18"/>
        <v>0.0</v>
      </c>
      <c r="P72" s="572">
        <f t="shared" si="19"/>
        <v>0.0</v>
      </c>
      <c r="Q72" s="573">
        <f t="shared" si="20"/>
        <v>0.0</v>
      </c>
      <c r="R72" s="574"/>
      <c r="S72" s="574"/>
      <c r="T72" s="575">
        <f t="shared" si="21"/>
        <v>0.0</v>
      </c>
      <c r="U72" s="576">
        <f t="shared" si="22"/>
        <v>100.0</v>
      </c>
      <c r="V72" s="577">
        <f t="shared" si="23"/>
        <v>0.0</v>
      </c>
      <c r="W72" s="578">
        <f t="shared" si="24"/>
        <v>0.0</v>
      </c>
      <c r="X72" s="579">
        <f t="shared" si="25"/>
        <v>100.0</v>
      </c>
      <c r="Y72" s="565">
        <f t="shared" si="26"/>
        <v>0.0</v>
      </c>
      <c r="Z72" s="566">
        <f t="shared" si="27"/>
        <v>0.0</v>
      </c>
      <c r="AA72" s="567">
        <f t="shared" si="28"/>
        <v>0.0</v>
      </c>
    </row>
    <row r="73" spans="8:8">
      <c r="L73" s="571">
        <f t="shared" si="15"/>
        <v>0.0</v>
      </c>
      <c r="M73" s="572">
        <f t="shared" si="16"/>
        <v>0.0</v>
      </c>
      <c r="N73" s="572">
        <f t="shared" si="17"/>
        <v>0.0</v>
      </c>
      <c r="O73" s="572">
        <f t="shared" si="18"/>
        <v>0.0</v>
      </c>
      <c r="P73" s="572">
        <f t="shared" si="19"/>
        <v>0.0</v>
      </c>
      <c r="Q73" s="573">
        <f t="shared" si="20"/>
        <v>0.0</v>
      </c>
      <c r="R73" s="574"/>
      <c r="S73" s="574"/>
      <c r="T73" s="575">
        <f t="shared" si="21"/>
        <v>0.0</v>
      </c>
      <c r="U73" s="576">
        <f t="shared" si="22"/>
        <v>100.0</v>
      </c>
      <c r="V73" s="577">
        <f t="shared" si="23"/>
        <v>0.0</v>
      </c>
      <c r="W73" s="578">
        <f t="shared" si="24"/>
        <v>0.0</v>
      </c>
      <c r="X73" s="579">
        <f t="shared" si="25"/>
        <v>100.0</v>
      </c>
      <c r="Y73" s="565">
        <f t="shared" si="26"/>
        <v>0.0</v>
      </c>
      <c r="Z73" s="566">
        <f t="shared" si="27"/>
        <v>0.0</v>
      </c>
      <c r="AA73" s="567">
        <f t="shared" si="28"/>
        <v>0.0</v>
      </c>
    </row>
    <row r="74" spans="8:8">
      <c r="L74" s="571">
        <f t="shared" si="15"/>
        <v>0.0</v>
      </c>
      <c r="M74" s="572">
        <f t="shared" si="16"/>
        <v>0.0</v>
      </c>
      <c r="N74" s="572">
        <f t="shared" si="17"/>
        <v>0.0</v>
      </c>
      <c r="O74" s="572">
        <f t="shared" si="18"/>
        <v>0.0</v>
      </c>
      <c r="P74" s="572">
        <f t="shared" si="19"/>
        <v>0.0</v>
      </c>
      <c r="Q74" s="573">
        <f t="shared" si="20"/>
        <v>0.0</v>
      </c>
      <c r="R74" s="574"/>
      <c r="S74" s="574"/>
      <c r="T74" s="575">
        <f t="shared" si="21"/>
        <v>0.0</v>
      </c>
      <c r="U74" s="576">
        <f t="shared" si="22"/>
        <v>100.0</v>
      </c>
      <c r="V74" s="577">
        <f t="shared" si="23"/>
        <v>0.0</v>
      </c>
      <c r="W74" s="578">
        <f t="shared" si="24"/>
        <v>0.0</v>
      </c>
      <c r="X74" s="579">
        <f t="shared" si="25"/>
        <v>100.0</v>
      </c>
      <c r="Y74" s="565">
        <f t="shared" si="26"/>
        <v>0.0</v>
      </c>
      <c r="Z74" s="566">
        <f t="shared" si="27"/>
        <v>0.0</v>
      </c>
      <c r="AA74" s="567">
        <f t="shared" si="28"/>
        <v>0.0</v>
      </c>
    </row>
    <row r="75" spans="8:8">
      <c r="L75" s="571">
        <f t="shared" si="15"/>
        <v>0.0</v>
      </c>
      <c r="M75" s="572">
        <f t="shared" si="16"/>
        <v>0.0</v>
      </c>
      <c r="N75" s="572">
        <f t="shared" si="17"/>
        <v>0.0</v>
      </c>
      <c r="O75" s="572">
        <f t="shared" si="18"/>
        <v>0.0</v>
      </c>
      <c r="P75" s="572">
        <f t="shared" si="19"/>
        <v>0.0</v>
      </c>
      <c r="Q75" s="573">
        <f t="shared" si="20"/>
        <v>0.0</v>
      </c>
      <c r="R75" s="574"/>
      <c r="S75" s="574"/>
      <c r="T75" s="575">
        <f t="shared" si="21"/>
        <v>0.0</v>
      </c>
      <c r="U75" s="576">
        <f t="shared" si="22"/>
        <v>100.0</v>
      </c>
      <c r="V75" s="577">
        <f t="shared" si="23"/>
        <v>0.0</v>
      </c>
      <c r="W75" s="578">
        <f t="shared" si="24"/>
        <v>0.0</v>
      </c>
      <c r="X75" s="579">
        <f t="shared" si="25"/>
        <v>100.0</v>
      </c>
      <c r="Y75" s="565">
        <f t="shared" si="26"/>
        <v>0.0</v>
      </c>
      <c r="Z75" s="566">
        <f t="shared" si="27"/>
        <v>0.0</v>
      </c>
      <c r="AA75" s="567">
        <f t="shared" si="28"/>
        <v>0.0</v>
      </c>
    </row>
    <row r="76" spans="8:8">
      <c r="L76" s="571">
        <f t="shared" si="15"/>
        <v>0.0</v>
      </c>
      <c r="M76" s="572">
        <f t="shared" si="16"/>
        <v>0.0</v>
      </c>
      <c r="N76" s="572">
        <f t="shared" si="17"/>
        <v>0.0</v>
      </c>
      <c r="O76" s="572">
        <f t="shared" si="18"/>
        <v>0.0</v>
      </c>
      <c r="P76" s="572">
        <f t="shared" si="19"/>
        <v>0.0</v>
      </c>
      <c r="Q76" s="573">
        <f t="shared" si="20"/>
        <v>0.0</v>
      </c>
      <c r="R76" s="574"/>
      <c r="S76" s="574"/>
      <c r="T76" s="575">
        <f t="shared" si="21"/>
        <v>0.0</v>
      </c>
      <c r="U76" s="576">
        <f t="shared" si="22"/>
        <v>100.0</v>
      </c>
      <c r="V76" s="577">
        <f t="shared" si="23"/>
        <v>0.0</v>
      </c>
      <c r="W76" s="578">
        <f t="shared" si="24"/>
        <v>0.0</v>
      </c>
      <c r="X76" s="579">
        <f t="shared" si="25"/>
        <v>100.0</v>
      </c>
      <c r="Y76" s="565">
        <f t="shared" si="26"/>
        <v>0.0</v>
      </c>
      <c r="Z76" s="566">
        <f t="shared" si="27"/>
        <v>0.0</v>
      </c>
      <c r="AA76" s="567">
        <f t="shared" si="28"/>
        <v>0.0</v>
      </c>
    </row>
  </sheetData>
  <pageMargins left="0.75" right="0.75" top="1.0" bottom="1.0" header="0.5" footer="0.5"/>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chank</dc:creator>
  <cp:lastModifiedBy>junwei mao</cp:lastModifiedBy>
  <dcterms:created xsi:type="dcterms:W3CDTF">2017-11-29T23:35:00Z</dcterms:created>
  <dcterms:modified xsi:type="dcterms:W3CDTF">2026-01-17T13:32:15Z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KSOProductBuildVer">
    <vt:lpwstr>2052-12.1.0.24034</vt:lpwstr>
  </property>
  <property fmtid="{D5CDD505-2E9C-101B-9397-08002B2CF9AE}" pid="4" name="ICV">
    <vt:lpwstr>B8F770D9A2254C50A89144E961CCA935_13</vt:lpwstr>
  </property>
</Properties>
</file>